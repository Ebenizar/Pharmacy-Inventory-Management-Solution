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93D98941-E4C9-41F5-A6F0-D9694B7FB1B6}" xr6:coauthVersionLast="47" xr6:coauthVersionMax="47" xr10:uidLastSave="{00000000-0000-0000-0000-000000000000}"/>
  <bookViews>
    <workbookView xWindow="-110" yWindow="-110" windowWidth="19420" windowHeight="10300" tabRatio="720" xr2:uid="{00000000-000D-0000-FFFF-FFFF00000000}"/>
  </bookViews>
  <sheets>
    <sheet name="Inventory" sheetId="1" r:id="rId1"/>
    <sheet name="Purchases" sheetId="3" r:id="rId2"/>
    <sheet name="Sales" sheetId="2" r:id="rId3"/>
    <sheet name="Suppliers" sheetId="4" r:id="rId4"/>
    <sheet name="Dashboard" sheetId="5" r:id="rId5"/>
    <sheet name="Directory" sheetId="6" state="hidden" r:id="rId6"/>
    <sheet name="Data Summerization" sheetId="7" state="hidden" r:id="rId7"/>
  </sheets>
  <calcPr calcId="191028"/>
  <pivotCaches>
    <pivotCache cacheId="88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9" i="1"/>
  <c r="F10" i="1"/>
  <c r="F11" i="1"/>
  <c r="F12" i="1"/>
  <c r="F13" i="1"/>
  <c r="F8" i="1"/>
  <c r="H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13" i="3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374" i="2"/>
  <c r="I374" i="2" s="1"/>
  <c r="H375" i="2"/>
  <c r="I375" i="2" s="1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 s="1"/>
  <c r="H382" i="2"/>
  <c r="I382" i="2" s="1"/>
  <c r="H383" i="2"/>
  <c r="I383" i="2" s="1"/>
  <c r="H384" i="2"/>
  <c r="I384" i="2" s="1"/>
  <c r="H385" i="2"/>
  <c r="I385" i="2" s="1"/>
  <c r="H386" i="2"/>
  <c r="I386" i="2" s="1"/>
  <c r="H387" i="2"/>
  <c r="I387" i="2" s="1"/>
  <c r="H388" i="2"/>
  <c r="I388" i="2" s="1"/>
  <c r="H389" i="2"/>
  <c r="I389" i="2" s="1"/>
  <c r="H390" i="2"/>
  <c r="I390" i="2" s="1"/>
  <c r="H391" i="2"/>
  <c r="I391" i="2" s="1"/>
  <c r="H392" i="2"/>
  <c r="I392" i="2" s="1"/>
  <c r="H393" i="2"/>
  <c r="I393" i="2" s="1"/>
  <c r="H394" i="2"/>
  <c r="I394" i="2" s="1"/>
  <c r="H395" i="2"/>
  <c r="I395" i="2" s="1"/>
  <c r="H396" i="2"/>
  <c r="I396" i="2" s="1"/>
  <c r="H397" i="2"/>
  <c r="I397" i="2" s="1"/>
  <c r="H398" i="2"/>
  <c r="I398" i="2" s="1"/>
  <c r="H399" i="2"/>
  <c r="I399" i="2" s="1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I411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 s="1"/>
  <c r="H418" i="2"/>
  <c r="I418" i="2" s="1"/>
  <c r="H419" i="2"/>
  <c r="I419" i="2" s="1"/>
  <c r="H420" i="2"/>
  <c r="I420" i="2" s="1"/>
  <c r="H421" i="2"/>
  <c r="I421" i="2" s="1"/>
  <c r="H422" i="2"/>
  <c r="I422" i="2" s="1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 s="1"/>
  <c r="H429" i="2"/>
  <c r="I429" i="2" s="1"/>
  <c r="H430" i="2"/>
  <c r="I430" i="2" s="1"/>
  <c r="H431" i="2"/>
  <c r="I431" i="2" s="1"/>
  <c r="H432" i="2"/>
  <c r="I432" i="2" s="1"/>
  <c r="H433" i="2"/>
  <c r="I433" i="2" s="1"/>
  <c r="H434" i="2"/>
  <c r="I434" i="2" s="1"/>
  <c r="H435" i="2"/>
  <c r="I435" i="2" s="1"/>
  <c r="H436" i="2"/>
  <c r="I436" i="2" s="1"/>
  <c r="H437" i="2"/>
  <c r="I437" i="2" s="1"/>
  <c r="H438" i="2"/>
  <c r="I438" i="2" s="1"/>
  <c r="H439" i="2"/>
  <c r="I439" i="2" s="1"/>
  <c r="H440" i="2"/>
  <c r="I440" i="2" s="1"/>
  <c r="H441" i="2"/>
  <c r="I441" i="2" s="1"/>
  <c r="H442" i="2"/>
  <c r="I442" i="2" s="1"/>
  <c r="H443" i="2"/>
  <c r="I443" i="2" s="1"/>
  <c r="H444" i="2"/>
  <c r="I444" i="2" s="1"/>
  <c r="H445" i="2"/>
  <c r="I445" i="2" s="1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I462" i="2" s="1"/>
  <c r="H463" i="2"/>
  <c r="I463" i="2" s="1"/>
  <c r="H464" i="2"/>
  <c r="I464" i="2" s="1"/>
  <c r="H465" i="2"/>
  <c r="I465" i="2" s="1"/>
  <c r="H466" i="2"/>
  <c r="I466" i="2" s="1"/>
  <c r="H467" i="2"/>
  <c r="I467" i="2" s="1"/>
  <c r="H468" i="2"/>
  <c r="I468" i="2" s="1"/>
  <c r="H469" i="2"/>
  <c r="I469" i="2" s="1"/>
  <c r="H470" i="2"/>
  <c r="I470" i="2" s="1"/>
  <c r="H471" i="2"/>
  <c r="I471" i="2" s="1"/>
  <c r="H472" i="2"/>
  <c r="I472" i="2" s="1"/>
  <c r="H473" i="2"/>
  <c r="I473" i="2" s="1"/>
  <c r="H474" i="2"/>
  <c r="I474" i="2" s="1"/>
  <c r="H475" i="2"/>
  <c r="I475" i="2" s="1"/>
  <c r="H476" i="2"/>
  <c r="I476" i="2" s="1"/>
  <c r="H477" i="2"/>
  <c r="I477" i="2" s="1"/>
  <c r="H478" i="2"/>
  <c r="I478" i="2" s="1"/>
  <c r="H479" i="2"/>
  <c r="I479" i="2" s="1"/>
  <c r="H480" i="2"/>
  <c r="I480" i="2" s="1"/>
  <c r="H481" i="2"/>
  <c r="I481" i="2" s="1"/>
  <c r="H482" i="2"/>
  <c r="I482" i="2" s="1"/>
  <c r="H483" i="2"/>
  <c r="I483" i="2" s="1"/>
  <c r="H484" i="2"/>
  <c r="I484" i="2" s="1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I490" i="2" s="1"/>
  <c r="H491" i="2"/>
  <c r="I491" i="2" s="1"/>
  <c r="H492" i="2"/>
  <c r="I492" i="2" s="1"/>
  <c r="H493" i="2"/>
  <c r="I493" i="2" s="1"/>
  <c r="H494" i="2"/>
  <c r="I494" i="2" s="1"/>
  <c r="H495" i="2"/>
  <c r="I495" i="2" s="1"/>
  <c r="H496" i="2"/>
  <c r="I496" i="2" s="1"/>
  <c r="H497" i="2"/>
  <c r="I497" i="2" s="1"/>
  <c r="H498" i="2"/>
  <c r="I498" i="2" s="1"/>
  <c r="H499" i="2"/>
  <c r="I499" i="2" s="1"/>
  <c r="H500" i="2"/>
  <c r="I500" i="2" s="1"/>
  <c r="H501" i="2"/>
  <c r="I501" i="2" s="1"/>
  <c r="H502" i="2"/>
  <c r="I502" i="2" s="1"/>
  <c r="H503" i="2"/>
  <c r="I503" i="2" s="1"/>
  <c r="H504" i="2"/>
  <c r="I504" i="2" s="1"/>
  <c r="H505" i="2"/>
  <c r="I505" i="2" s="1"/>
  <c r="H506" i="2"/>
  <c r="I506" i="2" s="1"/>
  <c r="H507" i="2"/>
  <c r="I507" i="2" s="1"/>
  <c r="H508" i="2"/>
  <c r="I508" i="2" s="1"/>
  <c r="H509" i="2"/>
  <c r="I509" i="2" s="1"/>
  <c r="H510" i="2"/>
  <c r="I510" i="2" s="1"/>
  <c r="H511" i="2"/>
  <c r="I511" i="2" s="1"/>
  <c r="H512" i="2"/>
  <c r="I512" i="2" s="1"/>
  <c r="H513" i="2"/>
  <c r="I513" i="2" s="1"/>
  <c r="H514" i="2"/>
  <c r="I514" i="2" s="1"/>
  <c r="H515" i="2"/>
  <c r="I515" i="2" s="1"/>
  <c r="H516" i="2"/>
  <c r="I516" i="2" s="1"/>
  <c r="H517" i="2"/>
  <c r="I517" i="2" s="1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I526" i="2" s="1"/>
  <c r="H527" i="2"/>
  <c r="I527" i="2" s="1"/>
  <c r="H528" i="2"/>
  <c r="I528" i="2" s="1"/>
  <c r="H529" i="2"/>
  <c r="I529" i="2" s="1"/>
  <c r="H530" i="2"/>
  <c r="I530" i="2" s="1"/>
  <c r="H531" i="2"/>
  <c r="I531" i="2" s="1"/>
  <c r="H532" i="2"/>
  <c r="I532" i="2" s="1"/>
  <c r="H533" i="2"/>
  <c r="I533" i="2" s="1"/>
  <c r="H534" i="2"/>
  <c r="I534" i="2" s="1"/>
  <c r="H535" i="2"/>
  <c r="I535" i="2" s="1"/>
  <c r="H536" i="2"/>
  <c r="I536" i="2" s="1"/>
  <c r="H537" i="2"/>
  <c r="I537" i="2" s="1"/>
  <c r="H538" i="2"/>
  <c r="I538" i="2" s="1"/>
  <c r="H539" i="2"/>
  <c r="I539" i="2" s="1"/>
  <c r="H540" i="2"/>
  <c r="I540" i="2" s="1"/>
  <c r="H541" i="2"/>
  <c r="I541" i="2" s="1"/>
  <c r="H542" i="2"/>
  <c r="I542" i="2" s="1"/>
  <c r="H543" i="2"/>
  <c r="I543" i="2" s="1"/>
  <c r="H544" i="2"/>
  <c r="I544" i="2" s="1"/>
  <c r="H545" i="2"/>
  <c r="I545" i="2" s="1"/>
  <c r="H546" i="2"/>
  <c r="I546" i="2" s="1"/>
  <c r="H547" i="2"/>
  <c r="I547" i="2" s="1"/>
  <c r="H548" i="2"/>
  <c r="I548" i="2" s="1"/>
  <c r="H549" i="2"/>
  <c r="I549" i="2" s="1"/>
  <c r="H550" i="2"/>
  <c r="I550" i="2" s="1"/>
  <c r="H551" i="2"/>
  <c r="I551" i="2" s="1"/>
  <c r="H552" i="2"/>
  <c r="I552" i="2" s="1"/>
  <c r="H553" i="2"/>
  <c r="I553" i="2" s="1"/>
  <c r="H554" i="2"/>
  <c r="I554" i="2" s="1"/>
  <c r="H555" i="2"/>
  <c r="I555" i="2" s="1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I562" i="2" s="1"/>
  <c r="H563" i="2"/>
  <c r="I563" i="2" s="1"/>
  <c r="H564" i="2"/>
  <c r="I564" i="2" s="1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I574" i="2" s="1"/>
  <c r="H575" i="2"/>
  <c r="I575" i="2" s="1"/>
  <c r="H576" i="2"/>
  <c r="I576" i="2" s="1"/>
  <c r="H577" i="2"/>
  <c r="I577" i="2" s="1"/>
  <c r="H578" i="2"/>
  <c r="I578" i="2" s="1"/>
  <c r="H579" i="2"/>
  <c r="I579" i="2" s="1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I590" i="2" s="1"/>
  <c r="H591" i="2"/>
  <c r="I591" i="2" s="1"/>
  <c r="H592" i="2"/>
  <c r="I592" i="2" s="1"/>
  <c r="H593" i="2"/>
  <c r="I593" i="2" s="1"/>
  <c r="H594" i="2"/>
  <c r="I594" i="2" s="1"/>
  <c r="H595" i="2"/>
  <c r="I595" i="2" s="1"/>
  <c r="H596" i="2"/>
  <c r="I596" i="2" s="1"/>
  <c r="H597" i="2"/>
  <c r="I597" i="2" s="1"/>
  <c r="H598" i="2"/>
  <c r="I598" i="2" s="1"/>
  <c r="H599" i="2"/>
  <c r="I599" i="2" s="1"/>
  <c r="H600" i="2"/>
  <c r="I600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I606" i="2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H614" i="2"/>
  <c r="I614" i="2" s="1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 s="1"/>
  <c r="H621" i="2"/>
  <c r="I621" i="2" s="1"/>
  <c r="H622" i="2"/>
  <c r="I622" i="2" s="1"/>
  <c r="H623" i="2"/>
  <c r="I623" i="2" s="1"/>
  <c r="H624" i="2"/>
  <c r="I624" i="2" s="1"/>
  <c r="H625" i="2"/>
  <c r="I625" i="2" s="1"/>
  <c r="H626" i="2"/>
  <c r="I626" i="2" s="1"/>
  <c r="H627" i="2"/>
  <c r="I627" i="2" s="1"/>
  <c r="H628" i="2"/>
  <c r="I628" i="2" s="1"/>
  <c r="H629" i="2"/>
  <c r="I629" i="2" s="1"/>
  <c r="H630" i="2"/>
  <c r="I630" i="2" s="1"/>
  <c r="H631" i="2"/>
  <c r="I631" i="2" s="1"/>
  <c r="H632" i="2"/>
  <c r="I632" i="2" s="1"/>
  <c r="H633" i="2"/>
  <c r="I633" i="2" s="1"/>
  <c r="H634" i="2"/>
  <c r="I634" i="2" s="1"/>
  <c r="H635" i="2"/>
  <c r="I635" i="2" s="1"/>
  <c r="H636" i="2"/>
  <c r="I636" i="2" s="1"/>
  <c r="H637" i="2"/>
  <c r="I637" i="2" s="1"/>
  <c r="H638" i="2"/>
  <c r="I638" i="2" s="1"/>
  <c r="H639" i="2"/>
  <c r="I639" i="2" s="1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H657" i="2"/>
  <c r="I657" i="2" s="1"/>
  <c r="H658" i="2"/>
  <c r="I658" i="2" s="1"/>
  <c r="H659" i="2"/>
  <c r="I659" i="2" s="1"/>
  <c r="H660" i="2"/>
  <c r="I660" i="2" s="1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I670" i="2" s="1"/>
  <c r="H671" i="2"/>
  <c r="I671" i="2" s="1"/>
  <c r="H672" i="2"/>
  <c r="I672" i="2" s="1"/>
  <c r="H673" i="2"/>
  <c r="I673" i="2" s="1"/>
  <c r="H674" i="2"/>
  <c r="I674" i="2" s="1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I686" i="2" s="1"/>
  <c r="H687" i="2"/>
  <c r="I687" i="2" s="1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I694" i="2" s="1"/>
  <c r="H695" i="2"/>
  <c r="I695" i="2" s="1"/>
  <c r="H696" i="2"/>
  <c r="I696" i="2" s="1"/>
  <c r="H697" i="2"/>
  <c r="I697" i="2" s="1"/>
  <c r="H698" i="2"/>
  <c r="I698" i="2" s="1"/>
  <c r="H699" i="2"/>
  <c r="I699" i="2" s="1"/>
  <c r="H700" i="2"/>
  <c r="I700" i="2" s="1"/>
  <c r="H701" i="2"/>
  <c r="I701" i="2" s="1"/>
  <c r="H702" i="2"/>
  <c r="I702" i="2" s="1"/>
  <c r="H703" i="2"/>
  <c r="I703" i="2" s="1"/>
  <c r="H704" i="2"/>
  <c r="I704" i="2" s="1"/>
  <c r="H705" i="2"/>
  <c r="I705" i="2" s="1"/>
  <c r="H706" i="2"/>
  <c r="I706" i="2" s="1"/>
  <c r="H707" i="2"/>
  <c r="I707" i="2" s="1"/>
  <c r="H708" i="2"/>
  <c r="I708" i="2" s="1"/>
  <c r="H709" i="2"/>
  <c r="I709" i="2" s="1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I718" i="2" s="1"/>
  <c r="H719" i="2"/>
  <c r="I719" i="2" s="1"/>
  <c r="H720" i="2"/>
  <c r="I720" i="2" s="1"/>
  <c r="H721" i="2"/>
  <c r="I721" i="2" s="1"/>
  <c r="H722" i="2"/>
  <c r="I722" i="2" s="1"/>
  <c r="H723" i="2"/>
  <c r="I723" i="2" s="1"/>
  <c r="H724" i="2"/>
  <c r="I724" i="2" s="1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I730" i="2" s="1"/>
  <c r="H731" i="2"/>
  <c r="I731" i="2" s="1"/>
  <c r="H732" i="2"/>
  <c r="I732" i="2" s="1"/>
  <c r="H733" i="2"/>
  <c r="I733" i="2" s="1"/>
  <c r="H734" i="2"/>
  <c r="I734" i="2" s="1"/>
  <c r="H735" i="2"/>
  <c r="I735" i="2" s="1"/>
  <c r="H736" i="2"/>
  <c r="I736" i="2" s="1"/>
  <c r="H737" i="2"/>
  <c r="I737" i="2" s="1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I750" i="2" s="1"/>
  <c r="H751" i="2"/>
  <c r="I751" i="2" s="1"/>
  <c r="H752" i="2"/>
  <c r="I752" i="2" s="1"/>
  <c r="H753" i="2"/>
  <c r="I753" i="2" s="1"/>
  <c r="H754" i="2"/>
  <c r="I754" i="2" s="1"/>
  <c r="H755" i="2"/>
  <c r="I755" i="2" s="1"/>
  <c r="H756" i="2"/>
  <c r="I756" i="2" s="1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H763" i="2"/>
  <c r="I763" i="2" s="1"/>
  <c r="H764" i="2"/>
  <c r="I764" i="2" s="1"/>
  <c r="H765" i="2"/>
  <c r="I765" i="2" s="1"/>
  <c r="H766" i="2"/>
  <c r="I766" i="2" s="1"/>
  <c r="H767" i="2"/>
  <c r="I767" i="2" s="1"/>
  <c r="H768" i="2"/>
  <c r="I768" i="2" s="1"/>
  <c r="H769" i="2"/>
  <c r="I769" i="2" s="1"/>
  <c r="H770" i="2"/>
  <c r="I770" i="2" s="1"/>
  <c r="H771" i="2"/>
  <c r="I771" i="2" s="1"/>
  <c r="H772" i="2"/>
  <c r="I772" i="2" s="1"/>
  <c r="H773" i="2"/>
  <c r="I773" i="2" s="1"/>
  <c r="H774" i="2"/>
  <c r="I774" i="2" s="1"/>
  <c r="H775" i="2"/>
  <c r="I775" i="2" s="1"/>
  <c r="H776" i="2"/>
  <c r="I776" i="2" s="1"/>
  <c r="H777" i="2"/>
  <c r="I777" i="2" s="1"/>
  <c r="H778" i="2"/>
  <c r="I778" i="2" s="1"/>
  <c r="H779" i="2"/>
  <c r="I779" i="2" s="1"/>
  <c r="H780" i="2"/>
  <c r="I780" i="2" s="1"/>
  <c r="H781" i="2"/>
  <c r="I781" i="2" s="1"/>
  <c r="H782" i="2"/>
  <c r="I782" i="2" s="1"/>
  <c r="H783" i="2"/>
  <c r="I783" i="2" s="1"/>
  <c r="H784" i="2"/>
  <c r="I784" i="2" s="1"/>
  <c r="H785" i="2"/>
  <c r="I785" i="2" s="1"/>
  <c r="H786" i="2"/>
  <c r="I786" i="2" s="1"/>
  <c r="H787" i="2"/>
  <c r="I787" i="2" s="1"/>
  <c r="H788" i="2"/>
  <c r="I788" i="2" s="1"/>
  <c r="H789" i="2"/>
  <c r="I789" i="2" s="1"/>
  <c r="H790" i="2"/>
  <c r="I790" i="2" s="1"/>
  <c r="H791" i="2"/>
  <c r="I791" i="2" s="1"/>
  <c r="H792" i="2"/>
  <c r="I792" i="2" s="1"/>
  <c r="H793" i="2"/>
  <c r="I793" i="2" s="1"/>
  <c r="H794" i="2"/>
  <c r="I794" i="2" s="1"/>
  <c r="H795" i="2"/>
  <c r="I795" i="2" s="1"/>
  <c r="H796" i="2"/>
  <c r="I796" i="2" s="1"/>
  <c r="H797" i="2"/>
  <c r="I797" i="2" s="1"/>
  <c r="H798" i="2"/>
  <c r="I798" i="2" s="1"/>
  <c r="H799" i="2"/>
  <c r="I799" i="2" s="1"/>
  <c r="H800" i="2"/>
  <c r="I800" i="2" s="1"/>
  <c r="H801" i="2"/>
  <c r="I801" i="2" s="1"/>
  <c r="H802" i="2"/>
  <c r="I802" i="2" s="1"/>
  <c r="H803" i="2"/>
  <c r="I803" i="2" s="1"/>
  <c r="H804" i="2"/>
  <c r="I804" i="2" s="1"/>
  <c r="H805" i="2"/>
  <c r="I805" i="2" s="1"/>
  <c r="H806" i="2"/>
  <c r="I806" i="2" s="1"/>
  <c r="H807" i="2"/>
  <c r="I807" i="2" s="1"/>
  <c r="H808" i="2"/>
  <c r="I808" i="2" s="1"/>
  <c r="H809" i="2"/>
  <c r="I809" i="2" s="1"/>
  <c r="H810" i="2"/>
  <c r="I810" i="2" s="1"/>
  <c r="H811" i="2"/>
  <c r="I811" i="2" s="1"/>
  <c r="H812" i="2"/>
  <c r="I812" i="2" s="1"/>
  <c r="H813" i="2"/>
  <c r="I813" i="2" s="1"/>
  <c r="H814" i="2"/>
  <c r="I814" i="2" s="1"/>
  <c r="H815" i="2"/>
  <c r="I815" i="2" s="1"/>
  <c r="H816" i="2"/>
  <c r="I816" i="2" s="1"/>
  <c r="H817" i="2"/>
  <c r="I817" i="2" s="1"/>
  <c r="H818" i="2"/>
  <c r="I818" i="2" s="1"/>
  <c r="H819" i="2"/>
  <c r="I819" i="2" s="1"/>
  <c r="H820" i="2"/>
  <c r="I820" i="2" s="1"/>
  <c r="H821" i="2"/>
  <c r="I821" i="2" s="1"/>
  <c r="H822" i="2"/>
  <c r="I822" i="2" s="1"/>
  <c r="H823" i="2"/>
  <c r="I823" i="2" s="1"/>
  <c r="H824" i="2"/>
  <c r="I824" i="2" s="1"/>
  <c r="H825" i="2"/>
  <c r="I825" i="2" s="1"/>
  <c r="H826" i="2"/>
  <c r="I826" i="2" s="1"/>
  <c r="H827" i="2"/>
  <c r="I827" i="2" s="1"/>
  <c r="H828" i="2"/>
  <c r="I828" i="2" s="1"/>
  <c r="H829" i="2"/>
  <c r="I829" i="2" s="1"/>
  <c r="H830" i="2"/>
  <c r="I830" i="2" s="1"/>
  <c r="H831" i="2"/>
  <c r="I831" i="2" s="1"/>
  <c r="H832" i="2"/>
  <c r="I832" i="2" s="1"/>
  <c r="H833" i="2"/>
  <c r="I833" i="2" s="1"/>
  <c r="H834" i="2"/>
  <c r="I834" i="2" s="1"/>
  <c r="H835" i="2"/>
  <c r="I835" i="2" s="1"/>
  <c r="H836" i="2"/>
  <c r="I836" i="2" s="1"/>
  <c r="H837" i="2"/>
  <c r="I837" i="2" s="1"/>
  <c r="H838" i="2"/>
  <c r="I838" i="2" s="1"/>
  <c r="H839" i="2"/>
  <c r="I839" i="2" s="1"/>
  <c r="H840" i="2"/>
  <c r="I840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50" i="2"/>
  <c r="I850" i="2" s="1"/>
  <c r="H851" i="2"/>
  <c r="I851" i="2" s="1"/>
  <c r="H852" i="2"/>
  <c r="I852" i="2" s="1"/>
  <c r="H853" i="2"/>
  <c r="I853" i="2" s="1"/>
  <c r="H854" i="2"/>
  <c r="I854" i="2" s="1"/>
  <c r="H855" i="2"/>
  <c r="I855" i="2" s="1"/>
  <c r="H856" i="2"/>
  <c r="I856" i="2" s="1"/>
  <c r="H857" i="2"/>
  <c r="I857" i="2" s="1"/>
  <c r="H858" i="2"/>
  <c r="I858" i="2" s="1"/>
  <c r="H859" i="2"/>
  <c r="I859" i="2" s="1"/>
  <c r="H860" i="2"/>
  <c r="I860" i="2" s="1"/>
  <c r="H861" i="2"/>
  <c r="I861" i="2" s="1"/>
  <c r="H862" i="2"/>
  <c r="I862" i="2" s="1"/>
  <c r="H863" i="2"/>
  <c r="I863" i="2" s="1"/>
  <c r="H864" i="2"/>
  <c r="I864" i="2" s="1"/>
  <c r="H865" i="2"/>
  <c r="I865" i="2" s="1"/>
  <c r="H866" i="2"/>
  <c r="I866" i="2" s="1"/>
  <c r="H867" i="2"/>
  <c r="I867" i="2" s="1"/>
  <c r="H868" i="2"/>
  <c r="I868" i="2" s="1"/>
  <c r="H869" i="2"/>
  <c r="I869" i="2" s="1"/>
  <c r="H870" i="2"/>
  <c r="I870" i="2" s="1"/>
  <c r="H871" i="2"/>
  <c r="I871" i="2" s="1"/>
  <c r="H872" i="2"/>
  <c r="I872" i="2" s="1"/>
  <c r="H873" i="2"/>
  <c r="I873" i="2" s="1"/>
  <c r="H874" i="2"/>
  <c r="I874" i="2" s="1"/>
  <c r="H875" i="2"/>
  <c r="I875" i="2" s="1"/>
  <c r="H876" i="2"/>
  <c r="I87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84" i="2"/>
  <c r="I884" i="2" s="1"/>
  <c r="H885" i="2"/>
  <c r="I885" i="2" s="1"/>
  <c r="H886" i="2"/>
  <c r="I886" i="2" s="1"/>
  <c r="H887" i="2"/>
  <c r="I887" i="2" s="1"/>
  <c r="H888" i="2"/>
  <c r="I888" i="2" s="1"/>
  <c r="H889" i="2"/>
  <c r="I889" i="2" s="1"/>
  <c r="H890" i="2"/>
  <c r="I890" i="2" s="1"/>
  <c r="H891" i="2"/>
  <c r="I891" i="2" s="1"/>
  <c r="H892" i="2"/>
  <c r="I892" i="2" s="1"/>
  <c r="H893" i="2"/>
  <c r="I893" i="2" s="1"/>
  <c r="H894" i="2"/>
  <c r="I894" i="2" s="1"/>
  <c r="H895" i="2"/>
  <c r="I895" i="2" s="1"/>
  <c r="H896" i="2"/>
  <c r="I896" i="2" s="1"/>
  <c r="H897" i="2"/>
  <c r="I897" i="2" s="1"/>
  <c r="H898" i="2"/>
  <c r="I898" i="2" s="1"/>
  <c r="H899" i="2"/>
  <c r="I899" i="2" s="1"/>
  <c r="H900" i="2"/>
  <c r="I900" i="2" s="1"/>
  <c r="H901" i="2"/>
  <c r="I901" i="2" s="1"/>
  <c r="H902" i="2"/>
  <c r="I902" i="2" s="1"/>
  <c r="H903" i="2"/>
  <c r="I903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H928" i="2"/>
  <c r="I928" i="2" s="1"/>
  <c r="H929" i="2"/>
  <c r="I929" i="2" s="1"/>
  <c r="H930" i="2"/>
  <c r="I930" i="2" s="1"/>
  <c r="H931" i="2"/>
  <c r="I931" i="2" s="1"/>
  <c r="H932" i="2"/>
  <c r="I932" i="2" s="1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48" i="2"/>
  <c r="I948" i="2" s="1"/>
  <c r="H949" i="2"/>
  <c r="I949" i="2" s="1"/>
  <c r="H950" i="2"/>
  <c r="I950" i="2" s="1"/>
  <c r="H951" i="2"/>
  <c r="I951" i="2" s="1"/>
  <c r="H952" i="2"/>
  <c r="I952" i="2" s="1"/>
  <c r="H953" i="2"/>
  <c r="I953" i="2" s="1"/>
  <c r="H954" i="2"/>
  <c r="I954" i="2" s="1"/>
  <c r="H955" i="2"/>
  <c r="I955" i="2" s="1"/>
  <c r="H956" i="2"/>
  <c r="I956" i="2" s="1"/>
  <c r="H957" i="2"/>
  <c r="I957" i="2" s="1"/>
  <c r="H958" i="2"/>
  <c r="I958" i="2" s="1"/>
  <c r="H959" i="2"/>
  <c r="I959" i="2" s="1"/>
  <c r="H960" i="2"/>
  <c r="I960" i="2" s="1"/>
  <c r="H961" i="2"/>
  <c r="I961" i="2" s="1"/>
  <c r="H962" i="2"/>
  <c r="I962" i="2" s="1"/>
  <c r="H963" i="2"/>
  <c r="I963" i="2" s="1"/>
  <c r="H964" i="2"/>
  <c r="I964" i="2" s="1"/>
  <c r="H965" i="2"/>
  <c r="I965" i="2" s="1"/>
  <c r="H966" i="2"/>
  <c r="I966" i="2" s="1"/>
  <c r="H967" i="2"/>
  <c r="I967" i="2" s="1"/>
  <c r="H968" i="2"/>
  <c r="I968" i="2" s="1"/>
  <c r="H969" i="2"/>
  <c r="I969" i="2" s="1"/>
  <c r="H970" i="2"/>
  <c r="I970" i="2" s="1"/>
  <c r="H971" i="2"/>
  <c r="I971" i="2" s="1"/>
  <c r="H972" i="2"/>
  <c r="I972" i="2" s="1"/>
  <c r="H973" i="2"/>
  <c r="I973" i="2" s="1"/>
  <c r="H974" i="2"/>
  <c r="I974" i="2" s="1"/>
  <c r="H975" i="2"/>
  <c r="I975" i="2" s="1"/>
  <c r="H976" i="2"/>
  <c r="I976" i="2" s="1"/>
  <c r="H977" i="2"/>
  <c r="I977" i="2" s="1"/>
  <c r="H978" i="2"/>
  <c r="I978" i="2" s="1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H986" i="2"/>
  <c r="I986" i="2" s="1"/>
  <c r="H987" i="2"/>
  <c r="I987" i="2" s="1"/>
  <c r="H988" i="2"/>
  <c r="I988" i="2" s="1"/>
  <c r="H989" i="2"/>
  <c r="I989" i="2" s="1"/>
  <c r="H990" i="2"/>
  <c r="I990" i="2" s="1"/>
  <c r="H991" i="2"/>
  <c r="I991" i="2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H999" i="2"/>
  <c r="I999" i="2" s="1"/>
  <c r="H1000" i="2"/>
  <c r="I1000" i="2" s="1"/>
  <c r="H1001" i="2"/>
  <c r="I1001" i="2" s="1"/>
  <c r="H1002" i="2"/>
  <c r="I1002" i="2" s="1"/>
  <c r="H1003" i="2"/>
  <c r="I1003" i="2" s="1"/>
  <c r="H1004" i="2"/>
  <c r="I1004" i="2" s="1"/>
  <c r="H1005" i="2"/>
  <c r="I1005" i="2" s="1"/>
  <c r="H1006" i="2"/>
  <c r="I1006" i="2" s="1"/>
  <c r="H1007" i="2"/>
  <c r="I1007" i="2" s="1"/>
  <c r="H1008" i="2"/>
  <c r="I1008" i="2" s="1"/>
  <c r="H1009" i="2"/>
  <c r="I1009" i="2" s="1"/>
  <c r="H1010" i="2"/>
  <c r="I1010" i="2" s="1"/>
  <c r="H1011" i="2"/>
  <c r="I1011" i="2" s="1"/>
  <c r="H1012" i="2"/>
  <c r="I1012" i="2" s="1"/>
  <c r="H1013" i="2"/>
  <c r="I1013" i="2" s="1"/>
  <c r="H1014" i="2"/>
  <c r="I1014" i="2" s="1"/>
  <c r="H1015" i="2"/>
  <c r="I1015" i="2" s="1"/>
  <c r="H1016" i="2"/>
  <c r="I1016" i="2" s="1"/>
  <c r="H1017" i="2"/>
  <c r="I1017" i="2" s="1"/>
  <c r="H1018" i="2"/>
  <c r="I1018" i="2" s="1"/>
  <c r="H1019" i="2"/>
  <c r="I1019" i="2" s="1"/>
  <c r="H1020" i="2"/>
  <c r="I1020" i="2" s="1"/>
  <c r="H1021" i="2"/>
  <c r="I1021" i="2" s="1"/>
  <c r="H1022" i="2"/>
  <c r="I1022" i="2" s="1"/>
  <c r="H1023" i="2"/>
  <c r="I1023" i="2" s="1"/>
  <c r="H1024" i="2"/>
  <c r="I1024" i="2" s="1"/>
  <c r="H1025" i="2"/>
  <c r="I1025" i="2" s="1"/>
  <c r="H1026" i="2"/>
  <c r="I1026" i="2" s="1"/>
  <c r="H1027" i="2"/>
  <c r="I1027" i="2" s="1"/>
  <c r="H1028" i="2"/>
  <c r="I1028" i="2" s="1"/>
  <c r="H1029" i="2"/>
  <c r="I1029" i="2" s="1"/>
  <c r="H1030" i="2"/>
  <c r="I1030" i="2" s="1"/>
  <c r="H1031" i="2"/>
  <c r="I1031" i="2" s="1"/>
  <c r="H1032" i="2"/>
  <c r="I1032" i="2" s="1"/>
  <c r="H1033" i="2"/>
  <c r="I1033" i="2" s="1"/>
  <c r="H1034" i="2"/>
  <c r="I1034" i="2" s="1"/>
  <c r="H1035" i="2"/>
  <c r="I1035" i="2" s="1"/>
  <c r="H1036" i="2"/>
  <c r="I1036" i="2" s="1"/>
  <c r="H1037" i="2"/>
  <c r="I1037" i="2" s="1"/>
  <c r="H1038" i="2"/>
  <c r="I1038" i="2" s="1"/>
  <c r="H1039" i="2"/>
  <c r="I1039" i="2" s="1"/>
  <c r="H1040" i="2"/>
  <c r="I1040" i="2" s="1"/>
  <c r="H1041" i="2"/>
  <c r="I1041" i="2" s="1"/>
  <c r="H1042" i="2"/>
  <c r="I1042" i="2" s="1"/>
  <c r="H1043" i="2"/>
  <c r="I1043" i="2" s="1"/>
  <c r="H1044" i="2"/>
  <c r="I1044" i="2" s="1"/>
  <c r="H1045" i="2"/>
  <c r="I1045" i="2" s="1"/>
  <c r="H1046" i="2"/>
  <c r="I1046" i="2" s="1"/>
  <c r="H1047" i="2"/>
  <c r="I1047" i="2" s="1"/>
  <c r="H1048" i="2"/>
  <c r="I1048" i="2" s="1"/>
  <c r="H1049" i="2"/>
  <c r="I1049" i="2" s="1"/>
  <c r="H1050" i="2"/>
  <c r="I1050" i="2" s="1"/>
  <c r="H1051" i="2"/>
  <c r="I1051" i="2" s="1"/>
  <c r="H1052" i="2"/>
  <c r="I1052" i="2" s="1"/>
  <c r="H1053" i="2"/>
  <c r="I1053" i="2" s="1"/>
  <c r="H1054" i="2"/>
  <c r="I1054" i="2" s="1"/>
  <c r="H1055" i="2"/>
  <c r="I1055" i="2" s="1"/>
  <c r="H1056" i="2"/>
  <c r="I1056" i="2" s="1"/>
  <c r="H1057" i="2"/>
  <c r="I1057" i="2" s="1"/>
  <c r="H1058" i="2"/>
  <c r="I1058" i="2" s="1"/>
  <c r="H1059" i="2"/>
  <c r="I1059" i="2" s="1"/>
  <c r="H1060" i="2"/>
  <c r="I1060" i="2" s="1"/>
  <c r="H1061" i="2"/>
  <c r="I1061" i="2" s="1"/>
  <c r="H1062" i="2"/>
  <c r="I1062" i="2" s="1"/>
  <c r="H1063" i="2"/>
  <c r="I1063" i="2" s="1"/>
  <c r="H1064" i="2"/>
  <c r="I1064" i="2" s="1"/>
  <c r="H1065" i="2"/>
  <c r="I1065" i="2" s="1"/>
  <c r="H1066" i="2"/>
  <c r="I1066" i="2" s="1"/>
  <c r="H1067" i="2"/>
  <c r="I1067" i="2" s="1"/>
  <c r="H1068" i="2"/>
  <c r="I1068" i="2" s="1"/>
  <c r="H1069" i="2"/>
  <c r="I1069" i="2" s="1"/>
  <c r="H1070" i="2"/>
  <c r="I1070" i="2" s="1"/>
  <c r="H1071" i="2"/>
  <c r="I1071" i="2" s="1"/>
  <c r="H1072" i="2"/>
  <c r="I1072" i="2" s="1"/>
  <c r="H1073" i="2"/>
  <c r="I1073" i="2" s="1"/>
  <c r="H1074" i="2"/>
  <c r="I1074" i="2" s="1"/>
  <c r="H1075" i="2"/>
  <c r="I1075" i="2" s="1"/>
  <c r="H1076" i="2"/>
  <c r="I1076" i="2" s="1"/>
  <c r="H1077" i="2"/>
  <c r="I1077" i="2" s="1"/>
  <c r="H1078" i="2"/>
  <c r="I1078" i="2" s="1"/>
  <c r="H1079" i="2"/>
  <c r="I1079" i="2" s="1"/>
  <c r="H1080" i="2"/>
  <c r="I1080" i="2" s="1"/>
  <c r="H1081" i="2"/>
  <c r="I1081" i="2" s="1"/>
  <c r="H1082" i="2"/>
  <c r="I1082" i="2" s="1"/>
  <c r="H1083" i="2"/>
  <c r="I1083" i="2" s="1"/>
  <c r="H1084" i="2"/>
  <c r="I1084" i="2" s="1"/>
  <c r="H1085" i="2"/>
  <c r="I1085" i="2" s="1"/>
  <c r="H1086" i="2"/>
  <c r="I1086" i="2" s="1"/>
  <c r="H1087" i="2"/>
  <c r="I1087" i="2" s="1"/>
  <c r="H1088" i="2"/>
  <c r="I1088" i="2" s="1"/>
  <c r="H1089" i="2"/>
  <c r="I1089" i="2" s="1"/>
  <c r="H1090" i="2"/>
  <c r="I1090" i="2" s="1"/>
  <c r="H1091" i="2"/>
  <c r="I1091" i="2" s="1"/>
  <c r="H1092" i="2"/>
  <c r="I1092" i="2" s="1"/>
  <c r="H1093" i="2"/>
  <c r="I1093" i="2" s="1"/>
  <c r="H1094" i="2"/>
  <c r="I1094" i="2" s="1"/>
  <c r="H1095" i="2"/>
  <c r="I1095" i="2" s="1"/>
  <c r="H1096" i="2"/>
  <c r="I1096" i="2" s="1"/>
  <c r="H1097" i="2"/>
  <c r="I1097" i="2" s="1"/>
  <c r="H1098" i="2"/>
  <c r="I1098" i="2" s="1"/>
  <c r="H1099" i="2"/>
  <c r="I1099" i="2" s="1"/>
  <c r="H1100" i="2"/>
  <c r="I1100" i="2" s="1"/>
  <c r="H1101" i="2"/>
  <c r="I1101" i="2" s="1"/>
  <c r="H1102" i="2"/>
  <c r="I1102" i="2" s="1"/>
  <c r="H1103" i="2"/>
  <c r="I1103" i="2" s="1"/>
  <c r="H1104" i="2"/>
  <c r="I1104" i="2" s="1"/>
  <c r="H1105" i="2"/>
  <c r="I1105" i="2" s="1"/>
  <c r="H1106" i="2"/>
  <c r="I1106" i="2" s="1"/>
  <c r="H1107" i="2"/>
  <c r="I1107" i="2" s="1"/>
  <c r="H1108" i="2"/>
  <c r="I1108" i="2" s="1"/>
  <c r="H1109" i="2"/>
  <c r="I1109" i="2" s="1"/>
  <c r="H1110" i="2"/>
  <c r="I1110" i="2" s="1"/>
  <c r="H1111" i="2"/>
  <c r="I1111" i="2" s="1"/>
  <c r="H1112" i="2"/>
  <c r="I1112" i="2" s="1"/>
  <c r="H1113" i="2"/>
  <c r="I1113" i="2" s="1"/>
  <c r="H1114" i="2"/>
  <c r="I1114" i="2" s="1"/>
  <c r="H1115" i="2"/>
  <c r="I1115" i="2" s="1"/>
  <c r="H1116" i="2"/>
  <c r="I1116" i="2" s="1"/>
  <c r="H1117" i="2"/>
  <c r="I1117" i="2" s="1"/>
  <c r="H1118" i="2"/>
  <c r="I1118" i="2" s="1"/>
  <c r="H1119" i="2"/>
  <c r="I1119" i="2" s="1"/>
  <c r="H1120" i="2"/>
  <c r="I1120" i="2" s="1"/>
  <c r="H1121" i="2"/>
  <c r="I1121" i="2" s="1"/>
  <c r="H1122" i="2"/>
  <c r="I1122" i="2" s="1"/>
  <c r="H1123" i="2"/>
  <c r="I1123" i="2" s="1"/>
  <c r="H1124" i="2"/>
  <c r="I1124" i="2" s="1"/>
  <c r="H1125" i="2"/>
  <c r="I1125" i="2" s="1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 s="1"/>
  <c r="H1132" i="2"/>
  <c r="I1132" i="2" s="1"/>
  <c r="H1133" i="2"/>
  <c r="I1133" i="2" s="1"/>
  <c r="H1134" i="2"/>
  <c r="I1134" i="2" s="1"/>
  <c r="H1135" i="2"/>
  <c r="I1135" i="2" s="1"/>
  <c r="H1136" i="2"/>
  <c r="I1136" i="2" s="1"/>
  <c r="H1137" i="2"/>
  <c r="I1137" i="2" s="1"/>
  <c r="H1138" i="2"/>
  <c r="I1138" i="2" s="1"/>
  <c r="H1139" i="2"/>
  <c r="I1139" i="2" s="1"/>
  <c r="H1140" i="2"/>
  <c r="I1140" i="2" s="1"/>
  <c r="H1141" i="2"/>
  <c r="I1141" i="2" s="1"/>
  <c r="H1142" i="2"/>
  <c r="I1142" i="2" s="1"/>
  <c r="H1143" i="2"/>
  <c r="I1143" i="2" s="1"/>
  <c r="H1144" i="2"/>
  <c r="I1144" i="2" s="1"/>
  <c r="H1145" i="2"/>
  <c r="I1145" i="2" s="1"/>
  <c r="H1146" i="2"/>
  <c r="I1146" i="2" s="1"/>
  <c r="H1147" i="2"/>
  <c r="I1147" i="2" s="1"/>
  <c r="H1148" i="2"/>
  <c r="I1148" i="2" s="1"/>
  <c r="H1149" i="2"/>
  <c r="I1149" i="2" s="1"/>
  <c r="H1150" i="2"/>
  <c r="I1150" i="2" s="1"/>
  <c r="H1151" i="2"/>
  <c r="I1151" i="2" s="1"/>
  <c r="H1152" i="2"/>
  <c r="I1152" i="2" s="1"/>
  <c r="H1153" i="2"/>
  <c r="I1153" i="2" s="1"/>
  <c r="H1154" i="2"/>
  <c r="I1154" i="2" s="1"/>
  <c r="H1155" i="2"/>
  <c r="I1155" i="2" s="1"/>
  <c r="H1156" i="2"/>
  <c r="I1156" i="2" s="1"/>
  <c r="H1157" i="2"/>
  <c r="I1157" i="2" s="1"/>
  <c r="H1158" i="2"/>
  <c r="I1158" i="2" s="1"/>
  <c r="H1159" i="2"/>
  <c r="I1159" i="2" s="1"/>
  <c r="H1160" i="2"/>
  <c r="I1160" i="2" s="1"/>
  <c r="H1161" i="2"/>
  <c r="I1161" i="2" s="1"/>
  <c r="H1162" i="2"/>
  <c r="I1162" i="2" s="1"/>
  <c r="H1163" i="2"/>
  <c r="I1163" i="2" s="1"/>
  <c r="H1164" i="2"/>
  <c r="I1164" i="2" s="1"/>
  <c r="H1165" i="2"/>
  <c r="I1165" i="2" s="1"/>
  <c r="H1166" i="2"/>
  <c r="I1166" i="2" s="1"/>
  <c r="H1167" i="2"/>
  <c r="I1167" i="2" s="1"/>
  <c r="H1168" i="2"/>
  <c r="I1168" i="2" s="1"/>
  <c r="H1169" i="2"/>
  <c r="I1169" i="2" s="1"/>
  <c r="H1170" i="2"/>
  <c r="I1170" i="2" s="1"/>
  <c r="H1171" i="2"/>
  <c r="I1171" i="2" s="1"/>
  <c r="H1172" i="2"/>
  <c r="I1172" i="2" s="1"/>
  <c r="H1173" i="2"/>
  <c r="I1173" i="2" s="1"/>
  <c r="H1174" i="2"/>
  <c r="I1174" i="2" s="1"/>
  <c r="H1175" i="2"/>
  <c r="I1175" i="2" s="1"/>
  <c r="H1176" i="2"/>
  <c r="I1176" i="2" s="1"/>
  <c r="H1177" i="2"/>
  <c r="I1177" i="2" s="1"/>
  <c r="H1178" i="2"/>
  <c r="I1178" i="2" s="1"/>
  <c r="H1179" i="2"/>
  <c r="I1179" i="2" s="1"/>
  <c r="H1180" i="2"/>
  <c r="I1180" i="2" s="1"/>
  <c r="H1181" i="2"/>
  <c r="I1181" i="2" s="1"/>
  <c r="H1182" i="2"/>
  <c r="I1182" i="2" s="1"/>
  <c r="H1183" i="2"/>
  <c r="I1183" i="2" s="1"/>
  <c r="H1184" i="2"/>
  <c r="I1184" i="2" s="1"/>
  <c r="H1185" i="2"/>
  <c r="I1185" i="2" s="1"/>
  <c r="H1186" i="2"/>
  <c r="I1186" i="2" s="1"/>
  <c r="H1187" i="2"/>
  <c r="I1187" i="2" s="1"/>
  <c r="H1188" i="2"/>
  <c r="I1188" i="2" s="1"/>
  <c r="H1189" i="2"/>
  <c r="I1189" i="2" s="1"/>
  <c r="H1190" i="2"/>
  <c r="I1190" i="2" s="1"/>
  <c r="H1191" i="2"/>
  <c r="I1191" i="2" s="1"/>
  <c r="H1192" i="2"/>
  <c r="I1192" i="2" s="1"/>
  <c r="H1193" i="2"/>
  <c r="I1193" i="2" s="1"/>
  <c r="H1194" i="2"/>
  <c r="I1194" i="2" s="1"/>
  <c r="H1195" i="2"/>
  <c r="I1195" i="2" s="1"/>
  <c r="H1196" i="2"/>
  <c r="I1196" i="2" s="1"/>
  <c r="H1197" i="2"/>
  <c r="I1197" i="2" s="1"/>
  <c r="H1198" i="2"/>
  <c r="I1198" i="2" s="1"/>
  <c r="H1199" i="2"/>
  <c r="I1199" i="2" s="1"/>
  <c r="H1200" i="2"/>
  <c r="I1200" i="2" s="1"/>
  <c r="H1201" i="2"/>
  <c r="I1201" i="2" s="1"/>
  <c r="H1202" i="2"/>
  <c r="I1202" i="2" s="1"/>
  <c r="H1203" i="2"/>
  <c r="I1203" i="2" s="1"/>
  <c r="H1204" i="2"/>
  <c r="I1204" i="2" s="1"/>
  <c r="H1205" i="2"/>
  <c r="I1205" i="2" s="1"/>
  <c r="H1206" i="2"/>
  <c r="I1206" i="2" s="1"/>
  <c r="H1207" i="2"/>
  <c r="I1207" i="2" s="1"/>
  <c r="H1208" i="2"/>
  <c r="I1208" i="2" s="1"/>
  <c r="H1209" i="2"/>
  <c r="I1209" i="2" s="1"/>
  <c r="H1210" i="2"/>
  <c r="I1210" i="2" s="1"/>
  <c r="H1211" i="2"/>
  <c r="I1211" i="2" s="1"/>
  <c r="H1212" i="2"/>
  <c r="I1212" i="2" s="1"/>
  <c r="H1213" i="2"/>
  <c r="I1213" i="2" s="1"/>
  <c r="H1214" i="2"/>
  <c r="I1214" i="2" s="1"/>
  <c r="H1215" i="2"/>
  <c r="I1215" i="2" s="1"/>
  <c r="H1216" i="2"/>
  <c r="I1216" i="2" s="1"/>
  <c r="H1217" i="2"/>
  <c r="I1217" i="2" s="1"/>
  <c r="H1218" i="2"/>
  <c r="I1218" i="2" s="1"/>
  <c r="H1219" i="2"/>
  <c r="I1219" i="2" s="1"/>
  <c r="H1220" i="2"/>
  <c r="I1220" i="2" s="1"/>
  <c r="H1221" i="2"/>
  <c r="I1221" i="2" s="1"/>
  <c r="H1222" i="2"/>
  <c r="I1222" i="2" s="1"/>
  <c r="H1223" i="2"/>
  <c r="I1223" i="2" s="1"/>
  <c r="H1224" i="2"/>
  <c r="I1224" i="2" s="1"/>
  <c r="H1225" i="2"/>
  <c r="I1225" i="2" s="1"/>
  <c r="H1226" i="2"/>
  <c r="I1226" i="2" s="1"/>
  <c r="H1227" i="2"/>
  <c r="I1227" i="2" s="1"/>
  <c r="H1228" i="2"/>
  <c r="I1228" i="2" s="1"/>
  <c r="H1229" i="2"/>
  <c r="I1229" i="2" s="1"/>
  <c r="H1230" i="2"/>
  <c r="I1230" i="2" s="1"/>
  <c r="H1231" i="2"/>
  <c r="I1231" i="2" s="1"/>
  <c r="H1232" i="2"/>
  <c r="I1232" i="2" s="1"/>
  <c r="H1233" i="2"/>
  <c r="I1233" i="2" s="1"/>
  <c r="H1234" i="2"/>
  <c r="I1234" i="2" s="1"/>
  <c r="H1235" i="2"/>
  <c r="I1235" i="2" s="1"/>
  <c r="H1236" i="2"/>
  <c r="I1236" i="2" s="1"/>
  <c r="H1237" i="2"/>
  <c r="I1237" i="2" s="1"/>
  <c r="H1238" i="2"/>
  <c r="I1238" i="2" s="1"/>
  <c r="H1239" i="2"/>
  <c r="I1239" i="2" s="1"/>
  <c r="H1240" i="2"/>
  <c r="I1240" i="2" s="1"/>
  <c r="H1241" i="2"/>
  <c r="I1241" i="2" s="1"/>
  <c r="H1242" i="2"/>
  <c r="I1242" i="2" s="1"/>
  <c r="H1243" i="2"/>
  <c r="I1243" i="2" s="1"/>
  <c r="H1244" i="2"/>
  <c r="I1244" i="2" s="1"/>
  <c r="H1245" i="2"/>
  <c r="I1245" i="2" s="1"/>
  <c r="H1246" i="2"/>
  <c r="I1246" i="2" s="1"/>
  <c r="H1247" i="2"/>
  <c r="I1247" i="2" s="1"/>
  <c r="H1248" i="2"/>
  <c r="I1248" i="2" s="1"/>
  <c r="H1249" i="2"/>
  <c r="I1249" i="2" s="1"/>
  <c r="H1250" i="2"/>
  <c r="I1250" i="2" s="1"/>
  <c r="H1251" i="2"/>
  <c r="I1251" i="2" s="1"/>
  <c r="H1252" i="2"/>
  <c r="I1252" i="2" s="1"/>
  <c r="H1253" i="2"/>
  <c r="I1253" i="2" s="1"/>
  <c r="H1254" i="2"/>
  <c r="I1254" i="2" s="1"/>
  <c r="H1255" i="2"/>
  <c r="I1255" i="2" s="1"/>
  <c r="H1256" i="2"/>
  <c r="I1256" i="2" s="1"/>
  <c r="H1257" i="2"/>
  <c r="I1257" i="2" s="1"/>
  <c r="H1258" i="2"/>
  <c r="I1258" i="2" s="1"/>
  <c r="H1259" i="2"/>
  <c r="I1259" i="2" s="1"/>
  <c r="H1260" i="2"/>
  <c r="I1260" i="2" s="1"/>
  <c r="H1261" i="2"/>
  <c r="I1261" i="2" s="1"/>
  <c r="H1262" i="2"/>
  <c r="I1262" i="2" s="1"/>
  <c r="H1263" i="2"/>
  <c r="I1263" i="2" s="1"/>
  <c r="H1264" i="2"/>
  <c r="I1264" i="2" s="1"/>
  <c r="H1265" i="2"/>
  <c r="I1265" i="2" s="1"/>
  <c r="H1266" i="2"/>
  <c r="I1266" i="2" s="1"/>
  <c r="H1267" i="2"/>
  <c r="I1267" i="2" s="1"/>
  <c r="H1268" i="2"/>
  <c r="I1268" i="2" s="1"/>
  <c r="H1269" i="2"/>
  <c r="I1269" i="2" s="1"/>
  <c r="H1270" i="2"/>
  <c r="I1270" i="2" s="1"/>
  <c r="H1271" i="2"/>
  <c r="I1271" i="2" s="1"/>
  <c r="H1272" i="2"/>
  <c r="I1272" i="2" s="1"/>
  <c r="H1273" i="2"/>
  <c r="I1273" i="2" s="1"/>
  <c r="H1274" i="2"/>
  <c r="I1274" i="2" s="1"/>
  <c r="H1275" i="2"/>
  <c r="I1275" i="2" s="1"/>
  <c r="H1276" i="2"/>
  <c r="I1276" i="2" s="1"/>
  <c r="H1277" i="2"/>
  <c r="I1277" i="2" s="1"/>
  <c r="H1278" i="2"/>
  <c r="I1278" i="2" s="1"/>
  <c r="H1279" i="2"/>
  <c r="I1279" i="2" s="1"/>
  <c r="H1280" i="2"/>
  <c r="I1280" i="2" s="1"/>
  <c r="H1281" i="2"/>
  <c r="I1281" i="2" s="1"/>
  <c r="H1282" i="2"/>
  <c r="I1282" i="2" s="1"/>
  <c r="H1283" i="2"/>
  <c r="I1283" i="2" s="1"/>
  <c r="H1284" i="2"/>
  <c r="I1284" i="2" s="1"/>
  <c r="H1285" i="2"/>
  <c r="I1285" i="2" s="1"/>
  <c r="H1286" i="2"/>
  <c r="I1286" i="2" s="1"/>
  <c r="H1287" i="2"/>
  <c r="I1287" i="2" s="1"/>
  <c r="H1288" i="2"/>
  <c r="I1288" i="2" s="1"/>
  <c r="H1289" i="2"/>
  <c r="I1289" i="2" s="1"/>
  <c r="H1290" i="2"/>
  <c r="I1290" i="2" s="1"/>
  <c r="H1291" i="2"/>
  <c r="I1291" i="2" s="1"/>
  <c r="H1292" i="2"/>
  <c r="I1292" i="2" s="1"/>
  <c r="H1293" i="2"/>
  <c r="I1293" i="2" s="1"/>
  <c r="H1294" i="2"/>
  <c r="I1294" i="2" s="1"/>
  <c r="H1295" i="2"/>
  <c r="I1295" i="2" s="1"/>
  <c r="H1296" i="2"/>
  <c r="I1296" i="2" s="1"/>
  <c r="H1297" i="2"/>
  <c r="I1297" i="2" s="1"/>
  <c r="H1298" i="2"/>
  <c r="I1298" i="2" s="1"/>
  <c r="H1299" i="2"/>
  <c r="I1299" i="2" s="1"/>
  <c r="H1300" i="2"/>
  <c r="I1300" i="2" s="1"/>
  <c r="H1301" i="2"/>
  <c r="I1301" i="2" s="1"/>
  <c r="H1302" i="2"/>
  <c r="I1302" i="2" s="1"/>
  <c r="H1303" i="2"/>
  <c r="I1303" i="2" s="1"/>
  <c r="H1304" i="2"/>
  <c r="I1304" i="2" s="1"/>
  <c r="H1305" i="2"/>
  <c r="I1305" i="2" s="1"/>
  <c r="H1306" i="2"/>
  <c r="I1306" i="2" s="1"/>
  <c r="H1307" i="2"/>
  <c r="I1307" i="2" s="1"/>
  <c r="H1308" i="2"/>
  <c r="I1308" i="2" s="1"/>
  <c r="H1309" i="2"/>
  <c r="I1309" i="2" s="1"/>
  <c r="H1310" i="2"/>
  <c r="I1310" i="2" s="1"/>
  <c r="H1311" i="2"/>
  <c r="I1311" i="2" s="1"/>
  <c r="H1312" i="2"/>
  <c r="I1312" i="2" s="1"/>
  <c r="H1313" i="2"/>
  <c r="I1313" i="2" s="1"/>
  <c r="H1314" i="2"/>
  <c r="I1314" i="2" s="1"/>
  <c r="H1315" i="2"/>
  <c r="I1315" i="2" s="1"/>
  <c r="H1316" i="2"/>
  <c r="I1316" i="2" s="1"/>
  <c r="H1317" i="2"/>
  <c r="I1317" i="2" s="1"/>
  <c r="H1318" i="2"/>
  <c r="I1318" i="2" s="1"/>
  <c r="H1319" i="2"/>
  <c r="I1319" i="2" s="1"/>
  <c r="H1320" i="2"/>
  <c r="I1320" i="2" s="1"/>
  <c r="H1321" i="2"/>
  <c r="I1321" i="2" s="1"/>
  <c r="H1322" i="2"/>
  <c r="I1322" i="2" s="1"/>
  <c r="H1323" i="2"/>
  <c r="I1323" i="2" s="1"/>
  <c r="H1324" i="2"/>
  <c r="I1324" i="2" s="1"/>
  <c r="H1325" i="2"/>
  <c r="I1325" i="2" s="1"/>
  <c r="H1326" i="2"/>
  <c r="I1326" i="2" s="1"/>
  <c r="H1327" i="2"/>
  <c r="I1327" i="2" s="1"/>
  <c r="H1328" i="2"/>
  <c r="I1328" i="2" s="1"/>
  <c r="H1329" i="2"/>
  <c r="I1329" i="2" s="1"/>
  <c r="H1330" i="2"/>
  <c r="I1330" i="2" s="1"/>
  <c r="H1331" i="2"/>
  <c r="I1331" i="2" s="1"/>
  <c r="H1332" i="2"/>
  <c r="I1332" i="2" s="1"/>
  <c r="H1333" i="2"/>
  <c r="I1333" i="2" s="1"/>
  <c r="H1334" i="2"/>
  <c r="I1334" i="2" s="1"/>
  <c r="H1335" i="2"/>
  <c r="I1335" i="2" s="1"/>
  <c r="H1336" i="2"/>
  <c r="I1336" i="2" s="1"/>
  <c r="H1337" i="2"/>
  <c r="I1337" i="2" s="1"/>
  <c r="H1338" i="2"/>
  <c r="I1338" i="2" s="1"/>
  <c r="H1339" i="2"/>
  <c r="I1339" i="2" s="1"/>
  <c r="H1340" i="2"/>
  <c r="I1340" i="2" s="1"/>
  <c r="H1341" i="2"/>
  <c r="I1341" i="2" s="1"/>
  <c r="H1342" i="2"/>
  <c r="I1342" i="2" s="1"/>
  <c r="H1343" i="2"/>
  <c r="I1343" i="2" s="1"/>
  <c r="H1344" i="2"/>
  <c r="I1344" i="2" s="1"/>
  <c r="H1345" i="2"/>
  <c r="I1345" i="2" s="1"/>
  <c r="H1346" i="2"/>
  <c r="I1346" i="2" s="1"/>
  <c r="H1347" i="2"/>
  <c r="I1347" i="2" s="1"/>
  <c r="H1348" i="2"/>
  <c r="I1348" i="2" s="1"/>
  <c r="H1349" i="2"/>
  <c r="I1349" i="2" s="1"/>
  <c r="H1350" i="2"/>
  <c r="I1350" i="2" s="1"/>
  <c r="H1351" i="2"/>
  <c r="I1351" i="2" s="1"/>
  <c r="H1352" i="2"/>
  <c r="I1352" i="2" s="1"/>
  <c r="H1353" i="2"/>
  <c r="I1353" i="2" s="1"/>
  <c r="H1354" i="2"/>
  <c r="I1354" i="2" s="1"/>
  <c r="H1355" i="2"/>
  <c r="I1355" i="2" s="1"/>
  <c r="H1356" i="2"/>
  <c r="I1356" i="2" s="1"/>
  <c r="H1357" i="2"/>
  <c r="I1357" i="2" s="1"/>
  <c r="H1358" i="2"/>
  <c r="I1358" i="2" s="1"/>
  <c r="H1359" i="2"/>
  <c r="I1359" i="2" s="1"/>
  <c r="H1360" i="2"/>
  <c r="I1360" i="2" s="1"/>
  <c r="H1361" i="2"/>
  <c r="I1361" i="2" s="1"/>
  <c r="H1362" i="2"/>
  <c r="I1362" i="2" s="1"/>
  <c r="H1363" i="2"/>
  <c r="I1363" i="2" s="1"/>
  <c r="H1364" i="2"/>
  <c r="I1364" i="2" s="1"/>
  <c r="H1365" i="2"/>
  <c r="I1365" i="2" s="1"/>
  <c r="H1366" i="2"/>
  <c r="I1366" i="2" s="1"/>
  <c r="H1367" i="2"/>
  <c r="I1367" i="2" s="1"/>
  <c r="H1368" i="2"/>
  <c r="I1368" i="2" s="1"/>
  <c r="H1369" i="2"/>
  <c r="I1369" i="2" s="1"/>
  <c r="H1370" i="2"/>
  <c r="I1370" i="2" s="1"/>
  <c r="H1371" i="2"/>
  <c r="I1371" i="2" s="1"/>
  <c r="H1372" i="2"/>
  <c r="I1372" i="2" s="1"/>
  <c r="H1373" i="2"/>
  <c r="I1373" i="2" s="1"/>
  <c r="H1374" i="2"/>
  <c r="I1374" i="2" s="1"/>
  <c r="H1375" i="2"/>
  <c r="I1375" i="2" s="1"/>
  <c r="H1376" i="2"/>
  <c r="I1376" i="2" s="1"/>
  <c r="H1377" i="2"/>
  <c r="I1377" i="2" s="1"/>
  <c r="H1378" i="2"/>
  <c r="I1378" i="2" s="1"/>
  <c r="H1379" i="2"/>
  <c r="I1379" i="2" s="1"/>
  <c r="H1380" i="2"/>
  <c r="I1380" i="2" s="1"/>
  <c r="H1381" i="2"/>
  <c r="I1381" i="2" s="1"/>
  <c r="H1382" i="2"/>
  <c r="I1382" i="2" s="1"/>
  <c r="H1383" i="2"/>
  <c r="I1383" i="2" s="1"/>
  <c r="H1384" i="2"/>
  <c r="I1384" i="2" s="1"/>
  <c r="H1385" i="2"/>
  <c r="I1385" i="2" s="1"/>
  <c r="H1386" i="2"/>
  <c r="I1386" i="2" s="1"/>
  <c r="H1387" i="2"/>
  <c r="I1387" i="2" s="1"/>
  <c r="H1388" i="2"/>
  <c r="I1388" i="2" s="1"/>
  <c r="H1389" i="2"/>
  <c r="I1389" i="2" s="1"/>
  <c r="H1390" i="2"/>
  <c r="I1390" i="2" s="1"/>
  <c r="H1391" i="2"/>
  <c r="I1391" i="2" s="1"/>
  <c r="H1392" i="2"/>
  <c r="I1392" i="2" s="1"/>
  <c r="H1393" i="2"/>
  <c r="I1393" i="2" s="1"/>
  <c r="H1394" i="2"/>
  <c r="I1394" i="2" s="1"/>
  <c r="H1395" i="2"/>
  <c r="I1395" i="2" s="1"/>
  <c r="H1396" i="2"/>
  <c r="I1396" i="2" s="1"/>
  <c r="H1397" i="2"/>
  <c r="I1397" i="2" s="1"/>
  <c r="H1398" i="2"/>
  <c r="I1398" i="2" s="1"/>
  <c r="H1399" i="2"/>
  <c r="I1399" i="2" s="1"/>
  <c r="H1400" i="2"/>
  <c r="I1400" i="2" s="1"/>
  <c r="H1401" i="2"/>
  <c r="I1401" i="2" s="1"/>
  <c r="H1402" i="2"/>
  <c r="I1402" i="2" s="1"/>
  <c r="H1403" i="2"/>
  <c r="I1403" i="2" s="1"/>
  <c r="H1404" i="2"/>
  <c r="I1404" i="2" s="1"/>
  <c r="H1405" i="2"/>
  <c r="I1405" i="2" s="1"/>
  <c r="H1406" i="2"/>
  <c r="I1406" i="2" s="1"/>
  <c r="H1407" i="2"/>
  <c r="I1407" i="2" s="1"/>
  <c r="H1408" i="2"/>
  <c r="I1408" i="2" s="1"/>
  <c r="H1409" i="2"/>
  <c r="I1409" i="2" s="1"/>
  <c r="H1410" i="2"/>
  <c r="I1410" i="2" s="1"/>
  <c r="H1411" i="2"/>
  <c r="I1411" i="2" s="1"/>
  <c r="H1412" i="2"/>
  <c r="I1412" i="2" s="1"/>
  <c r="H1413" i="2"/>
  <c r="I1413" i="2" s="1"/>
  <c r="H1414" i="2"/>
  <c r="I1414" i="2" s="1"/>
  <c r="H1415" i="2"/>
  <c r="I1415" i="2" s="1"/>
  <c r="H1416" i="2"/>
  <c r="I1416" i="2" s="1"/>
  <c r="H1417" i="2"/>
  <c r="I1417" i="2" s="1"/>
  <c r="H1418" i="2"/>
  <c r="I1418" i="2" s="1"/>
  <c r="H1419" i="2"/>
  <c r="I1419" i="2" s="1"/>
  <c r="H1420" i="2"/>
  <c r="I1420" i="2" s="1"/>
  <c r="H1421" i="2"/>
  <c r="I1421" i="2" s="1"/>
  <c r="H1422" i="2"/>
  <c r="I1422" i="2" s="1"/>
  <c r="H1423" i="2"/>
  <c r="I1423" i="2" s="1"/>
  <c r="H1424" i="2"/>
  <c r="I1424" i="2" s="1"/>
  <c r="H1425" i="2"/>
  <c r="I1425" i="2" s="1"/>
  <c r="H1426" i="2"/>
  <c r="I1426" i="2" s="1"/>
  <c r="H1427" i="2"/>
  <c r="I1427" i="2" s="1"/>
  <c r="H1428" i="2"/>
  <c r="I1428" i="2" s="1"/>
  <c r="H1429" i="2"/>
  <c r="I1429" i="2" s="1"/>
  <c r="H1430" i="2"/>
  <c r="I1430" i="2" s="1"/>
  <c r="H1431" i="2"/>
  <c r="I1431" i="2" s="1"/>
  <c r="H1432" i="2"/>
  <c r="I1432" i="2" s="1"/>
  <c r="H1433" i="2"/>
  <c r="I1433" i="2" s="1"/>
  <c r="H1434" i="2"/>
  <c r="I1434" i="2" s="1"/>
  <c r="H1435" i="2"/>
  <c r="I1435" i="2" s="1"/>
  <c r="H1436" i="2"/>
  <c r="I1436" i="2" s="1"/>
  <c r="H1437" i="2"/>
  <c r="I1437" i="2" s="1"/>
  <c r="H1438" i="2"/>
  <c r="I1438" i="2" s="1"/>
  <c r="H1439" i="2"/>
  <c r="I1439" i="2" s="1"/>
  <c r="H1440" i="2"/>
  <c r="I1440" i="2" s="1"/>
  <c r="H1441" i="2"/>
  <c r="I1441" i="2" s="1"/>
  <c r="H1442" i="2"/>
  <c r="I1442" i="2" s="1"/>
  <c r="H1443" i="2"/>
  <c r="I1443" i="2" s="1"/>
  <c r="H1444" i="2"/>
  <c r="I1444" i="2" s="1"/>
  <c r="H1445" i="2"/>
  <c r="I1445" i="2" s="1"/>
  <c r="H1446" i="2"/>
  <c r="I1446" i="2" s="1"/>
  <c r="H1447" i="2"/>
  <c r="I1447" i="2" s="1"/>
  <c r="H1448" i="2"/>
  <c r="I1448" i="2" s="1"/>
  <c r="H1449" i="2"/>
  <c r="I1449" i="2" s="1"/>
  <c r="H1450" i="2"/>
  <c r="I1450" i="2" s="1"/>
  <c r="H1451" i="2"/>
  <c r="I1451" i="2" s="1"/>
  <c r="H1452" i="2"/>
  <c r="I1452" i="2" s="1"/>
  <c r="H1453" i="2"/>
  <c r="I1453" i="2" s="1"/>
  <c r="H1454" i="2"/>
  <c r="I1454" i="2" s="1"/>
  <c r="H1455" i="2"/>
  <c r="I1455" i="2" s="1"/>
  <c r="H1456" i="2"/>
  <c r="I1456" i="2" s="1"/>
  <c r="H1457" i="2"/>
  <c r="I1457" i="2" s="1"/>
  <c r="H1458" i="2"/>
  <c r="I1458" i="2" s="1"/>
  <c r="H1459" i="2"/>
  <c r="I1459" i="2" s="1"/>
  <c r="H1460" i="2"/>
  <c r="I1460" i="2" s="1"/>
  <c r="H1461" i="2"/>
  <c r="I1461" i="2" s="1"/>
  <c r="H1462" i="2"/>
  <c r="I1462" i="2" s="1"/>
  <c r="H1463" i="2"/>
  <c r="I1463" i="2" s="1"/>
  <c r="H1464" i="2"/>
  <c r="I1464" i="2" s="1"/>
  <c r="H1465" i="2"/>
  <c r="I1465" i="2" s="1"/>
  <c r="H1466" i="2"/>
  <c r="I1466" i="2" s="1"/>
  <c r="H1467" i="2"/>
  <c r="I1467" i="2" s="1"/>
  <c r="H1468" i="2"/>
  <c r="I1468" i="2" s="1"/>
  <c r="H1469" i="2"/>
  <c r="I1469" i="2" s="1"/>
  <c r="H1470" i="2"/>
  <c r="I1470" i="2" s="1"/>
  <c r="H1471" i="2"/>
  <c r="I1471" i="2" s="1"/>
  <c r="H1472" i="2"/>
  <c r="I1472" i="2" s="1"/>
  <c r="H1473" i="2"/>
  <c r="I1473" i="2" s="1"/>
  <c r="H1474" i="2"/>
  <c r="I1474" i="2" s="1"/>
  <c r="H1475" i="2"/>
  <c r="I1475" i="2" s="1"/>
  <c r="H1476" i="2"/>
  <c r="I1476" i="2" s="1"/>
  <c r="H1477" i="2"/>
  <c r="I1477" i="2" s="1"/>
  <c r="H1478" i="2"/>
  <c r="I1478" i="2" s="1"/>
  <c r="H1479" i="2"/>
  <c r="I1479" i="2" s="1"/>
  <c r="H1480" i="2"/>
  <c r="I1480" i="2" s="1"/>
  <c r="H1481" i="2"/>
  <c r="I1481" i="2" s="1"/>
  <c r="H1482" i="2"/>
  <c r="I1482" i="2" s="1"/>
  <c r="H1483" i="2"/>
  <c r="I1483" i="2" s="1"/>
  <c r="H1484" i="2"/>
  <c r="I1484" i="2" s="1"/>
  <c r="H1485" i="2"/>
  <c r="I1485" i="2" s="1"/>
  <c r="H1486" i="2"/>
  <c r="I1486" i="2" s="1"/>
  <c r="H1487" i="2"/>
  <c r="I1487" i="2" s="1"/>
  <c r="H1488" i="2"/>
  <c r="I1488" i="2" s="1"/>
  <c r="H1489" i="2"/>
  <c r="I1489" i="2" s="1"/>
  <c r="H1490" i="2"/>
  <c r="I1490" i="2" s="1"/>
  <c r="H1491" i="2"/>
  <c r="I1491" i="2" s="1"/>
  <c r="H1492" i="2"/>
  <c r="I1492" i="2" s="1"/>
  <c r="H1493" i="2"/>
  <c r="I1493" i="2" s="1"/>
  <c r="H1494" i="2"/>
  <c r="I1494" i="2" s="1"/>
  <c r="H1495" i="2"/>
  <c r="I1495" i="2" s="1"/>
  <c r="H1496" i="2"/>
  <c r="I1496" i="2" s="1"/>
  <c r="H1497" i="2"/>
  <c r="I1497" i="2" s="1"/>
  <c r="H1498" i="2"/>
  <c r="I1498" i="2" s="1"/>
  <c r="H1499" i="2"/>
  <c r="I1499" i="2" s="1"/>
  <c r="H1500" i="2"/>
  <c r="I1500" i="2" s="1"/>
  <c r="H1501" i="2"/>
  <c r="I1501" i="2" s="1"/>
  <c r="H1502" i="2"/>
  <c r="I1502" i="2" s="1"/>
  <c r="H1503" i="2"/>
  <c r="I1503" i="2" s="1"/>
  <c r="H1504" i="2"/>
  <c r="I1504" i="2" s="1"/>
  <c r="H1505" i="2"/>
  <c r="I1505" i="2" s="1"/>
  <c r="H1506" i="2"/>
  <c r="I1506" i="2" s="1"/>
  <c r="H1507" i="2"/>
  <c r="I1507" i="2" s="1"/>
  <c r="H1508" i="2"/>
  <c r="I1508" i="2" s="1"/>
  <c r="H1509" i="2"/>
  <c r="I1509" i="2" s="1"/>
  <c r="H1510" i="2"/>
  <c r="I1510" i="2" s="1"/>
  <c r="H1511" i="2"/>
  <c r="I1511" i="2" s="1"/>
  <c r="H1512" i="2"/>
  <c r="I1512" i="2" s="1"/>
  <c r="H1513" i="2"/>
  <c r="I1513" i="2" s="1"/>
  <c r="H1514" i="2"/>
  <c r="I1514" i="2" s="1"/>
  <c r="H1515" i="2"/>
  <c r="I1515" i="2" s="1"/>
  <c r="H1516" i="2"/>
  <c r="I1516" i="2" s="1"/>
  <c r="H1517" i="2"/>
  <c r="I1517" i="2" s="1"/>
  <c r="H1518" i="2"/>
  <c r="I1518" i="2" s="1"/>
  <c r="H1519" i="2"/>
  <c r="I1519" i="2" s="1"/>
  <c r="H1520" i="2"/>
  <c r="I1520" i="2" s="1"/>
  <c r="H1521" i="2"/>
  <c r="I1521" i="2" s="1"/>
  <c r="H1522" i="2"/>
  <c r="I1522" i="2" s="1"/>
  <c r="H1523" i="2"/>
  <c r="I1523" i="2" s="1"/>
  <c r="H1524" i="2"/>
  <c r="I1524" i="2" s="1"/>
  <c r="H1525" i="2"/>
  <c r="I1525" i="2" s="1"/>
  <c r="H1526" i="2"/>
  <c r="I1526" i="2" s="1"/>
  <c r="H1527" i="2"/>
  <c r="I1527" i="2" s="1"/>
  <c r="H1528" i="2"/>
  <c r="I1528" i="2" s="1"/>
  <c r="H1529" i="2"/>
  <c r="I1529" i="2" s="1"/>
  <c r="H1530" i="2"/>
  <c r="I1530" i="2" s="1"/>
  <c r="H1531" i="2"/>
  <c r="I1531" i="2" s="1"/>
  <c r="H1532" i="2"/>
  <c r="I1532" i="2" s="1"/>
  <c r="H1533" i="2"/>
  <c r="I1533" i="2" s="1"/>
  <c r="H1534" i="2"/>
  <c r="I1534" i="2" s="1"/>
  <c r="H1535" i="2"/>
  <c r="I1535" i="2" s="1"/>
  <c r="H1536" i="2"/>
  <c r="I1536" i="2" s="1"/>
  <c r="H1537" i="2"/>
  <c r="I1537" i="2" s="1"/>
  <c r="H1538" i="2"/>
  <c r="I1538" i="2" s="1"/>
  <c r="H1539" i="2"/>
  <c r="I1539" i="2" s="1"/>
  <c r="H1540" i="2"/>
  <c r="I1540" i="2" s="1"/>
  <c r="H1541" i="2"/>
  <c r="I1541" i="2" s="1"/>
  <c r="H1542" i="2"/>
  <c r="I1542" i="2" s="1"/>
  <c r="H1543" i="2"/>
  <c r="I1543" i="2" s="1"/>
  <c r="H1544" i="2"/>
  <c r="I1544" i="2" s="1"/>
  <c r="H1545" i="2"/>
  <c r="I1545" i="2" s="1"/>
  <c r="H1546" i="2"/>
  <c r="I1546" i="2" s="1"/>
  <c r="H1547" i="2"/>
  <c r="I1547" i="2" s="1"/>
  <c r="H1548" i="2"/>
  <c r="I1548" i="2" s="1"/>
  <c r="H1549" i="2"/>
  <c r="I1549" i="2" s="1"/>
  <c r="H1550" i="2"/>
  <c r="I1550" i="2" s="1"/>
  <c r="H1551" i="2"/>
  <c r="I1551" i="2" s="1"/>
  <c r="H1552" i="2"/>
  <c r="I1552" i="2" s="1"/>
  <c r="H1553" i="2"/>
  <c r="I1553" i="2" s="1"/>
  <c r="H1554" i="2"/>
  <c r="I1554" i="2" s="1"/>
  <c r="H1555" i="2"/>
  <c r="I1555" i="2" s="1"/>
  <c r="H1556" i="2"/>
  <c r="I1556" i="2" s="1"/>
  <c r="H1557" i="2"/>
  <c r="I1557" i="2" s="1"/>
  <c r="H1558" i="2"/>
  <c r="I1558" i="2" s="1"/>
  <c r="H1559" i="2"/>
  <c r="I1559" i="2" s="1"/>
  <c r="H1560" i="2"/>
  <c r="I1560" i="2" s="1"/>
  <c r="H1561" i="2"/>
  <c r="I1561" i="2" s="1"/>
  <c r="H1562" i="2"/>
  <c r="I1562" i="2" s="1"/>
  <c r="H1563" i="2"/>
  <c r="I1563" i="2" s="1"/>
  <c r="H1564" i="2"/>
  <c r="I1564" i="2" s="1"/>
  <c r="H1565" i="2"/>
  <c r="I1565" i="2" s="1"/>
  <c r="H1566" i="2"/>
  <c r="I1566" i="2" s="1"/>
  <c r="H1567" i="2"/>
  <c r="I1567" i="2" s="1"/>
  <c r="H1568" i="2"/>
  <c r="I1568" i="2" s="1"/>
  <c r="H1569" i="2"/>
  <c r="I1569" i="2" s="1"/>
  <c r="H1570" i="2"/>
  <c r="I1570" i="2" s="1"/>
  <c r="H1571" i="2"/>
  <c r="I1571" i="2" s="1"/>
  <c r="H1572" i="2"/>
  <c r="I1572" i="2" s="1"/>
  <c r="H1573" i="2"/>
  <c r="I1573" i="2" s="1"/>
  <c r="H1574" i="2"/>
  <c r="I1574" i="2" s="1"/>
  <c r="H1575" i="2"/>
  <c r="I1575" i="2" s="1"/>
  <c r="H1576" i="2"/>
  <c r="I1576" i="2" s="1"/>
  <c r="H1577" i="2"/>
  <c r="I1577" i="2" s="1"/>
  <c r="H1578" i="2"/>
  <c r="I1578" i="2" s="1"/>
  <c r="H1579" i="2"/>
  <c r="I1579" i="2" s="1"/>
  <c r="H1580" i="2"/>
  <c r="I1580" i="2" s="1"/>
  <c r="H1581" i="2"/>
  <c r="I1581" i="2" s="1"/>
  <c r="H1582" i="2"/>
  <c r="I1582" i="2" s="1"/>
  <c r="H1583" i="2"/>
  <c r="I1583" i="2" s="1"/>
  <c r="H1584" i="2"/>
  <c r="I1584" i="2" s="1"/>
  <c r="H1585" i="2"/>
  <c r="I1585" i="2" s="1"/>
  <c r="H1586" i="2"/>
  <c r="I1586" i="2" s="1"/>
  <c r="H1587" i="2"/>
  <c r="I1587" i="2" s="1"/>
  <c r="H1588" i="2"/>
  <c r="I1588" i="2" s="1"/>
  <c r="H1589" i="2"/>
  <c r="I1589" i="2" s="1"/>
  <c r="H1590" i="2"/>
  <c r="I1590" i="2" s="1"/>
  <c r="H1591" i="2"/>
  <c r="I1591" i="2" s="1"/>
  <c r="H1592" i="2"/>
  <c r="I1592" i="2" s="1"/>
  <c r="H1593" i="2"/>
  <c r="I1593" i="2" s="1"/>
  <c r="H1594" i="2"/>
  <c r="I1594" i="2" s="1"/>
  <c r="H1595" i="2"/>
  <c r="I1595" i="2" s="1"/>
  <c r="H1596" i="2"/>
  <c r="I1596" i="2" s="1"/>
  <c r="H1597" i="2"/>
  <c r="I1597" i="2" s="1"/>
  <c r="H1598" i="2"/>
  <c r="I1598" i="2" s="1"/>
  <c r="H1599" i="2"/>
  <c r="I1599" i="2" s="1"/>
  <c r="H1600" i="2"/>
  <c r="I1600" i="2" s="1"/>
  <c r="H1601" i="2"/>
  <c r="I1601" i="2" s="1"/>
  <c r="H1602" i="2"/>
  <c r="I1602" i="2" s="1"/>
  <c r="H1603" i="2"/>
  <c r="I1603" i="2" s="1"/>
  <c r="H1604" i="2"/>
  <c r="I1604" i="2" s="1"/>
  <c r="H1605" i="2"/>
  <c r="I1605" i="2" s="1"/>
  <c r="H1606" i="2"/>
  <c r="I1606" i="2" s="1"/>
  <c r="H1607" i="2"/>
  <c r="I1607" i="2" s="1"/>
  <c r="H1608" i="2"/>
  <c r="I1608" i="2" s="1"/>
  <c r="H1609" i="2"/>
  <c r="I1609" i="2" s="1"/>
  <c r="H1610" i="2"/>
  <c r="I1610" i="2" s="1"/>
  <c r="H1611" i="2"/>
  <c r="I1611" i="2" s="1"/>
  <c r="H1612" i="2"/>
  <c r="I1612" i="2" s="1"/>
  <c r="H1613" i="2"/>
  <c r="I1613" i="2" s="1"/>
  <c r="H1614" i="2"/>
  <c r="I1614" i="2" s="1"/>
  <c r="H1615" i="2"/>
  <c r="I1615" i="2" s="1"/>
  <c r="H1616" i="2"/>
  <c r="I1616" i="2" s="1"/>
  <c r="H1617" i="2"/>
  <c r="I1617" i="2" s="1"/>
  <c r="H1618" i="2"/>
  <c r="I1618" i="2" s="1"/>
  <c r="H1619" i="2"/>
  <c r="I1619" i="2" s="1"/>
  <c r="H1620" i="2"/>
  <c r="I1620" i="2" s="1"/>
  <c r="H1621" i="2"/>
  <c r="I1621" i="2" s="1"/>
  <c r="H1622" i="2"/>
  <c r="I1622" i="2" s="1"/>
  <c r="H1623" i="2"/>
  <c r="I1623" i="2" s="1"/>
  <c r="H1624" i="2"/>
  <c r="I1624" i="2" s="1"/>
  <c r="H1625" i="2"/>
  <c r="I1625" i="2" s="1"/>
  <c r="H1626" i="2"/>
  <c r="I1626" i="2" s="1"/>
  <c r="H1627" i="2"/>
  <c r="I1627" i="2" s="1"/>
  <c r="H1628" i="2"/>
  <c r="I1628" i="2" s="1"/>
  <c r="H1629" i="2"/>
  <c r="I1629" i="2" s="1"/>
  <c r="H1630" i="2"/>
  <c r="I1630" i="2" s="1"/>
  <c r="H1631" i="2"/>
  <c r="I1631" i="2" s="1"/>
  <c r="H1632" i="2"/>
  <c r="I1632" i="2" s="1"/>
  <c r="H1633" i="2"/>
  <c r="I1633" i="2" s="1"/>
  <c r="H1634" i="2"/>
  <c r="I1634" i="2" s="1"/>
  <c r="H1635" i="2"/>
  <c r="I1635" i="2" s="1"/>
  <c r="H1636" i="2"/>
  <c r="I1636" i="2" s="1"/>
  <c r="H1637" i="2"/>
  <c r="I1637" i="2" s="1"/>
  <c r="H1638" i="2"/>
  <c r="I1638" i="2" s="1"/>
  <c r="H1639" i="2"/>
  <c r="I1639" i="2" s="1"/>
  <c r="H1640" i="2"/>
  <c r="I1640" i="2" s="1"/>
  <c r="H1641" i="2"/>
  <c r="I1641" i="2" s="1"/>
  <c r="H1642" i="2"/>
  <c r="I1642" i="2" s="1"/>
  <c r="H1643" i="2"/>
  <c r="I1643" i="2" s="1"/>
  <c r="H1644" i="2"/>
  <c r="I1644" i="2" s="1"/>
  <c r="H1645" i="2"/>
  <c r="I1645" i="2" s="1"/>
  <c r="H1646" i="2"/>
  <c r="I1646" i="2" s="1"/>
  <c r="H1647" i="2"/>
  <c r="I1647" i="2" s="1"/>
  <c r="H1648" i="2"/>
  <c r="I1648" i="2" s="1"/>
  <c r="H1649" i="2"/>
  <c r="I1649" i="2" s="1"/>
  <c r="H1650" i="2"/>
  <c r="I1650" i="2" s="1"/>
  <c r="H1651" i="2"/>
  <c r="I1651" i="2" s="1"/>
  <c r="H1652" i="2"/>
  <c r="I1652" i="2" s="1"/>
  <c r="H1653" i="2"/>
  <c r="I1653" i="2" s="1"/>
  <c r="H1654" i="2"/>
  <c r="I1654" i="2" s="1"/>
  <c r="H1655" i="2"/>
  <c r="I1655" i="2" s="1"/>
  <c r="H1656" i="2"/>
  <c r="I1656" i="2" s="1"/>
  <c r="H1657" i="2"/>
  <c r="I1657" i="2" s="1"/>
  <c r="H1658" i="2"/>
  <c r="I1658" i="2" s="1"/>
  <c r="H1659" i="2"/>
  <c r="I1659" i="2" s="1"/>
  <c r="H1660" i="2"/>
  <c r="I1660" i="2" s="1"/>
  <c r="H1661" i="2"/>
  <c r="I1661" i="2" s="1"/>
  <c r="H1662" i="2"/>
  <c r="I1662" i="2" s="1"/>
  <c r="H1663" i="2"/>
  <c r="I1663" i="2" s="1"/>
  <c r="H1664" i="2"/>
  <c r="I1664" i="2" s="1"/>
  <c r="H1665" i="2"/>
  <c r="I1665" i="2" s="1"/>
  <c r="H1666" i="2"/>
  <c r="I1666" i="2" s="1"/>
  <c r="H1667" i="2"/>
  <c r="I1667" i="2" s="1"/>
  <c r="H1668" i="2"/>
  <c r="I1668" i="2" s="1"/>
  <c r="H1669" i="2"/>
  <c r="I1669" i="2" s="1"/>
  <c r="H1670" i="2"/>
  <c r="I1670" i="2" s="1"/>
  <c r="H1671" i="2"/>
  <c r="I1671" i="2" s="1"/>
  <c r="H1672" i="2"/>
  <c r="I1672" i="2" s="1"/>
  <c r="H1673" i="2"/>
  <c r="I1673" i="2" s="1"/>
  <c r="H1674" i="2"/>
  <c r="I1674" i="2" s="1"/>
  <c r="H1675" i="2"/>
  <c r="I1675" i="2" s="1"/>
  <c r="H1676" i="2"/>
  <c r="I1676" i="2" s="1"/>
  <c r="H1677" i="2"/>
  <c r="I1677" i="2" s="1"/>
  <c r="H1678" i="2"/>
  <c r="I1678" i="2" s="1"/>
  <c r="H1679" i="2"/>
  <c r="I1679" i="2" s="1"/>
  <c r="H1680" i="2"/>
  <c r="I1680" i="2" s="1"/>
  <c r="H1681" i="2"/>
  <c r="I1681" i="2" s="1"/>
  <c r="H1682" i="2"/>
  <c r="I1682" i="2" s="1"/>
  <c r="H1683" i="2"/>
  <c r="I1683" i="2" s="1"/>
  <c r="H1684" i="2"/>
  <c r="I1684" i="2" s="1"/>
  <c r="H1685" i="2"/>
  <c r="I1685" i="2" s="1"/>
  <c r="H1686" i="2"/>
  <c r="I1686" i="2" s="1"/>
  <c r="H1687" i="2"/>
  <c r="I1687" i="2" s="1"/>
  <c r="H1688" i="2"/>
  <c r="I1688" i="2" s="1"/>
  <c r="H1689" i="2"/>
  <c r="I1689" i="2" s="1"/>
  <c r="H1690" i="2"/>
  <c r="I1690" i="2" s="1"/>
  <c r="H1691" i="2"/>
  <c r="I1691" i="2" s="1"/>
  <c r="H1692" i="2"/>
  <c r="I1692" i="2" s="1"/>
  <c r="H1693" i="2"/>
  <c r="I1693" i="2" s="1"/>
  <c r="H1694" i="2"/>
  <c r="I1694" i="2" s="1"/>
  <c r="H1695" i="2"/>
  <c r="I1695" i="2" s="1"/>
  <c r="H1696" i="2"/>
  <c r="I1696" i="2" s="1"/>
  <c r="H1697" i="2"/>
  <c r="I1697" i="2" s="1"/>
  <c r="H1698" i="2"/>
  <c r="I1698" i="2" s="1"/>
  <c r="H1699" i="2"/>
  <c r="I1699" i="2" s="1"/>
  <c r="H1700" i="2"/>
  <c r="I1700" i="2" s="1"/>
  <c r="H1701" i="2"/>
  <c r="I1701" i="2" s="1"/>
  <c r="H1702" i="2"/>
  <c r="I1702" i="2" s="1"/>
  <c r="H1703" i="2"/>
  <c r="I1703" i="2" s="1"/>
  <c r="H1704" i="2"/>
  <c r="I1704" i="2" s="1"/>
  <c r="H1705" i="2"/>
  <c r="I1705" i="2" s="1"/>
  <c r="H1706" i="2"/>
  <c r="I1706" i="2" s="1"/>
  <c r="H1707" i="2"/>
  <c r="I1707" i="2" s="1"/>
  <c r="H1708" i="2"/>
  <c r="I1708" i="2" s="1"/>
  <c r="H1709" i="2"/>
  <c r="I1709" i="2" s="1"/>
  <c r="H1710" i="2"/>
  <c r="I1710" i="2" s="1"/>
  <c r="H1711" i="2"/>
  <c r="I1711" i="2" s="1"/>
  <c r="H1712" i="2"/>
  <c r="I1712" i="2" s="1"/>
  <c r="H1713" i="2"/>
  <c r="I1713" i="2" s="1"/>
  <c r="H1714" i="2"/>
  <c r="I1714" i="2" s="1"/>
  <c r="H1715" i="2"/>
  <c r="I1715" i="2" s="1"/>
  <c r="H1716" i="2"/>
  <c r="I1716" i="2" s="1"/>
  <c r="H1717" i="2"/>
  <c r="I1717" i="2" s="1"/>
  <c r="H1718" i="2"/>
  <c r="I1718" i="2" s="1"/>
  <c r="H1719" i="2"/>
  <c r="I1719" i="2" s="1"/>
  <c r="H1720" i="2"/>
  <c r="I1720" i="2" s="1"/>
  <c r="H1721" i="2"/>
  <c r="I1721" i="2" s="1"/>
  <c r="H1722" i="2"/>
  <c r="I1722" i="2" s="1"/>
  <c r="H1723" i="2"/>
  <c r="I1723" i="2" s="1"/>
  <c r="H1724" i="2"/>
  <c r="I1724" i="2" s="1"/>
  <c r="H1725" i="2"/>
  <c r="I1725" i="2" s="1"/>
  <c r="H1726" i="2"/>
  <c r="I1726" i="2" s="1"/>
  <c r="H1727" i="2"/>
  <c r="I1727" i="2" s="1"/>
  <c r="H1728" i="2"/>
  <c r="I1728" i="2" s="1"/>
  <c r="H1729" i="2"/>
  <c r="I1729" i="2" s="1"/>
  <c r="H1730" i="2"/>
  <c r="I1730" i="2" s="1"/>
  <c r="H1731" i="2"/>
  <c r="I1731" i="2" s="1"/>
  <c r="H1732" i="2"/>
  <c r="I1732" i="2" s="1"/>
  <c r="H1733" i="2"/>
  <c r="I1733" i="2" s="1"/>
  <c r="H1734" i="2"/>
  <c r="I1734" i="2" s="1"/>
  <c r="H1735" i="2"/>
  <c r="I1735" i="2" s="1"/>
  <c r="H1736" i="2"/>
  <c r="I1736" i="2" s="1"/>
  <c r="H1737" i="2"/>
  <c r="I1737" i="2" s="1"/>
  <c r="H1738" i="2"/>
  <c r="I1738" i="2" s="1"/>
  <c r="H1739" i="2"/>
  <c r="I1739" i="2" s="1"/>
  <c r="H1740" i="2"/>
  <c r="I1740" i="2" s="1"/>
  <c r="H1741" i="2"/>
  <c r="I1741" i="2" s="1"/>
  <c r="H1742" i="2"/>
  <c r="I1742" i="2" s="1"/>
  <c r="H1743" i="2"/>
  <c r="I1743" i="2" s="1"/>
  <c r="H1744" i="2"/>
  <c r="I1744" i="2" s="1"/>
  <c r="H1745" i="2"/>
  <c r="I1745" i="2" s="1"/>
  <c r="H1746" i="2"/>
  <c r="I1746" i="2" s="1"/>
  <c r="H1747" i="2"/>
  <c r="I1747" i="2" s="1"/>
  <c r="H1748" i="2"/>
  <c r="I1748" i="2" s="1"/>
  <c r="H1749" i="2"/>
  <c r="I1749" i="2" s="1"/>
  <c r="H1750" i="2"/>
  <c r="I1750" i="2" s="1"/>
  <c r="H1751" i="2"/>
  <c r="I1751" i="2" s="1"/>
  <c r="H1752" i="2"/>
  <c r="I1752" i="2" s="1"/>
  <c r="H1753" i="2"/>
  <c r="I1753" i="2" s="1"/>
  <c r="H1754" i="2"/>
  <c r="I1754" i="2" s="1"/>
  <c r="H1755" i="2"/>
  <c r="I1755" i="2" s="1"/>
  <c r="H1756" i="2"/>
  <c r="I1756" i="2" s="1"/>
  <c r="H1757" i="2"/>
  <c r="I1757" i="2" s="1"/>
  <c r="H1758" i="2"/>
  <c r="I1758" i="2" s="1"/>
  <c r="H1759" i="2"/>
  <c r="I1759" i="2" s="1"/>
  <c r="H1760" i="2"/>
  <c r="I1760" i="2" s="1"/>
  <c r="H1761" i="2"/>
  <c r="I1761" i="2" s="1"/>
  <c r="H1762" i="2"/>
  <c r="I1762" i="2" s="1"/>
  <c r="H1763" i="2"/>
  <c r="I1763" i="2" s="1"/>
  <c r="H1764" i="2"/>
  <c r="I1764" i="2" s="1"/>
  <c r="H1765" i="2"/>
  <c r="I1765" i="2" s="1"/>
  <c r="H1766" i="2"/>
  <c r="I1766" i="2" s="1"/>
  <c r="H1767" i="2"/>
  <c r="I1767" i="2" s="1"/>
  <c r="H1768" i="2"/>
  <c r="I1768" i="2" s="1"/>
  <c r="H1769" i="2"/>
  <c r="I1769" i="2" s="1"/>
  <c r="H1770" i="2"/>
  <c r="I1770" i="2" s="1"/>
  <c r="H1771" i="2"/>
  <c r="I1771" i="2" s="1"/>
  <c r="H1772" i="2"/>
  <c r="I1772" i="2" s="1"/>
  <c r="H1773" i="2"/>
  <c r="I1773" i="2" s="1"/>
  <c r="H1774" i="2"/>
  <c r="I1774" i="2" s="1"/>
  <c r="H1775" i="2"/>
  <c r="I1775" i="2" s="1"/>
  <c r="H1776" i="2"/>
  <c r="I1776" i="2" s="1"/>
  <c r="H1777" i="2"/>
  <c r="I1777" i="2" s="1"/>
  <c r="H1778" i="2"/>
  <c r="I1778" i="2" s="1"/>
  <c r="H1779" i="2"/>
  <c r="I1779" i="2" s="1"/>
  <c r="H1780" i="2"/>
  <c r="I1780" i="2" s="1"/>
  <c r="H1781" i="2"/>
  <c r="I1781" i="2" s="1"/>
  <c r="H1782" i="2"/>
  <c r="I1782" i="2" s="1"/>
  <c r="H1783" i="2"/>
  <c r="I1783" i="2" s="1"/>
  <c r="H1784" i="2"/>
  <c r="I1784" i="2" s="1"/>
  <c r="H1785" i="2"/>
  <c r="I1785" i="2" s="1"/>
  <c r="H1786" i="2"/>
  <c r="I1786" i="2" s="1"/>
  <c r="H1787" i="2"/>
  <c r="I1787" i="2" s="1"/>
  <c r="H1788" i="2"/>
  <c r="I1788" i="2" s="1"/>
  <c r="H1789" i="2"/>
  <c r="I1789" i="2" s="1"/>
  <c r="H1790" i="2"/>
  <c r="I1790" i="2" s="1"/>
  <c r="H1791" i="2"/>
  <c r="I1791" i="2" s="1"/>
  <c r="H1792" i="2"/>
  <c r="I1792" i="2" s="1"/>
  <c r="H1793" i="2"/>
  <c r="I1793" i="2" s="1"/>
  <c r="H1794" i="2"/>
  <c r="I1794" i="2" s="1"/>
  <c r="H1795" i="2"/>
  <c r="I1795" i="2" s="1"/>
  <c r="H1796" i="2"/>
  <c r="I1796" i="2" s="1"/>
  <c r="H1797" i="2"/>
  <c r="I1797" i="2" s="1"/>
  <c r="H1798" i="2"/>
  <c r="I1798" i="2" s="1"/>
  <c r="H1799" i="2"/>
  <c r="I1799" i="2" s="1"/>
  <c r="H1800" i="2"/>
  <c r="I1800" i="2" s="1"/>
  <c r="H1801" i="2"/>
  <c r="I1801" i="2" s="1"/>
  <c r="H1802" i="2"/>
  <c r="I1802" i="2" s="1"/>
  <c r="H1803" i="2"/>
  <c r="I1803" i="2" s="1"/>
  <c r="H1804" i="2"/>
  <c r="I1804" i="2" s="1"/>
  <c r="H1805" i="2"/>
  <c r="I1805" i="2" s="1"/>
  <c r="H1806" i="2"/>
  <c r="I1806" i="2" s="1"/>
  <c r="H1807" i="2"/>
  <c r="I1807" i="2" s="1"/>
  <c r="H1808" i="2"/>
  <c r="I1808" i="2" s="1"/>
  <c r="H1809" i="2"/>
  <c r="I1809" i="2" s="1"/>
  <c r="H1810" i="2"/>
  <c r="I1810" i="2" s="1"/>
  <c r="H1811" i="2"/>
  <c r="I1811" i="2" s="1"/>
  <c r="H1812" i="2"/>
  <c r="I1812" i="2" s="1"/>
  <c r="H1813" i="2"/>
  <c r="I1813" i="2" s="1"/>
  <c r="H1814" i="2"/>
  <c r="I1814" i="2" s="1"/>
  <c r="H1815" i="2"/>
  <c r="I1815" i="2" s="1"/>
  <c r="H1816" i="2"/>
  <c r="I1816" i="2" s="1"/>
  <c r="H1817" i="2"/>
  <c r="I1817" i="2" s="1"/>
  <c r="H1818" i="2"/>
  <c r="I1818" i="2" s="1"/>
  <c r="H1819" i="2"/>
  <c r="I1819" i="2" s="1"/>
  <c r="H1820" i="2"/>
  <c r="I1820" i="2" s="1"/>
  <c r="H1821" i="2"/>
  <c r="I1821" i="2" s="1"/>
  <c r="H1822" i="2"/>
  <c r="I1822" i="2" s="1"/>
  <c r="H1823" i="2"/>
  <c r="I1823" i="2" s="1"/>
  <c r="H1824" i="2"/>
  <c r="I1824" i="2" s="1"/>
  <c r="H1825" i="2"/>
  <c r="I1825" i="2" s="1"/>
  <c r="H1826" i="2"/>
  <c r="I1826" i="2" s="1"/>
  <c r="H1827" i="2"/>
  <c r="I1827" i="2" s="1"/>
  <c r="H1828" i="2"/>
  <c r="I1828" i="2" s="1"/>
  <c r="H1829" i="2"/>
  <c r="I1829" i="2" s="1"/>
  <c r="H1830" i="2"/>
  <c r="I1830" i="2" s="1"/>
  <c r="H1831" i="2"/>
  <c r="I1831" i="2" s="1"/>
  <c r="H1832" i="2"/>
  <c r="I1832" i="2" s="1"/>
  <c r="H1833" i="2"/>
  <c r="I1833" i="2" s="1"/>
  <c r="H1834" i="2"/>
  <c r="I1834" i="2" s="1"/>
  <c r="H1835" i="2"/>
  <c r="I1835" i="2" s="1"/>
  <c r="H1836" i="2"/>
  <c r="I1836" i="2" s="1"/>
  <c r="H1837" i="2"/>
  <c r="I1837" i="2" s="1"/>
  <c r="H1838" i="2"/>
  <c r="I1838" i="2" s="1"/>
  <c r="H1839" i="2"/>
  <c r="I1839" i="2" s="1"/>
  <c r="H1840" i="2"/>
  <c r="I1840" i="2" s="1"/>
  <c r="H1841" i="2"/>
  <c r="I1841" i="2" s="1"/>
  <c r="H1842" i="2"/>
  <c r="I1842" i="2" s="1"/>
  <c r="H1843" i="2"/>
  <c r="I1843" i="2" s="1"/>
  <c r="H1844" i="2"/>
  <c r="I1844" i="2" s="1"/>
  <c r="H1845" i="2"/>
  <c r="I1845" i="2" s="1"/>
  <c r="H1846" i="2"/>
  <c r="I1846" i="2" s="1"/>
  <c r="H1847" i="2"/>
  <c r="I1847" i="2" s="1"/>
  <c r="H1848" i="2"/>
  <c r="I1848" i="2" s="1"/>
  <c r="H1849" i="2"/>
  <c r="I1849" i="2" s="1"/>
  <c r="H1850" i="2"/>
  <c r="I1850" i="2" s="1"/>
  <c r="H1851" i="2"/>
  <c r="I1851" i="2" s="1"/>
  <c r="H1852" i="2"/>
  <c r="I1852" i="2" s="1"/>
  <c r="H1853" i="2"/>
  <c r="I1853" i="2" s="1"/>
  <c r="H1854" i="2"/>
  <c r="I1854" i="2" s="1"/>
  <c r="H1855" i="2"/>
  <c r="I1855" i="2" s="1"/>
  <c r="H1856" i="2"/>
  <c r="I1856" i="2" s="1"/>
  <c r="H1857" i="2"/>
  <c r="I1857" i="2" s="1"/>
  <c r="H1858" i="2"/>
  <c r="I1858" i="2" s="1"/>
  <c r="H1859" i="2"/>
  <c r="I1859" i="2" s="1"/>
  <c r="H1860" i="2"/>
  <c r="I1860" i="2" s="1"/>
  <c r="H1861" i="2"/>
  <c r="I1861" i="2" s="1"/>
  <c r="H1862" i="2"/>
  <c r="I1862" i="2" s="1"/>
  <c r="H1863" i="2"/>
  <c r="I1863" i="2" s="1"/>
  <c r="H1864" i="2"/>
  <c r="I1864" i="2" s="1"/>
  <c r="H1865" i="2"/>
  <c r="I1865" i="2" s="1"/>
  <c r="H1866" i="2"/>
  <c r="I1866" i="2" s="1"/>
  <c r="H1867" i="2"/>
  <c r="I1867" i="2" s="1"/>
  <c r="H1868" i="2"/>
  <c r="I1868" i="2" s="1"/>
  <c r="H1869" i="2"/>
  <c r="I1869" i="2" s="1"/>
  <c r="H1870" i="2"/>
  <c r="I1870" i="2" s="1"/>
  <c r="H1871" i="2"/>
  <c r="I1871" i="2" s="1"/>
  <c r="H1872" i="2"/>
  <c r="I1872" i="2" s="1"/>
  <c r="H1873" i="2"/>
  <c r="I1873" i="2" s="1"/>
  <c r="H1874" i="2"/>
  <c r="I1874" i="2" s="1"/>
  <c r="H1875" i="2"/>
  <c r="I1875" i="2" s="1"/>
  <c r="H1876" i="2"/>
  <c r="I1876" i="2" s="1"/>
  <c r="H1877" i="2"/>
  <c r="I1877" i="2" s="1"/>
  <c r="H1878" i="2"/>
  <c r="I1878" i="2" s="1"/>
  <c r="H1879" i="2"/>
  <c r="I1879" i="2" s="1"/>
  <c r="H1880" i="2"/>
  <c r="I1880" i="2" s="1"/>
  <c r="H1881" i="2"/>
  <c r="I1881" i="2" s="1"/>
  <c r="H1882" i="2"/>
  <c r="I1882" i="2" s="1"/>
  <c r="H1883" i="2"/>
  <c r="I1883" i="2" s="1"/>
  <c r="H1884" i="2"/>
  <c r="I1884" i="2" s="1"/>
  <c r="H1885" i="2"/>
  <c r="I1885" i="2" s="1"/>
  <c r="H1886" i="2"/>
  <c r="I1886" i="2" s="1"/>
  <c r="H1887" i="2"/>
  <c r="I1887" i="2" s="1"/>
  <c r="H1888" i="2"/>
  <c r="I1888" i="2" s="1"/>
  <c r="H1889" i="2"/>
  <c r="I1889" i="2" s="1"/>
  <c r="H1890" i="2"/>
  <c r="I1890" i="2" s="1"/>
  <c r="H1891" i="2"/>
  <c r="I1891" i="2" s="1"/>
  <c r="H1892" i="2"/>
  <c r="I1892" i="2" s="1"/>
  <c r="H1893" i="2"/>
  <c r="I1893" i="2" s="1"/>
  <c r="H1894" i="2"/>
  <c r="I1894" i="2" s="1"/>
  <c r="H1895" i="2"/>
  <c r="I1895" i="2" s="1"/>
  <c r="H1896" i="2"/>
  <c r="I1896" i="2" s="1"/>
  <c r="H1897" i="2"/>
  <c r="I1897" i="2" s="1"/>
  <c r="H1898" i="2"/>
  <c r="I1898" i="2" s="1"/>
  <c r="H1899" i="2"/>
  <c r="I1899" i="2" s="1"/>
  <c r="H1900" i="2"/>
  <c r="I1900" i="2" s="1"/>
  <c r="H1901" i="2"/>
  <c r="I1901" i="2" s="1"/>
  <c r="H1902" i="2"/>
  <c r="I1902" i="2" s="1"/>
  <c r="H1903" i="2"/>
  <c r="I1903" i="2" s="1"/>
  <c r="H1904" i="2"/>
  <c r="I1904" i="2" s="1"/>
  <c r="H1905" i="2"/>
  <c r="I1905" i="2" s="1"/>
  <c r="H1906" i="2"/>
  <c r="I1906" i="2" s="1"/>
  <c r="H1907" i="2"/>
  <c r="I1907" i="2" s="1"/>
  <c r="H1908" i="2"/>
  <c r="I1908" i="2" s="1"/>
  <c r="H1909" i="2"/>
  <c r="I1909" i="2" s="1"/>
  <c r="H1910" i="2"/>
  <c r="I1910" i="2" s="1"/>
  <c r="H1911" i="2"/>
  <c r="I1911" i="2" s="1"/>
  <c r="H1912" i="2"/>
  <c r="I1912" i="2" s="1"/>
  <c r="H1913" i="2"/>
  <c r="I1913" i="2" s="1"/>
  <c r="H1914" i="2"/>
  <c r="I1914" i="2" s="1"/>
  <c r="H1915" i="2"/>
  <c r="I1915" i="2" s="1"/>
  <c r="H1916" i="2"/>
  <c r="I1916" i="2" s="1"/>
  <c r="H1917" i="2"/>
  <c r="I1917" i="2" s="1"/>
  <c r="H1918" i="2"/>
  <c r="I1918" i="2" s="1"/>
  <c r="H1919" i="2"/>
  <c r="I1919" i="2" s="1"/>
  <c r="H1920" i="2"/>
  <c r="I1920" i="2" s="1"/>
  <c r="H1921" i="2"/>
  <c r="I1921" i="2" s="1"/>
  <c r="H1922" i="2"/>
  <c r="I1922" i="2" s="1"/>
  <c r="H1923" i="2"/>
  <c r="I1923" i="2" s="1"/>
  <c r="H1924" i="2"/>
  <c r="I1924" i="2" s="1"/>
  <c r="H1925" i="2"/>
  <c r="I1925" i="2" s="1"/>
  <c r="H1926" i="2"/>
  <c r="I1926" i="2" s="1"/>
  <c r="H1927" i="2"/>
  <c r="I1927" i="2" s="1"/>
  <c r="H1928" i="2"/>
  <c r="I1928" i="2" s="1"/>
  <c r="H1929" i="2"/>
  <c r="I1929" i="2" s="1"/>
  <c r="H1930" i="2"/>
  <c r="I1930" i="2" s="1"/>
  <c r="H1931" i="2"/>
  <c r="I1931" i="2" s="1"/>
  <c r="H1932" i="2"/>
  <c r="I1932" i="2" s="1"/>
  <c r="H1933" i="2"/>
  <c r="I1933" i="2" s="1"/>
  <c r="H1934" i="2"/>
  <c r="I1934" i="2" s="1"/>
  <c r="H1935" i="2"/>
  <c r="I1935" i="2" s="1"/>
  <c r="H1936" i="2"/>
  <c r="I1936" i="2" s="1"/>
  <c r="H1937" i="2"/>
  <c r="I1937" i="2" s="1"/>
  <c r="H1938" i="2"/>
  <c r="I1938" i="2" s="1"/>
  <c r="H1939" i="2"/>
  <c r="I1939" i="2" s="1"/>
  <c r="H1940" i="2"/>
  <c r="I1940" i="2" s="1"/>
  <c r="H1941" i="2"/>
  <c r="I1941" i="2" s="1"/>
  <c r="H1942" i="2"/>
  <c r="I1942" i="2" s="1"/>
  <c r="H1943" i="2"/>
  <c r="I1943" i="2" s="1"/>
  <c r="H1944" i="2"/>
  <c r="I1944" i="2" s="1"/>
  <c r="H1945" i="2"/>
  <c r="I1945" i="2" s="1"/>
  <c r="H1946" i="2"/>
  <c r="I1946" i="2" s="1"/>
  <c r="H1947" i="2"/>
  <c r="I1947" i="2" s="1"/>
  <c r="H1948" i="2"/>
  <c r="I1948" i="2" s="1"/>
  <c r="H1949" i="2"/>
  <c r="I1949" i="2" s="1"/>
  <c r="H1950" i="2"/>
  <c r="I1950" i="2" s="1"/>
  <c r="H1951" i="2"/>
  <c r="I1951" i="2" s="1"/>
  <c r="H1952" i="2"/>
  <c r="I1952" i="2" s="1"/>
  <c r="H1953" i="2"/>
  <c r="I1953" i="2" s="1"/>
  <c r="H1954" i="2"/>
  <c r="I1954" i="2" s="1"/>
  <c r="H1955" i="2"/>
  <c r="I1955" i="2" s="1"/>
  <c r="H1956" i="2"/>
  <c r="I1956" i="2" s="1"/>
  <c r="H1957" i="2"/>
  <c r="I1957" i="2" s="1"/>
  <c r="H1958" i="2"/>
  <c r="I1958" i="2" s="1"/>
  <c r="H1959" i="2"/>
  <c r="I1959" i="2" s="1"/>
  <c r="H1960" i="2"/>
  <c r="I1960" i="2" s="1"/>
  <c r="H1961" i="2"/>
  <c r="I1961" i="2" s="1"/>
  <c r="H1962" i="2"/>
  <c r="I1962" i="2" s="1"/>
  <c r="H1963" i="2"/>
  <c r="I1963" i="2" s="1"/>
  <c r="H1964" i="2"/>
  <c r="I1964" i="2" s="1"/>
  <c r="H1965" i="2"/>
  <c r="I1965" i="2" s="1"/>
  <c r="H1966" i="2"/>
  <c r="I1966" i="2" s="1"/>
  <c r="H1967" i="2"/>
  <c r="I1967" i="2" s="1"/>
  <c r="H1968" i="2"/>
  <c r="I1968" i="2" s="1"/>
  <c r="H1969" i="2"/>
  <c r="I1969" i="2" s="1"/>
  <c r="H1970" i="2"/>
  <c r="I1970" i="2" s="1"/>
  <c r="H1971" i="2"/>
  <c r="I1971" i="2" s="1"/>
  <c r="H1972" i="2"/>
  <c r="I1972" i="2" s="1"/>
  <c r="H1973" i="2"/>
  <c r="I1973" i="2" s="1"/>
  <c r="H1974" i="2"/>
  <c r="I1974" i="2" s="1"/>
  <c r="H1975" i="2"/>
  <c r="I1975" i="2" s="1"/>
  <c r="H1976" i="2"/>
  <c r="I1976" i="2" s="1"/>
  <c r="H1977" i="2"/>
  <c r="I1977" i="2" s="1"/>
  <c r="H1978" i="2"/>
  <c r="I1978" i="2" s="1"/>
  <c r="H1979" i="2"/>
  <c r="I1979" i="2" s="1"/>
  <c r="H1980" i="2"/>
  <c r="I1980" i="2" s="1"/>
  <c r="H1981" i="2"/>
  <c r="I1981" i="2" s="1"/>
  <c r="H1982" i="2"/>
  <c r="I1982" i="2" s="1"/>
  <c r="H1983" i="2"/>
  <c r="I1983" i="2" s="1"/>
  <c r="H1984" i="2"/>
  <c r="I1984" i="2" s="1"/>
  <c r="H1985" i="2"/>
  <c r="I1985" i="2" s="1"/>
  <c r="H1986" i="2"/>
  <c r="I1986" i="2" s="1"/>
  <c r="H1987" i="2"/>
  <c r="I1987" i="2" s="1"/>
  <c r="H1988" i="2"/>
  <c r="I1988" i="2" s="1"/>
  <c r="H1989" i="2"/>
  <c r="I1989" i="2" s="1"/>
  <c r="H1990" i="2"/>
  <c r="I1990" i="2" s="1"/>
  <c r="H1991" i="2"/>
  <c r="I1991" i="2" s="1"/>
  <c r="H1992" i="2"/>
  <c r="I1992" i="2" s="1"/>
  <c r="H1993" i="2"/>
  <c r="I1993" i="2" s="1"/>
  <c r="H1994" i="2"/>
  <c r="I1994" i="2" s="1"/>
  <c r="H1995" i="2"/>
  <c r="I1995" i="2" s="1"/>
  <c r="H1996" i="2"/>
  <c r="I1996" i="2" s="1"/>
  <c r="H1997" i="2"/>
  <c r="I1997" i="2" s="1"/>
  <c r="H1998" i="2"/>
  <c r="I1998" i="2" s="1"/>
  <c r="H1999" i="2"/>
  <c r="I1999" i="2" s="1"/>
  <c r="H2000" i="2"/>
  <c r="I2000" i="2" s="1"/>
  <c r="H2001" i="2"/>
  <c r="I2001" i="2" s="1"/>
  <c r="H2002" i="2"/>
  <c r="I2002" i="2" s="1"/>
  <c r="H2003" i="2"/>
  <c r="I2003" i="2" s="1"/>
  <c r="H2004" i="2"/>
  <c r="I2004" i="2" s="1"/>
  <c r="A2" i="2"/>
  <c r="O9" i="2"/>
  <c r="F2" i="2"/>
  <c r="I8" i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6" i="2"/>
  <c r="D12" i="3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H2" i="2"/>
  <c r="J2" i="2"/>
  <c r="C2" i="2"/>
  <c r="D7" i="2"/>
  <c r="D11" i="2"/>
  <c r="D15" i="2"/>
  <c r="D16" i="2"/>
  <c r="D19" i="2"/>
  <c r="D8" i="3"/>
  <c r="D2" i="3"/>
  <c r="D3" i="3"/>
  <c r="D4" i="3"/>
  <c r="D5" i="3"/>
  <c r="D6" i="3"/>
  <c r="D7" i="3"/>
  <c r="D9" i="3"/>
  <c r="D10" i="3"/>
  <c r="D11" i="3"/>
  <c r="E2" i="2" l="1"/>
  <c r="G3" i="1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9" i="2"/>
  <c r="D2" i="2"/>
  <c r="I2" i="2"/>
  <c r="G2" i="2"/>
  <c r="D17" i="2"/>
  <c r="D14" i="2"/>
  <c r="D13" i="2"/>
  <c r="D12" i="2"/>
  <c r="D10" i="2"/>
  <c r="D8" i="2"/>
  <c r="D6" i="2"/>
  <c r="B2" i="2"/>
  <c r="B4" i="5"/>
  <c r="D18" i="2"/>
  <c r="H941" i="1"/>
  <c r="H916" i="1"/>
  <c r="H498" i="1"/>
  <c r="H1005" i="1"/>
  <c r="H985" i="1"/>
  <c r="H831" i="1"/>
  <c r="H895" i="1"/>
  <c r="H962" i="1"/>
  <c r="H63" i="1"/>
  <c r="H981" i="1"/>
  <c r="H961" i="1"/>
  <c r="H799" i="1"/>
  <c r="H994" i="1"/>
  <c r="H973" i="1"/>
  <c r="H953" i="1"/>
  <c r="H930" i="1"/>
  <c r="H874" i="1"/>
  <c r="H759" i="1"/>
  <c r="H1002" i="1"/>
  <c r="H938" i="1"/>
  <c r="H993" i="1"/>
  <c r="H970" i="1"/>
  <c r="H949" i="1"/>
  <c r="H929" i="1"/>
  <c r="H852" i="1"/>
  <c r="H687" i="1"/>
  <c r="H102" i="1"/>
  <c r="H3" i="1"/>
  <c r="E3" i="1"/>
  <c r="D3" i="1"/>
  <c r="H596" i="1"/>
  <c r="H911" i="1"/>
  <c r="H890" i="1"/>
  <c r="H868" i="1"/>
  <c r="H847" i="1"/>
  <c r="H823" i="1"/>
  <c r="H791" i="1"/>
  <c r="H741" i="1"/>
  <c r="H655" i="1"/>
  <c r="H366" i="1"/>
  <c r="H1001" i="1"/>
  <c r="H989" i="1"/>
  <c r="H978" i="1"/>
  <c r="H969" i="1"/>
  <c r="H957" i="1"/>
  <c r="H946" i="1"/>
  <c r="H937" i="1"/>
  <c r="H925" i="1"/>
  <c r="H906" i="1"/>
  <c r="H884" i="1"/>
  <c r="H863" i="1"/>
  <c r="H842" i="1"/>
  <c r="H815" i="1"/>
  <c r="H775" i="1"/>
  <c r="H730" i="1"/>
  <c r="H645" i="1"/>
  <c r="H997" i="1"/>
  <c r="H986" i="1"/>
  <c r="H977" i="1"/>
  <c r="H965" i="1"/>
  <c r="H954" i="1"/>
  <c r="H945" i="1"/>
  <c r="H933" i="1"/>
  <c r="H921" i="1"/>
  <c r="H900" i="1"/>
  <c r="H879" i="1"/>
  <c r="H858" i="1"/>
  <c r="H836" i="1"/>
  <c r="H807" i="1"/>
  <c r="H767" i="1"/>
  <c r="H698" i="1"/>
  <c r="H580" i="1"/>
  <c r="H468" i="1"/>
  <c r="H308" i="1"/>
  <c r="H343" i="1"/>
  <c r="H719" i="1"/>
  <c r="H677" i="1"/>
  <c r="H634" i="1"/>
  <c r="H554" i="1"/>
  <c r="H440" i="1"/>
  <c r="H783" i="1"/>
  <c r="H751" i="1"/>
  <c r="H709" i="1"/>
  <c r="H666" i="1"/>
  <c r="H623" i="1"/>
  <c r="H526" i="1"/>
  <c r="H412" i="1"/>
  <c r="H922" i="1"/>
  <c r="H912" i="1"/>
  <c r="H902" i="1"/>
  <c r="H891" i="1"/>
  <c r="H880" i="1"/>
  <c r="H870" i="1"/>
  <c r="H859" i="1"/>
  <c r="H848" i="1"/>
  <c r="H838" i="1"/>
  <c r="H824" i="1"/>
  <c r="H808" i="1"/>
  <c r="H792" i="1"/>
  <c r="H776" i="1"/>
  <c r="H760" i="1"/>
  <c r="H742" i="1"/>
  <c r="H721" i="1"/>
  <c r="H699" i="1"/>
  <c r="H678" i="1"/>
  <c r="H657" i="1"/>
  <c r="H635" i="1"/>
  <c r="H611" i="1"/>
  <c r="H568" i="1"/>
  <c r="H511" i="1"/>
  <c r="H455" i="1"/>
  <c r="H392" i="1"/>
  <c r="H123" i="1"/>
  <c r="H1006" i="1"/>
  <c r="H998" i="1"/>
  <c r="H990" i="1"/>
  <c r="H982" i="1"/>
  <c r="H974" i="1"/>
  <c r="H966" i="1"/>
  <c r="H958" i="1"/>
  <c r="H950" i="1"/>
  <c r="H942" i="1"/>
  <c r="H934" i="1"/>
  <c r="H926" i="1"/>
  <c r="H918" i="1"/>
  <c r="H907" i="1"/>
  <c r="H896" i="1"/>
  <c r="H886" i="1"/>
  <c r="H875" i="1"/>
  <c r="H864" i="1"/>
  <c r="H854" i="1"/>
  <c r="H843" i="1"/>
  <c r="H832" i="1"/>
  <c r="H816" i="1"/>
  <c r="H800" i="1"/>
  <c r="H784" i="1"/>
  <c r="H768" i="1"/>
  <c r="H752" i="1"/>
  <c r="H731" i="1"/>
  <c r="H710" i="1"/>
  <c r="H689" i="1"/>
  <c r="H667" i="1"/>
  <c r="H646" i="1"/>
  <c r="H625" i="1"/>
  <c r="H583" i="1"/>
  <c r="H540" i="1"/>
  <c r="H483" i="1"/>
  <c r="H426" i="1"/>
  <c r="H595" i="1"/>
  <c r="H567" i="1"/>
  <c r="H510" i="1"/>
  <c r="H467" i="1"/>
  <c r="H452" i="1"/>
  <c r="H439" i="1"/>
  <c r="H410" i="1"/>
  <c r="H391" i="1"/>
  <c r="H338" i="1"/>
  <c r="H304" i="1"/>
  <c r="H91" i="1"/>
  <c r="H582" i="1"/>
  <c r="H587" i="1"/>
  <c r="H592" i="1"/>
  <c r="H598" i="1"/>
  <c r="H603" i="1"/>
  <c r="H608" i="1"/>
  <c r="H614" i="1"/>
  <c r="H619" i="1"/>
  <c r="H624" i="1"/>
  <c r="H628" i="1"/>
  <c r="H632" i="1"/>
  <c r="H636" i="1"/>
  <c r="H640" i="1"/>
  <c r="H644" i="1"/>
  <c r="H648" i="1"/>
  <c r="H652" i="1"/>
  <c r="H656" i="1"/>
  <c r="H660" i="1"/>
  <c r="H664" i="1"/>
  <c r="H668" i="1"/>
  <c r="H672" i="1"/>
  <c r="H676" i="1"/>
  <c r="H680" i="1"/>
  <c r="H684" i="1"/>
  <c r="H688" i="1"/>
  <c r="H692" i="1"/>
  <c r="H696" i="1"/>
  <c r="H700" i="1"/>
  <c r="H704" i="1"/>
  <c r="H708" i="1"/>
  <c r="H712" i="1"/>
  <c r="H716" i="1"/>
  <c r="H720" i="1"/>
  <c r="H724" i="1"/>
  <c r="H728" i="1"/>
  <c r="H732" i="1"/>
  <c r="H736" i="1"/>
  <c r="H740" i="1"/>
  <c r="H744" i="1"/>
  <c r="H748" i="1"/>
  <c r="H202" i="1"/>
  <c r="H287" i="1"/>
  <c r="H312" i="1"/>
  <c r="H334" i="1"/>
  <c r="H344" i="1"/>
  <c r="H356" i="1"/>
  <c r="H371" i="1"/>
  <c r="H383" i="1"/>
  <c r="H394" i="1"/>
  <c r="H407" i="1"/>
  <c r="H414" i="1"/>
  <c r="H420" i="1"/>
  <c r="H428" i="1"/>
  <c r="H435" i="1"/>
  <c r="H442" i="1"/>
  <c r="H450" i="1"/>
  <c r="H456" i="1"/>
  <c r="H463" i="1"/>
  <c r="H471" i="1"/>
  <c r="H478" i="1"/>
  <c r="H484" i="1"/>
  <c r="H492" i="1"/>
  <c r="H499" i="1"/>
  <c r="H506" i="1"/>
  <c r="H514" i="1"/>
  <c r="H520" i="1"/>
  <c r="H527" i="1"/>
  <c r="H535" i="1"/>
  <c r="H542" i="1"/>
  <c r="H548" i="1"/>
  <c r="H556" i="1"/>
  <c r="H563" i="1"/>
  <c r="H570" i="1"/>
  <c r="H578" i="1"/>
  <c r="H584" i="1"/>
  <c r="H591" i="1"/>
  <c r="H599" i="1"/>
  <c r="H606" i="1"/>
  <c r="H612" i="1"/>
  <c r="H620" i="1"/>
  <c r="H626" i="1"/>
  <c r="H631" i="1"/>
  <c r="H637" i="1"/>
  <c r="H642" i="1"/>
  <c r="H647" i="1"/>
  <c r="H653" i="1"/>
  <c r="H658" i="1"/>
  <c r="H663" i="1"/>
  <c r="H669" i="1"/>
  <c r="H674" i="1"/>
  <c r="H679" i="1"/>
  <c r="H685" i="1"/>
  <c r="H690" i="1"/>
  <c r="H695" i="1"/>
  <c r="H701" i="1"/>
  <c r="H706" i="1"/>
  <c r="H711" i="1"/>
  <c r="H717" i="1"/>
  <c r="H722" i="1"/>
  <c r="H727" i="1"/>
  <c r="H733" i="1"/>
  <c r="H738" i="1"/>
  <c r="H743" i="1"/>
  <c r="H749" i="1"/>
  <c r="H753" i="1"/>
  <c r="H757" i="1"/>
  <c r="H761" i="1"/>
  <c r="H765" i="1"/>
  <c r="H769" i="1"/>
  <c r="H773" i="1"/>
  <c r="H777" i="1"/>
  <c r="H781" i="1"/>
  <c r="H785" i="1"/>
  <c r="H789" i="1"/>
  <c r="H793" i="1"/>
  <c r="H797" i="1"/>
  <c r="H801" i="1"/>
  <c r="H805" i="1"/>
  <c r="H809" i="1"/>
  <c r="H813" i="1"/>
  <c r="H817" i="1"/>
  <c r="H821" i="1"/>
  <c r="H825" i="1"/>
  <c r="H829" i="1"/>
  <c r="H833" i="1"/>
  <c r="H837" i="1"/>
  <c r="H841" i="1"/>
  <c r="H845" i="1"/>
  <c r="H849" i="1"/>
  <c r="H853" i="1"/>
  <c r="H857" i="1"/>
  <c r="H861" i="1"/>
  <c r="H865" i="1"/>
  <c r="H869" i="1"/>
  <c r="H873" i="1"/>
  <c r="H877" i="1"/>
  <c r="H881" i="1"/>
  <c r="H885" i="1"/>
  <c r="H889" i="1"/>
  <c r="H893" i="1"/>
  <c r="H897" i="1"/>
  <c r="H901" i="1"/>
  <c r="H905" i="1"/>
  <c r="H909" i="1"/>
  <c r="H913" i="1"/>
  <c r="H917" i="1"/>
  <c r="H234" i="1"/>
  <c r="H296" i="1"/>
  <c r="H319" i="1"/>
  <c r="H335" i="1"/>
  <c r="H348" i="1"/>
  <c r="H362" i="1"/>
  <c r="H372" i="1"/>
  <c r="H386" i="1"/>
  <c r="H399" i="1"/>
  <c r="H408" i="1"/>
  <c r="H415" i="1"/>
  <c r="H423" i="1"/>
  <c r="H430" i="1"/>
  <c r="H436" i="1"/>
  <c r="H444" i="1"/>
  <c r="H451" i="1"/>
  <c r="H458" i="1"/>
  <c r="H466" i="1"/>
  <c r="H472" i="1"/>
  <c r="H479" i="1"/>
  <c r="H487" i="1"/>
  <c r="H494" i="1"/>
  <c r="H500" i="1"/>
  <c r="H508" i="1"/>
  <c r="H515" i="1"/>
  <c r="H522" i="1"/>
  <c r="H530" i="1"/>
  <c r="H536" i="1"/>
  <c r="H543" i="1"/>
  <c r="H551" i="1"/>
  <c r="H558" i="1"/>
  <c r="H564" i="1"/>
  <c r="H572" i="1"/>
  <c r="H579" i="1"/>
  <c r="H586" i="1"/>
  <c r="H594" i="1"/>
  <c r="H600" i="1"/>
  <c r="H607" i="1"/>
  <c r="H615" i="1"/>
  <c r="H622" i="1"/>
  <c r="H627" i="1"/>
  <c r="H633" i="1"/>
  <c r="H638" i="1"/>
  <c r="H643" i="1"/>
  <c r="H649" i="1"/>
  <c r="H654" i="1"/>
  <c r="H659" i="1"/>
  <c r="H665" i="1"/>
  <c r="H670" i="1"/>
  <c r="H675" i="1"/>
  <c r="H681" i="1"/>
  <c r="H686" i="1"/>
  <c r="H691" i="1"/>
  <c r="H697" i="1"/>
  <c r="H702" i="1"/>
  <c r="H707" i="1"/>
  <c r="H713" i="1"/>
  <c r="H718" i="1"/>
  <c r="H723" i="1"/>
  <c r="H729" i="1"/>
  <c r="H734" i="1"/>
  <c r="H739" i="1"/>
  <c r="H745" i="1"/>
  <c r="H750" i="1"/>
  <c r="H754" i="1"/>
  <c r="H758" i="1"/>
  <c r="H762" i="1"/>
  <c r="H766" i="1"/>
  <c r="H770" i="1"/>
  <c r="H774" i="1"/>
  <c r="H778" i="1"/>
  <c r="H782" i="1"/>
  <c r="H786" i="1"/>
  <c r="H790" i="1"/>
  <c r="H794" i="1"/>
  <c r="H798" i="1"/>
  <c r="H802" i="1"/>
  <c r="H806" i="1"/>
  <c r="H810" i="1"/>
  <c r="H814" i="1"/>
  <c r="H818" i="1"/>
  <c r="H822" i="1"/>
  <c r="H826" i="1"/>
  <c r="H830" i="1"/>
  <c r="H1004" i="1"/>
  <c r="H1000" i="1"/>
  <c r="H996" i="1"/>
  <c r="H992" i="1"/>
  <c r="H988" i="1"/>
  <c r="H984" i="1"/>
  <c r="H980" i="1"/>
  <c r="H976" i="1"/>
  <c r="H972" i="1"/>
  <c r="H968" i="1"/>
  <c r="H964" i="1"/>
  <c r="H960" i="1"/>
  <c r="H956" i="1"/>
  <c r="H952" i="1"/>
  <c r="H948" i="1"/>
  <c r="H944" i="1"/>
  <c r="H940" i="1"/>
  <c r="H936" i="1"/>
  <c r="H932" i="1"/>
  <c r="H928" i="1"/>
  <c r="H924" i="1"/>
  <c r="H920" i="1"/>
  <c r="H915" i="1"/>
  <c r="H910" i="1"/>
  <c r="H904" i="1"/>
  <c r="H899" i="1"/>
  <c r="H894" i="1"/>
  <c r="H888" i="1"/>
  <c r="H883" i="1"/>
  <c r="H878" i="1"/>
  <c r="H872" i="1"/>
  <c r="H867" i="1"/>
  <c r="H862" i="1"/>
  <c r="H856" i="1"/>
  <c r="H851" i="1"/>
  <c r="H846" i="1"/>
  <c r="H840" i="1"/>
  <c r="H835" i="1"/>
  <c r="H828" i="1"/>
  <c r="H820" i="1"/>
  <c r="H812" i="1"/>
  <c r="H804" i="1"/>
  <c r="H796" i="1"/>
  <c r="H788" i="1"/>
  <c r="H780" i="1"/>
  <c r="H772" i="1"/>
  <c r="H764" i="1"/>
  <c r="H756" i="1"/>
  <c r="H747" i="1"/>
  <c r="H737" i="1"/>
  <c r="H726" i="1"/>
  <c r="H715" i="1"/>
  <c r="H705" i="1"/>
  <c r="H694" i="1"/>
  <c r="H683" i="1"/>
  <c r="H673" i="1"/>
  <c r="H662" i="1"/>
  <c r="H651" i="1"/>
  <c r="H641" i="1"/>
  <c r="H630" i="1"/>
  <c r="H618" i="1"/>
  <c r="H604" i="1"/>
  <c r="H590" i="1"/>
  <c r="H575" i="1"/>
  <c r="H562" i="1"/>
  <c r="H547" i="1"/>
  <c r="H532" i="1"/>
  <c r="H519" i="1"/>
  <c r="H504" i="1"/>
  <c r="H490" i="1"/>
  <c r="H476" i="1"/>
  <c r="H462" i="1"/>
  <c r="H447" i="1"/>
  <c r="H434" i="1"/>
  <c r="H419" i="1"/>
  <c r="H404" i="1"/>
  <c r="H380" i="1"/>
  <c r="H355" i="1"/>
  <c r="H327" i="1"/>
  <c r="H276" i="1"/>
  <c r="H610" i="1"/>
  <c r="H552" i="1"/>
  <c r="H538" i="1"/>
  <c r="H524" i="1"/>
  <c r="H495" i="1"/>
  <c r="H482" i="1"/>
  <c r="H424" i="1"/>
  <c r="H364" i="1"/>
  <c r="H74" i="1"/>
  <c r="H1003" i="1"/>
  <c r="H999" i="1"/>
  <c r="H995" i="1"/>
  <c r="H991" i="1"/>
  <c r="H987" i="1"/>
  <c r="H983" i="1"/>
  <c r="H979" i="1"/>
  <c r="H975" i="1"/>
  <c r="H971" i="1"/>
  <c r="H967" i="1"/>
  <c r="H963" i="1"/>
  <c r="H959" i="1"/>
  <c r="H955" i="1"/>
  <c r="H951" i="1"/>
  <c r="H947" i="1"/>
  <c r="H943" i="1"/>
  <c r="H939" i="1"/>
  <c r="H935" i="1"/>
  <c r="H931" i="1"/>
  <c r="H927" i="1"/>
  <c r="H923" i="1"/>
  <c r="H919" i="1"/>
  <c r="H914" i="1"/>
  <c r="H908" i="1"/>
  <c r="H903" i="1"/>
  <c r="H898" i="1"/>
  <c r="H892" i="1"/>
  <c r="H887" i="1"/>
  <c r="H882" i="1"/>
  <c r="H876" i="1"/>
  <c r="H871" i="1"/>
  <c r="H866" i="1"/>
  <c r="H860" i="1"/>
  <c r="H855" i="1"/>
  <c r="H850" i="1"/>
  <c r="H844" i="1"/>
  <c r="H839" i="1"/>
  <c r="H834" i="1"/>
  <c r="H827" i="1"/>
  <c r="H819" i="1"/>
  <c r="H811" i="1"/>
  <c r="H803" i="1"/>
  <c r="H795" i="1"/>
  <c r="H787" i="1"/>
  <c r="H779" i="1"/>
  <c r="H771" i="1"/>
  <c r="H763" i="1"/>
  <c r="H755" i="1"/>
  <c r="H746" i="1"/>
  <c r="H735" i="1"/>
  <c r="H725" i="1"/>
  <c r="H714" i="1"/>
  <c r="H703" i="1"/>
  <c r="H693" i="1"/>
  <c r="H682" i="1"/>
  <c r="H671" i="1"/>
  <c r="H661" i="1"/>
  <c r="H650" i="1"/>
  <c r="H639" i="1"/>
  <c r="H629" i="1"/>
  <c r="H616" i="1"/>
  <c r="H602" i="1"/>
  <c r="H588" i="1"/>
  <c r="H574" i="1"/>
  <c r="H559" i="1"/>
  <c r="H546" i="1"/>
  <c r="H531" i="1"/>
  <c r="H516" i="1"/>
  <c r="H503" i="1"/>
  <c r="H488" i="1"/>
  <c r="H474" i="1"/>
  <c r="H460" i="1"/>
  <c r="H446" i="1"/>
  <c r="H431" i="1"/>
  <c r="H418" i="1"/>
  <c r="H402" i="1"/>
  <c r="H376" i="1"/>
  <c r="H351" i="1"/>
  <c r="H324" i="1"/>
  <c r="H251" i="1"/>
  <c r="H166" i="1"/>
  <c r="H576" i="1"/>
  <c r="H571" i="1"/>
  <c r="H566" i="1"/>
  <c r="H560" i="1"/>
  <c r="H555" i="1"/>
  <c r="H550" i="1"/>
  <c r="H544" i="1"/>
  <c r="H539" i="1"/>
  <c r="H534" i="1"/>
  <c r="H528" i="1"/>
  <c r="H523" i="1"/>
  <c r="H518" i="1"/>
  <c r="H512" i="1"/>
  <c r="H507" i="1"/>
  <c r="H502" i="1"/>
  <c r="H496" i="1"/>
  <c r="H491" i="1"/>
  <c r="H486" i="1"/>
  <c r="H480" i="1"/>
  <c r="H475" i="1"/>
  <c r="H470" i="1"/>
  <c r="H464" i="1"/>
  <c r="H459" i="1"/>
  <c r="H454" i="1"/>
  <c r="H448" i="1"/>
  <c r="H443" i="1"/>
  <c r="H438" i="1"/>
  <c r="H432" i="1"/>
  <c r="H427" i="1"/>
  <c r="H422" i="1"/>
  <c r="H416" i="1"/>
  <c r="H411" i="1"/>
  <c r="H406" i="1"/>
  <c r="H398" i="1"/>
  <c r="H387" i="1"/>
  <c r="H378" i="1"/>
  <c r="H370" i="1"/>
  <c r="H359" i="1"/>
  <c r="H350" i="1"/>
  <c r="H340" i="1"/>
  <c r="H328" i="1"/>
  <c r="H316" i="1"/>
  <c r="H303" i="1"/>
  <c r="H263" i="1"/>
  <c r="H295" i="1"/>
  <c r="H284" i="1"/>
  <c r="H272" i="1"/>
  <c r="H262" i="1"/>
  <c r="H247" i="1"/>
  <c r="H222" i="1"/>
  <c r="H198" i="1"/>
  <c r="H155" i="1"/>
  <c r="H107" i="1"/>
  <c r="H54" i="1"/>
  <c r="H292" i="1"/>
  <c r="H280" i="1"/>
  <c r="H271" i="1"/>
  <c r="H258" i="1"/>
  <c r="H242" i="1"/>
  <c r="H219" i="1"/>
  <c r="H187" i="1"/>
  <c r="H139" i="1"/>
  <c r="H86" i="1"/>
  <c r="H403" i="1"/>
  <c r="H396" i="1"/>
  <c r="H388" i="1"/>
  <c r="H382" i="1"/>
  <c r="H375" i="1"/>
  <c r="H367" i="1"/>
  <c r="H360" i="1"/>
  <c r="H354" i="1"/>
  <c r="H346" i="1"/>
  <c r="H339" i="1"/>
  <c r="H332" i="1"/>
  <c r="H320" i="1"/>
  <c r="H311" i="1"/>
  <c r="H300" i="1"/>
  <c r="H288" i="1"/>
  <c r="H279" i="1"/>
  <c r="H268" i="1"/>
  <c r="H253" i="1"/>
  <c r="H241" i="1"/>
  <c r="H211" i="1"/>
  <c r="H171" i="1"/>
  <c r="H134" i="1"/>
  <c r="H621" i="1"/>
  <c r="H617" i="1"/>
  <c r="H613" i="1"/>
  <c r="H609" i="1"/>
  <c r="H605" i="1"/>
  <c r="H601" i="1"/>
  <c r="H597" i="1"/>
  <c r="H593" i="1"/>
  <c r="H589" i="1"/>
  <c r="H585" i="1"/>
  <c r="H581" i="1"/>
  <c r="H577" i="1"/>
  <c r="H573" i="1"/>
  <c r="H569" i="1"/>
  <c r="H565" i="1"/>
  <c r="H561" i="1"/>
  <c r="H557" i="1"/>
  <c r="H553" i="1"/>
  <c r="H549" i="1"/>
  <c r="H545" i="1"/>
  <c r="H541" i="1"/>
  <c r="H537" i="1"/>
  <c r="H533" i="1"/>
  <c r="H529" i="1"/>
  <c r="H525" i="1"/>
  <c r="H521" i="1"/>
  <c r="H517" i="1"/>
  <c r="H513" i="1"/>
  <c r="H509" i="1"/>
  <c r="H505" i="1"/>
  <c r="H501" i="1"/>
  <c r="H497" i="1"/>
  <c r="H493" i="1"/>
  <c r="H489" i="1"/>
  <c r="H485" i="1"/>
  <c r="H481" i="1"/>
  <c r="H477" i="1"/>
  <c r="H473" i="1"/>
  <c r="H469" i="1"/>
  <c r="H465" i="1"/>
  <c r="H461" i="1"/>
  <c r="H457" i="1"/>
  <c r="H453" i="1"/>
  <c r="H449" i="1"/>
  <c r="H445" i="1"/>
  <c r="H441" i="1"/>
  <c r="H437" i="1"/>
  <c r="H433" i="1"/>
  <c r="H429" i="1"/>
  <c r="H425" i="1"/>
  <c r="H421" i="1"/>
  <c r="H417" i="1"/>
  <c r="H413" i="1"/>
  <c r="H409" i="1"/>
  <c r="H405" i="1"/>
  <c r="H400" i="1"/>
  <c r="H395" i="1"/>
  <c r="H390" i="1"/>
  <c r="H384" i="1"/>
  <c r="H379" i="1"/>
  <c r="H374" i="1"/>
  <c r="H368" i="1"/>
  <c r="H363" i="1"/>
  <c r="H358" i="1"/>
  <c r="H352" i="1"/>
  <c r="H347" i="1"/>
  <c r="H342" i="1"/>
  <c r="H336" i="1"/>
  <c r="H331" i="1"/>
  <c r="H323" i="1"/>
  <c r="H315" i="1"/>
  <c r="H307" i="1"/>
  <c r="H299" i="1"/>
  <c r="H291" i="1"/>
  <c r="H283" i="1"/>
  <c r="H275" i="1"/>
  <c r="H267" i="1"/>
  <c r="H257" i="1"/>
  <c r="H246" i="1"/>
  <c r="H230" i="1"/>
  <c r="H210" i="1"/>
  <c r="H182" i="1"/>
  <c r="H150" i="1"/>
  <c r="H118" i="1"/>
  <c r="H330" i="1"/>
  <c r="H326" i="1"/>
  <c r="H322" i="1"/>
  <c r="H318" i="1"/>
  <c r="H314" i="1"/>
  <c r="H310" i="1"/>
  <c r="H306" i="1"/>
  <c r="H302" i="1"/>
  <c r="H298" i="1"/>
  <c r="H294" i="1"/>
  <c r="H290" i="1"/>
  <c r="H286" i="1"/>
  <c r="H282" i="1"/>
  <c r="H278" i="1"/>
  <c r="H274" i="1"/>
  <c r="H270" i="1"/>
  <c r="H266" i="1"/>
  <c r="H261" i="1"/>
  <c r="H255" i="1"/>
  <c r="H250" i="1"/>
  <c r="H245" i="1"/>
  <c r="H238" i="1"/>
  <c r="H227" i="1"/>
  <c r="H218" i="1"/>
  <c r="H206" i="1"/>
  <c r="H195" i="1"/>
  <c r="H179" i="1"/>
  <c r="H163" i="1"/>
  <c r="H147" i="1"/>
  <c r="H131" i="1"/>
  <c r="H115" i="1"/>
  <c r="H99" i="1"/>
  <c r="H83" i="1"/>
  <c r="H10" i="1"/>
  <c r="H401" i="1"/>
  <c r="H397" i="1"/>
  <c r="H393" i="1"/>
  <c r="H389" i="1"/>
  <c r="H385" i="1"/>
  <c r="H381" i="1"/>
  <c r="H377" i="1"/>
  <c r="H373" i="1"/>
  <c r="H369" i="1"/>
  <c r="H365" i="1"/>
  <c r="H361" i="1"/>
  <c r="H357" i="1"/>
  <c r="H353" i="1"/>
  <c r="H349" i="1"/>
  <c r="H345" i="1"/>
  <c r="H341" i="1"/>
  <c r="H337" i="1"/>
  <c r="H333" i="1"/>
  <c r="H329" i="1"/>
  <c r="H325" i="1"/>
  <c r="H321" i="1"/>
  <c r="H317" i="1"/>
  <c r="H313" i="1"/>
  <c r="H309" i="1"/>
  <c r="H305" i="1"/>
  <c r="H301" i="1"/>
  <c r="H297" i="1"/>
  <c r="H293" i="1"/>
  <c r="H289" i="1"/>
  <c r="H285" i="1"/>
  <c r="H281" i="1"/>
  <c r="H277" i="1"/>
  <c r="H273" i="1"/>
  <c r="H269" i="1"/>
  <c r="H265" i="1"/>
  <c r="H259" i="1"/>
  <c r="H254" i="1"/>
  <c r="H249" i="1"/>
  <c r="H243" i="1"/>
  <c r="H235" i="1"/>
  <c r="H226" i="1"/>
  <c r="H214" i="1"/>
  <c r="H203" i="1"/>
  <c r="H190" i="1"/>
  <c r="H174" i="1"/>
  <c r="H158" i="1"/>
  <c r="H142" i="1"/>
  <c r="H126" i="1"/>
  <c r="H110" i="1"/>
  <c r="H94" i="1"/>
  <c r="H78" i="1"/>
  <c r="H194" i="1"/>
  <c r="H186" i="1"/>
  <c r="H178" i="1"/>
  <c r="H170" i="1"/>
  <c r="H162" i="1"/>
  <c r="H154" i="1"/>
  <c r="H146" i="1"/>
  <c r="H138" i="1"/>
  <c r="H130" i="1"/>
  <c r="H122" i="1"/>
  <c r="H114" i="1"/>
  <c r="H106" i="1"/>
  <c r="H98" i="1"/>
  <c r="H90" i="1"/>
  <c r="H82" i="1"/>
  <c r="H71" i="1"/>
  <c r="H29" i="1"/>
  <c r="H240" i="1"/>
  <c r="H264" i="1"/>
  <c r="H260" i="1"/>
  <c r="H256" i="1"/>
  <c r="H252" i="1"/>
  <c r="H248" i="1"/>
  <c r="H244" i="1"/>
  <c r="H239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66" i="1"/>
  <c r="H46" i="1"/>
  <c r="H14" i="1"/>
  <c r="H70" i="1"/>
  <c r="H62" i="1"/>
  <c r="H38" i="1"/>
  <c r="H75" i="1"/>
  <c r="H67" i="1"/>
  <c r="H59" i="1"/>
  <c r="H51" i="1"/>
  <c r="H43" i="1"/>
  <c r="H35" i="1"/>
  <c r="H22" i="1"/>
  <c r="H17" i="1"/>
  <c r="H58" i="1"/>
  <c r="H50" i="1"/>
  <c r="H42" i="1"/>
  <c r="H34" i="1"/>
  <c r="H21" i="1"/>
  <c r="H55" i="1"/>
  <c r="H47" i="1"/>
  <c r="H39" i="1"/>
  <c r="H30" i="1"/>
  <c r="H237" i="1"/>
  <c r="H233" i="1"/>
  <c r="H229" i="1"/>
  <c r="H225" i="1"/>
  <c r="H221" i="1"/>
  <c r="H217" i="1"/>
  <c r="H213" i="1"/>
  <c r="H209" i="1"/>
  <c r="H205" i="1"/>
  <c r="H201" i="1"/>
  <c r="H197" i="1"/>
  <c r="H193" i="1"/>
  <c r="H189" i="1"/>
  <c r="H185" i="1"/>
  <c r="H181" i="1"/>
  <c r="H177" i="1"/>
  <c r="H173" i="1"/>
  <c r="H169" i="1"/>
  <c r="H165" i="1"/>
  <c r="H161" i="1"/>
  <c r="H157" i="1"/>
  <c r="H153" i="1"/>
  <c r="H149" i="1"/>
  <c r="H145" i="1"/>
  <c r="H141" i="1"/>
  <c r="H137" i="1"/>
  <c r="H133" i="1"/>
  <c r="H129" i="1"/>
  <c r="H125" i="1"/>
  <c r="H121" i="1"/>
  <c r="H117" i="1"/>
  <c r="H113" i="1"/>
  <c r="H109" i="1"/>
  <c r="H105" i="1"/>
  <c r="H101" i="1"/>
  <c r="H97" i="1"/>
  <c r="H93" i="1"/>
  <c r="H89" i="1"/>
  <c r="H85" i="1"/>
  <c r="H81" i="1"/>
  <c r="H77" i="1"/>
  <c r="H73" i="1"/>
  <c r="H69" i="1"/>
  <c r="H65" i="1"/>
  <c r="H61" i="1"/>
  <c r="H57" i="1"/>
  <c r="H53" i="1"/>
  <c r="H49" i="1"/>
  <c r="H45" i="1"/>
  <c r="H41" i="1"/>
  <c r="H37" i="1"/>
  <c r="H33" i="1"/>
  <c r="H26" i="1"/>
  <c r="H18" i="1"/>
  <c r="H11" i="1"/>
  <c r="H236" i="1"/>
  <c r="H232" i="1"/>
  <c r="H228" i="1"/>
  <c r="H224" i="1"/>
  <c r="H220" i="1"/>
  <c r="H216" i="1"/>
  <c r="H212" i="1"/>
  <c r="H208" i="1"/>
  <c r="H204" i="1"/>
  <c r="H200" i="1"/>
  <c r="H196" i="1"/>
  <c r="H192" i="1"/>
  <c r="H188" i="1"/>
  <c r="H184" i="1"/>
  <c r="H180" i="1"/>
  <c r="H176" i="1"/>
  <c r="H172" i="1"/>
  <c r="H168" i="1"/>
  <c r="H164" i="1"/>
  <c r="H160" i="1"/>
  <c r="H156" i="1"/>
  <c r="H152" i="1"/>
  <c r="H148" i="1"/>
  <c r="H144" i="1"/>
  <c r="H140" i="1"/>
  <c r="H136" i="1"/>
  <c r="H132" i="1"/>
  <c r="H128" i="1"/>
  <c r="H124" i="1"/>
  <c r="H120" i="1"/>
  <c r="H116" i="1"/>
  <c r="H112" i="1"/>
  <c r="H108" i="1"/>
  <c r="H104" i="1"/>
  <c r="H100" i="1"/>
  <c r="H96" i="1"/>
  <c r="H92" i="1"/>
  <c r="H88" i="1"/>
  <c r="H84" i="1"/>
  <c r="H80" i="1"/>
  <c r="H76" i="1"/>
  <c r="H72" i="1"/>
  <c r="H68" i="1"/>
  <c r="H64" i="1"/>
  <c r="H60" i="1"/>
  <c r="H56" i="1"/>
  <c r="H52" i="1"/>
  <c r="H48" i="1"/>
  <c r="H44" i="1"/>
  <c r="H40" i="1"/>
  <c r="H36" i="1"/>
  <c r="H32" i="1"/>
  <c r="H25" i="1"/>
  <c r="H13" i="1"/>
  <c r="H9" i="1"/>
  <c r="H28" i="1"/>
  <c r="H24" i="1"/>
  <c r="H20" i="1"/>
  <c r="H16" i="1"/>
  <c r="H12" i="1"/>
  <c r="H8" i="1"/>
  <c r="H31" i="1"/>
  <c r="H27" i="1"/>
  <c r="H23" i="1"/>
  <c r="H19" i="1"/>
  <c r="H15" i="1"/>
  <c r="B5" i="5"/>
  <c r="J1005" i="1" l="1"/>
  <c r="J766" i="1"/>
  <c r="J654" i="1"/>
  <c r="J999" i="1"/>
  <c r="J837" i="1"/>
  <c r="J993" i="1"/>
  <c r="J713" i="1"/>
  <c r="J776" i="1"/>
  <c r="J989" i="1"/>
  <c r="J963" i="1"/>
  <c r="J777" i="1"/>
  <c r="J632" i="1"/>
  <c r="J905" i="1"/>
  <c r="J957" i="1"/>
  <c r="J952" i="1"/>
  <c r="J821" i="1"/>
  <c r="J702" i="1"/>
  <c r="J826" i="1"/>
  <c r="J977" i="1"/>
  <c r="J953" i="1"/>
  <c r="J996" i="1"/>
  <c r="J925" i="1"/>
  <c r="J869" i="1"/>
  <c r="J804" i="1"/>
  <c r="J676" i="1"/>
  <c r="J624" i="1"/>
  <c r="J900" i="1"/>
  <c r="J669" i="1"/>
  <c r="J906" i="1"/>
  <c r="J1001" i="1"/>
  <c r="J973" i="1"/>
  <c r="J945" i="1"/>
  <c r="J974" i="1"/>
  <c r="J917" i="1"/>
  <c r="J798" i="1"/>
  <c r="J734" i="1"/>
  <c r="J660" i="1"/>
  <c r="J994" i="1"/>
  <c r="J820" i="1"/>
  <c r="J664" i="1"/>
  <c r="J980" i="1"/>
  <c r="J829" i="1"/>
  <c r="J788" i="1"/>
  <c r="J740" i="1"/>
  <c r="J692" i="1"/>
  <c r="J636" i="1"/>
  <c r="J983" i="1"/>
  <c r="J852" i="1"/>
  <c r="J897" i="1"/>
  <c r="J679" i="1"/>
  <c r="J932" i="1"/>
  <c r="J844" i="1"/>
  <c r="J733" i="1"/>
  <c r="J979" i="1"/>
  <c r="J830" i="1"/>
  <c r="J759" i="1"/>
  <c r="J761" i="1"/>
  <c r="J718" i="1"/>
  <c r="J681" i="1"/>
  <c r="J649" i="1"/>
  <c r="J616" i="1"/>
  <c r="J940" i="1"/>
  <c r="J884" i="1"/>
  <c r="J808" i="1"/>
  <c r="J728" i="1"/>
  <c r="J825" i="1"/>
  <c r="J910" i="1"/>
  <c r="J868" i="1"/>
  <c r="J813" i="1"/>
  <c r="J765" i="1"/>
  <c r="J690" i="1"/>
  <c r="J627" i="1"/>
  <c r="J857" i="1"/>
  <c r="J874" i="1"/>
  <c r="J986" i="1"/>
  <c r="J875" i="1"/>
  <c r="J792" i="1"/>
  <c r="J749" i="1"/>
  <c r="J701" i="1"/>
  <c r="J937" i="1"/>
  <c r="J841" i="1"/>
  <c r="J854" i="1"/>
  <c r="J954" i="1"/>
  <c r="J683" i="1"/>
  <c r="J931" i="1"/>
  <c r="J754" i="1"/>
  <c r="J722" i="1"/>
  <c r="J680" i="1"/>
  <c r="J643" i="1"/>
  <c r="J958" i="1"/>
  <c r="J889" i="1"/>
  <c r="J806" i="1"/>
  <c r="J862" i="1"/>
  <c r="J663" i="1"/>
  <c r="J763" i="1"/>
  <c r="J1002" i="1"/>
  <c r="J1003" i="1"/>
  <c r="J929" i="1"/>
  <c r="J865" i="1"/>
  <c r="J812" i="1"/>
  <c r="J842" i="1"/>
  <c r="J890" i="1"/>
  <c r="J938" i="1"/>
  <c r="J651" i="1"/>
  <c r="J727" i="1"/>
  <c r="J827" i="1"/>
  <c r="J748" i="1"/>
  <c r="J822" i="1"/>
  <c r="J846" i="1"/>
  <c r="J886" i="1"/>
  <c r="J918" i="1"/>
  <c r="J964" i="1"/>
  <c r="J659" i="1"/>
  <c r="J803" i="1"/>
  <c r="J883" i="1"/>
  <c r="J652" i="1"/>
  <c r="J870" i="1"/>
  <c r="J894" i="1"/>
  <c r="J926" i="1"/>
  <c r="J959" i="1"/>
  <c r="J998" i="1"/>
  <c r="J675" i="1"/>
  <c r="J715" i="1"/>
  <c r="J787" i="1"/>
  <c r="J855" i="1"/>
  <c r="J935" i="1"/>
  <c r="J606" i="1"/>
  <c r="J699" i="1"/>
  <c r="J743" i="1"/>
  <c r="J791" i="1"/>
  <c r="J843" i="1"/>
  <c r="J907" i="1"/>
  <c r="J1004" i="1"/>
  <c r="J574" i="1"/>
  <c r="J739" i="1"/>
  <c r="J771" i="1"/>
  <c r="J811" i="1"/>
  <c r="J851" i="1"/>
  <c r="J899" i="1"/>
  <c r="J971" i="1"/>
  <c r="J737" i="1"/>
  <c r="J546" i="1"/>
  <c r="J695" i="1"/>
  <c r="J747" i="1"/>
  <c r="J779" i="1"/>
  <c r="J807" i="1"/>
  <c r="J835" i="1"/>
  <c r="J867" i="1"/>
  <c r="J903" i="1"/>
  <c r="J955" i="1"/>
  <c r="J790" i="1"/>
  <c r="J642" i="1"/>
  <c r="J757" i="1"/>
  <c r="J1006" i="1"/>
  <c r="J985" i="1"/>
  <c r="J961" i="1"/>
  <c r="J941" i="1"/>
  <c r="J995" i="1"/>
  <c r="J893" i="1"/>
  <c r="J853" i="1"/>
  <c r="J809" i="1"/>
  <c r="J782" i="1"/>
  <c r="J756" i="1"/>
  <c r="J724" i="1"/>
  <c r="J697" i="1"/>
  <c r="J670" i="1"/>
  <c r="J640" i="1"/>
  <c r="J620" i="1"/>
  <c r="J972" i="1"/>
  <c r="J916" i="1"/>
  <c r="J876" i="1"/>
  <c r="J836" i="1"/>
  <c r="J797" i="1"/>
  <c r="J770" i="1"/>
  <c r="J744" i="1"/>
  <c r="J712" i="1"/>
  <c r="J685" i="1"/>
  <c r="J658" i="1"/>
  <c r="J631" i="1"/>
  <c r="J968" i="1"/>
  <c r="J921" i="1"/>
  <c r="J873" i="1"/>
  <c r="J833" i="1"/>
  <c r="J801" i="1"/>
  <c r="J838" i="1"/>
  <c r="J858" i="1"/>
  <c r="J878" i="1"/>
  <c r="J902" i="1"/>
  <c r="J922" i="1"/>
  <c r="J943" i="1"/>
  <c r="J975" i="1"/>
  <c r="J647" i="1"/>
  <c r="J667" i="1"/>
  <c r="J691" i="1"/>
  <c r="J711" i="1"/>
  <c r="J731" i="1"/>
  <c r="J755" i="1"/>
  <c r="J775" i="1"/>
  <c r="J795" i="1"/>
  <c r="J819" i="1"/>
  <c r="J839" i="1"/>
  <c r="J859" i="1"/>
  <c r="J887" i="1"/>
  <c r="J919" i="1"/>
  <c r="J960" i="1"/>
  <c r="J864" i="1"/>
  <c r="J684" i="1"/>
  <c r="J598" i="1"/>
  <c r="J609" i="1"/>
  <c r="J871" i="1"/>
  <c r="J891" i="1"/>
  <c r="J915" i="1"/>
  <c r="J939" i="1"/>
  <c r="J982" i="1"/>
  <c r="J832" i="1"/>
  <c r="J705" i="1"/>
  <c r="J615" i="1"/>
  <c r="J570" i="1"/>
  <c r="J710" i="1"/>
  <c r="J923" i="1"/>
  <c r="J950" i="1"/>
  <c r="J976" i="1"/>
  <c r="J967" i="1"/>
  <c r="J769" i="1"/>
  <c r="J694" i="1"/>
  <c r="J626" i="1"/>
  <c r="J578" i="1"/>
  <c r="J856" i="1"/>
  <c r="J604" i="1"/>
  <c r="J997" i="1"/>
  <c r="J981" i="1"/>
  <c r="J965" i="1"/>
  <c r="J949" i="1"/>
  <c r="J1000" i="1"/>
  <c r="J984" i="1"/>
  <c r="J942" i="1"/>
  <c r="J909" i="1"/>
  <c r="J877" i="1"/>
  <c r="J845" i="1"/>
  <c r="J814" i="1"/>
  <c r="J793" i="1"/>
  <c r="J772" i="1"/>
  <c r="J750" i="1"/>
  <c r="J729" i="1"/>
  <c r="J708" i="1"/>
  <c r="J665" i="1"/>
  <c r="J644" i="1"/>
  <c r="J628" i="1"/>
  <c r="J612" i="1"/>
  <c r="J962" i="1"/>
  <c r="J924" i="1"/>
  <c r="J892" i="1"/>
  <c r="J860" i="1"/>
  <c r="J828" i="1"/>
  <c r="J802" i="1"/>
  <c r="J781" i="1"/>
  <c r="J760" i="1"/>
  <c r="J738" i="1"/>
  <c r="J717" i="1"/>
  <c r="J696" i="1"/>
  <c r="J674" i="1"/>
  <c r="J653" i="1"/>
  <c r="J635" i="1"/>
  <c r="J990" i="1"/>
  <c r="J947" i="1"/>
  <c r="J913" i="1"/>
  <c r="J881" i="1"/>
  <c r="J849" i="1"/>
  <c r="J817" i="1"/>
  <c r="J818" i="1"/>
  <c r="J834" i="1"/>
  <c r="J850" i="1"/>
  <c r="J866" i="1"/>
  <c r="J882" i="1"/>
  <c r="J898" i="1"/>
  <c r="J914" i="1"/>
  <c r="J930" i="1"/>
  <c r="J948" i="1"/>
  <c r="J970" i="1"/>
  <c r="J991" i="1"/>
  <c r="J655" i="1"/>
  <c r="J671" i="1"/>
  <c r="J687" i="1"/>
  <c r="J703" i="1"/>
  <c r="J719" i="1"/>
  <c r="J735" i="1"/>
  <c r="J751" i="1"/>
  <c r="J767" i="1"/>
  <c r="J783" i="1"/>
  <c r="J799" i="1"/>
  <c r="J815" i="1"/>
  <c r="J831" i="1"/>
  <c r="J847" i="1"/>
  <c r="J863" i="1"/>
  <c r="J879" i="1"/>
  <c r="J895" i="1"/>
  <c r="J911" i="1"/>
  <c r="J927" i="1"/>
  <c r="J944" i="1"/>
  <c r="J966" i="1"/>
  <c r="J987" i="1"/>
  <c r="J896" i="1"/>
  <c r="J780" i="1"/>
  <c r="J726" i="1"/>
  <c r="J662" i="1"/>
  <c r="J621" i="1"/>
  <c r="J594" i="1"/>
  <c r="J554" i="1"/>
  <c r="J572" i="1"/>
  <c r="J992" i="1"/>
  <c r="J928" i="1"/>
  <c r="J805" i="1"/>
  <c r="J758" i="1"/>
  <c r="J716" i="1"/>
  <c r="J673" i="1"/>
  <c r="J634" i="1"/>
  <c r="J610" i="1"/>
  <c r="J590" i="1"/>
  <c r="J558" i="1"/>
  <c r="J800" i="1"/>
  <c r="J545" i="1"/>
  <c r="J602" i="1"/>
  <c r="J586" i="1"/>
  <c r="J562" i="1"/>
  <c r="J956" i="1"/>
  <c r="J693" i="1"/>
  <c r="J541" i="1"/>
  <c r="J524" i="1"/>
  <c r="J920" i="1"/>
  <c r="J746" i="1"/>
  <c r="J589" i="1"/>
  <c r="J700" i="1"/>
  <c r="J508" i="1"/>
  <c r="J582" i="1"/>
  <c r="J566" i="1"/>
  <c r="J550" i="1"/>
  <c r="J888" i="1"/>
  <c r="J778" i="1"/>
  <c r="J714" i="1"/>
  <c r="J619" i="1"/>
  <c r="J573" i="1"/>
  <c r="J774" i="1"/>
  <c r="J608" i="1"/>
  <c r="J544" i="1"/>
  <c r="J789" i="1"/>
  <c r="J736" i="1"/>
  <c r="J650" i="1"/>
  <c r="J585" i="1"/>
  <c r="J848" i="1"/>
  <c r="J630" i="1"/>
  <c r="J568" i="1"/>
  <c r="J496" i="1"/>
  <c r="J605" i="1"/>
  <c r="J561" i="1"/>
  <c r="J796" i="1"/>
  <c r="J657" i="1"/>
  <c r="J584" i="1"/>
  <c r="J540" i="1"/>
  <c r="J488" i="1"/>
  <c r="J704" i="1"/>
  <c r="J633" i="1"/>
  <c r="J593" i="1"/>
  <c r="J569" i="1"/>
  <c r="J537" i="1"/>
  <c r="J742" i="1"/>
  <c r="J646" i="1"/>
  <c r="J592" i="1"/>
  <c r="J552" i="1"/>
  <c r="J520" i="1"/>
  <c r="J480" i="1"/>
  <c r="J672" i="1"/>
  <c r="J625" i="1"/>
  <c r="J601" i="1"/>
  <c r="J577" i="1"/>
  <c r="J557" i="1"/>
  <c r="J880" i="1"/>
  <c r="J753" i="1"/>
  <c r="J689" i="1"/>
  <c r="J618" i="1"/>
  <c r="J588" i="1"/>
  <c r="J560" i="1"/>
  <c r="J528" i="1"/>
  <c r="J504" i="1"/>
  <c r="J476" i="1"/>
  <c r="J553" i="1"/>
  <c r="J912" i="1"/>
  <c r="J785" i="1"/>
  <c r="J732" i="1"/>
  <c r="J668" i="1"/>
  <c r="J623" i="1"/>
  <c r="J600" i="1"/>
  <c r="J576" i="1"/>
  <c r="J556" i="1"/>
  <c r="J536" i="1"/>
  <c r="J512" i="1"/>
  <c r="J492" i="1"/>
  <c r="J936" i="1"/>
  <c r="J810" i="1"/>
  <c r="J762" i="1"/>
  <c r="J720" i="1"/>
  <c r="J677" i="1"/>
  <c r="J637" i="1"/>
  <c r="J611" i="1"/>
  <c r="J595" i="1"/>
  <c r="J579" i="1"/>
  <c r="J563" i="1"/>
  <c r="J547" i="1"/>
  <c r="J538" i="1"/>
  <c r="J531" i="1"/>
  <c r="J526" i="1"/>
  <c r="J521" i="1"/>
  <c r="J515" i="1"/>
  <c r="J510" i="1"/>
  <c r="J505" i="1"/>
  <c r="J499" i="1"/>
  <c r="J494" i="1"/>
  <c r="J489" i="1"/>
  <c r="J483" i="1"/>
  <c r="J478" i="1"/>
  <c r="J473" i="1"/>
  <c r="J468" i="1"/>
  <c r="J464" i="1"/>
  <c r="J460" i="1"/>
  <c r="J456" i="1"/>
  <c r="J452" i="1"/>
  <c r="J448" i="1"/>
  <c r="J444" i="1"/>
  <c r="J440" i="1"/>
  <c r="J436" i="1"/>
  <c r="J432" i="1"/>
  <c r="J428" i="1"/>
  <c r="J424" i="1"/>
  <c r="J420" i="1"/>
  <c r="J416" i="1"/>
  <c r="J412" i="1"/>
  <c r="J408" i="1"/>
  <c r="J404" i="1"/>
  <c r="J400" i="1"/>
  <c r="J396" i="1"/>
  <c r="J392" i="1"/>
  <c r="J388" i="1"/>
  <c r="J384" i="1"/>
  <c r="J380" i="1"/>
  <c r="J376" i="1"/>
  <c r="J372" i="1"/>
  <c r="J368" i="1"/>
  <c r="J364" i="1"/>
  <c r="J360" i="1"/>
  <c r="J356" i="1"/>
  <c r="J352" i="1"/>
  <c r="J348" i="1"/>
  <c r="J344" i="1"/>
  <c r="J340" i="1"/>
  <c r="J336" i="1"/>
  <c r="J332" i="1"/>
  <c r="J328" i="1"/>
  <c r="J324" i="1"/>
  <c r="J320" i="1"/>
  <c r="J316" i="1"/>
  <c r="J312" i="1"/>
  <c r="J308" i="1"/>
  <c r="J304" i="1"/>
  <c r="J300" i="1"/>
  <c r="J296" i="1"/>
  <c r="J292" i="1"/>
  <c r="J288" i="1"/>
  <c r="J284" i="1"/>
  <c r="J280" i="1"/>
  <c r="J276" i="1"/>
  <c r="J272" i="1"/>
  <c r="J268" i="1"/>
  <c r="J264" i="1"/>
  <c r="J260" i="1"/>
  <c r="J256" i="1"/>
  <c r="J252" i="1"/>
  <c r="J248" i="1"/>
  <c r="J244" i="1"/>
  <c r="J240" i="1"/>
  <c r="J236" i="1"/>
  <c r="J232" i="1"/>
  <c r="J228" i="1"/>
  <c r="J904" i="1"/>
  <c r="J794" i="1"/>
  <c r="J752" i="1"/>
  <c r="J709" i="1"/>
  <c r="J666" i="1"/>
  <c r="J629" i="1"/>
  <c r="J607" i="1"/>
  <c r="J591" i="1"/>
  <c r="J575" i="1"/>
  <c r="J559" i="1"/>
  <c r="J543" i="1"/>
  <c r="J535" i="1"/>
  <c r="J530" i="1"/>
  <c r="J525" i="1"/>
  <c r="J519" i="1"/>
  <c r="J514" i="1"/>
  <c r="J509" i="1"/>
  <c r="J503" i="1"/>
  <c r="J498" i="1"/>
  <c r="J493" i="1"/>
  <c r="J487" i="1"/>
  <c r="J482" i="1"/>
  <c r="J477" i="1"/>
  <c r="J471" i="1"/>
  <c r="J467" i="1"/>
  <c r="J463" i="1"/>
  <c r="J459" i="1"/>
  <c r="J455" i="1"/>
  <c r="J451" i="1"/>
  <c r="J447" i="1"/>
  <c r="J443" i="1"/>
  <c r="J439" i="1"/>
  <c r="J435" i="1"/>
  <c r="J431" i="1"/>
  <c r="J427" i="1"/>
  <c r="J423" i="1"/>
  <c r="J419" i="1"/>
  <c r="J415" i="1"/>
  <c r="J411" i="1"/>
  <c r="J407" i="1"/>
  <c r="J403" i="1"/>
  <c r="J399" i="1"/>
  <c r="J395" i="1"/>
  <c r="J391" i="1"/>
  <c r="J387" i="1"/>
  <c r="J383" i="1"/>
  <c r="J379" i="1"/>
  <c r="J375" i="1"/>
  <c r="J371" i="1"/>
  <c r="J367" i="1"/>
  <c r="J363" i="1"/>
  <c r="J359" i="1"/>
  <c r="J355" i="1"/>
  <c r="J351" i="1"/>
  <c r="J347" i="1"/>
  <c r="J343" i="1"/>
  <c r="J339" i="1"/>
  <c r="J335" i="1"/>
  <c r="J331" i="1"/>
  <c r="J327" i="1"/>
  <c r="J323" i="1"/>
  <c r="J319" i="1"/>
  <c r="J315" i="1"/>
  <c r="J311" i="1"/>
  <c r="J307" i="1"/>
  <c r="J303" i="1"/>
  <c r="J299" i="1"/>
  <c r="J295" i="1"/>
  <c r="J291" i="1"/>
  <c r="J287" i="1"/>
  <c r="J283" i="1"/>
  <c r="J279" i="1"/>
  <c r="J275" i="1"/>
  <c r="J271" i="1"/>
  <c r="J267" i="1"/>
  <c r="J263" i="1"/>
  <c r="J259" i="1"/>
  <c r="J255" i="1"/>
  <c r="J251" i="1"/>
  <c r="J247" i="1"/>
  <c r="J243" i="1"/>
  <c r="J239" i="1"/>
  <c r="J235" i="1"/>
  <c r="J231" i="1"/>
  <c r="J227" i="1"/>
  <c r="J872" i="1"/>
  <c r="J741" i="1"/>
  <c r="J656" i="1"/>
  <c r="J603" i="1"/>
  <c r="J571" i="1"/>
  <c r="J542" i="1"/>
  <c r="J529" i="1"/>
  <c r="J518" i="1"/>
  <c r="J507" i="1"/>
  <c r="J497" i="1"/>
  <c r="J486" i="1"/>
  <c r="J475" i="1"/>
  <c r="J466" i="1"/>
  <c r="J458" i="1"/>
  <c r="J450" i="1"/>
  <c r="J442" i="1"/>
  <c r="J434" i="1"/>
  <c r="J426" i="1"/>
  <c r="J418" i="1"/>
  <c r="J410" i="1"/>
  <c r="J402" i="1"/>
  <c r="J394" i="1"/>
  <c r="J386" i="1"/>
  <c r="J378" i="1"/>
  <c r="J370" i="1"/>
  <c r="J362" i="1"/>
  <c r="J354" i="1"/>
  <c r="J346" i="1"/>
  <c r="J338" i="1"/>
  <c r="J330" i="1"/>
  <c r="J322" i="1"/>
  <c r="J314" i="1"/>
  <c r="J306" i="1"/>
  <c r="J298" i="1"/>
  <c r="J290" i="1"/>
  <c r="J282" i="1"/>
  <c r="J274" i="1"/>
  <c r="J266" i="1"/>
  <c r="J258" i="1"/>
  <c r="J250" i="1"/>
  <c r="J242" i="1"/>
  <c r="J234" i="1"/>
  <c r="J226" i="1"/>
  <c r="J222" i="1"/>
  <c r="J218" i="1"/>
  <c r="J214" i="1"/>
  <c r="J210" i="1"/>
  <c r="J206" i="1"/>
  <c r="J202" i="1"/>
  <c r="J198" i="1"/>
  <c r="J194" i="1"/>
  <c r="J190" i="1"/>
  <c r="J186" i="1"/>
  <c r="J182" i="1"/>
  <c r="J178" i="1"/>
  <c r="J174" i="1"/>
  <c r="J170" i="1"/>
  <c r="J166" i="1"/>
  <c r="J162" i="1"/>
  <c r="J158" i="1"/>
  <c r="J154" i="1"/>
  <c r="J150" i="1"/>
  <c r="J146" i="1"/>
  <c r="J142" i="1"/>
  <c r="J138" i="1"/>
  <c r="J134" i="1"/>
  <c r="J130" i="1"/>
  <c r="J126" i="1"/>
  <c r="J122" i="1"/>
  <c r="J118" i="1"/>
  <c r="J114" i="1"/>
  <c r="J110" i="1"/>
  <c r="J106" i="1"/>
  <c r="J102" i="1"/>
  <c r="J98" i="1"/>
  <c r="J94" i="1"/>
  <c r="J90" i="1"/>
  <c r="J86" i="1"/>
  <c r="J82" i="1"/>
  <c r="J78" i="1"/>
  <c r="J74" i="1"/>
  <c r="J70" i="1"/>
  <c r="J66" i="1"/>
  <c r="J62" i="1"/>
  <c r="J840" i="1"/>
  <c r="J730" i="1"/>
  <c r="J645" i="1"/>
  <c r="J599" i="1"/>
  <c r="J567" i="1"/>
  <c r="J539" i="1"/>
  <c r="J527" i="1"/>
  <c r="J517" i="1"/>
  <c r="J506" i="1"/>
  <c r="J495" i="1"/>
  <c r="J485" i="1"/>
  <c r="J474" i="1"/>
  <c r="J465" i="1"/>
  <c r="J457" i="1"/>
  <c r="J449" i="1"/>
  <c r="J441" i="1"/>
  <c r="J433" i="1"/>
  <c r="J425" i="1"/>
  <c r="J417" i="1"/>
  <c r="J409" i="1"/>
  <c r="J401" i="1"/>
  <c r="J393" i="1"/>
  <c r="J385" i="1"/>
  <c r="J377" i="1"/>
  <c r="J369" i="1"/>
  <c r="J361" i="1"/>
  <c r="J353" i="1"/>
  <c r="J345" i="1"/>
  <c r="J337" i="1"/>
  <c r="J329" i="1"/>
  <c r="J321" i="1"/>
  <c r="J313" i="1"/>
  <c r="J305" i="1"/>
  <c r="J297" i="1"/>
  <c r="J289" i="1"/>
  <c r="J281" i="1"/>
  <c r="J273" i="1"/>
  <c r="J265" i="1"/>
  <c r="J257" i="1"/>
  <c r="J249" i="1"/>
  <c r="J241" i="1"/>
  <c r="J233" i="1"/>
  <c r="J225" i="1"/>
  <c r="J221" i="1"/>
  <c r="J217" i="1"/>
  <c r="J213" i="1"/>
  <c r="J209" i="1"/>
  <c r="J205" i="1"/>
  <c r="J201" i="1"/>
  <c r="J197" i="1"/>
  <c r="J193" i="1"/>
  <c r="J189" i="1"/>
  <c r="J185" i="1"/>
  <c r="J181" i="1"/>
  <c r="J177" i="1"/>
  <c r="J173" i="1"/>
  <c r="J169" i="1"/>
  <c r="J165" i="1"/>
  <c r="J161" i="1"/>
  <c r="J157" i="1"/>
  <c r="J153" i="1"/>
  <c r="J149" i="1"/>
  <c r="J145" i="1"/>
  <c r="J141" i="1"/>
  <c r="J137" i="1"/>
  <c r="J133" i="1"/>
  <c r="J129" i="1"/>
  <c r="J125" i="1"/>
  <c r="J121" i="1"/>
  <c r="J117" i="1"/>
  <c r="J113" i="1"/>
  <c r="J109" i="1"/>
  <c r="J105" i="1"/>
  <c r="J101" i="1"/>
  <c r="J97" i="1"/>
  <c r="J93" i="1"/>
  <c r="J89" i="1"/>
  <c r="J85" i="1"/>
  <c r="J81" i="1"/>
  <c r="J77" i="1"/>
  <c r="J73" i="1"/>
  <c r="J69" i="1"/>
  <c r="J65" i="1"/>
  <c r="J61" i="1"/>
  <c r="J57" i="1"/>
  <c r="J784" i="1"/>
  <c r="J622" i="1"/>
  <c r="J555" i="1"/>
  <c r="J523" i="1"/>
  <c r="J502" i="1"/>
  <c r="J481" i="1"/>
  <c r="J462" i="1"/>
  <c r="J446" i="1"/>
  <c r="J430" i="1"/>
  <c r="J414" i="1"/>
  <c r="J398" i="1"/>
  <c r="J382" i="1"/>
  <c r="J366" i="1"/>
  <c r="J350" i="1"/>
  <c r="J334" i="1"/>
  <c r="J318" i="1"/>
  <c r="J302" i="1"/>
  <c r="J286" i="1"/>
  <c r="J270" i="1"/>
  <c r="J254" i="1"/>
  <c r="J238" i="1"/>
  <c r="J224" i="1"/>
  <c r="J216" i="1"/>
  <c r="J208" i="1"/>
  <c r="J200" i="1"/>
  <c r="J192" i="1"/>
  <c r="J184" i="1"/>
  <c r="J176" i="1"/>
  <c r="J168" i="1"/>
  <c r="J160" i="1"/>
  <c r="J152" i="1"/>
  <c r="J144" i="1"/>
  <c r="J136" i="1"/>
  <c r="J128" i="1"/>
  <c r="J120" i="1"/>
  <c r="J112" i="1"/>
  <c r="J104" i="1"/>
  <c r="J96" i="1"/>
  <c r="J88" i="1"/>
  <c r="J80" i="1"/>
  <c r="J72" i="1"/>
  <c r="J64" i="1"/>
  <c r="J58" i="1"/>
  <c r="J53" i="1"/>
  <c r="J49" i="1"/>
  <c r="J45" i="1"/>
  <c r="J41" i="1"/>
  <c r="J37" i="1"/>
  <c r="J33" i="1"/>
  <c r="J29" i="1"/>
  <c r="J25" i="1"/>
  <c r="P25" i="1" s="1"/>
  <c r="J17" i="1"/>
  <c r="P17" i="1" s="1"/>
  <c r="J773" i="1"/>
  <c r="J617" i="1"/>
  <c r="J551" i="1"/>
  <c r="J522" i="1"/>
  <c r="J501" i="1"/>
  <c r="J479" i="1"/>
  <c r="J461" i="1"/>
  <c r="J445" i="1"/>
  <c r="J429" i="1"/>
  <c r="J413" i="1"/>
  <c r="J397" i="1"/>
  <c r="J381" i="1"/>
  <c r="J365" i="1"/>
  <c r="J349" i="1"/>
  <c r="J333" i="1"/>
  <c r="J317" i="1"/>
  <c r="J301" i="1"/>
  <c r="J285" i="1"/>
  <c r="J269" i="1"/>
  <c r="J253" i="1"/>
  <c r="J237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6" i="1"/>
  <c r="J52" i="1"/>
  <c r="J48" i="1"/>
  <c r="J44" i="1"/>
  <c r="J40" i="1"/>
  <c r="J36" i="1"/>
  <c r="J32" i="1"/>
  <c r="J28" i="1"/>
  <c r="J24" i="1"/>
  <c r="P24" i="1" s="1"/>
  <c r="J20" i="1"/>
  <c r="P20" i="1" s="1"/>
  <c r="J16" i="1"/>
  <c r="P16" i="1" s="1"/>
  <c r="J12" i="1"/>
  <c r="P12" i="1" s="1"/>
  <c r="J8" i="1"/>
  <c r="P8" i="1" s="1" a="1"/>
  <c r="P8" i="1" s="1"/>
  <c r="J15" i="1"/>
  <c r="P15" i="1" s="1"/>
  <c r="J688" i="1"/>
  <c r="J533" i="1"/>
  <c r="J490" i="1"/>
  <c r="J437" i="1"/>
  <c r="J389" i="1"/>
  <c r="J341" i="1"/>
  <c r="J293" i="1"/>
  <c r="J245" i="1"/>
  <c r="J203" i="1"/>
  <c r="J179" i="1"/>
  <c r="J155" i="1"/>
  <c r="J131" i="1"/>
  <c r="J107" i="1"/>
  <c r="J83" i="1"/>
  <c r="J59" i="1"/>
  <c r="J42" i="1"/>
  <c r="J34" i="1"/>
  <c r="J22" i="1"/>
  <c r="P22" i="1" s="1"/>
  <c r="J698" i="1"/>
  <c r="J587" i="1"/>
  <c r="J534" i="1"/>
  <c r="J513" i="1"/>
  <c r="J491" i="1"/>
  <c r="J470" i="1"/>
  <c r="J454" i="1"/>
  <c r="J438" i="1"/>
  <c r="J422" i="1"/>
  <c r="J406" i="1"/>
  <c r="J390" i="1"/>
  <c r="J374" i="1"/>
  <c r="J358" i="1"/>
  <c r="J342" i="1"/>
  <c r="J326" i="1"/>
  <c r="J310" i="1"/>
  <c r="J294" i="1"/>
  <c r="J278" i="1"/>
  <c r="J262" i="1"/>
  <c r="J246" i="1"/>
  <c r="J230" i="1"/>
  <c r="J220" i="1"/>
  <c r="J212" i="1"/>
  <c r="J204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5" i="1"/>
  <c r="J51" i="1"/>
  <c r="J47" i="1"/>
  <c r="J43" i="1"/>
  <c r="J39" i="1"/>
  <c r="J35" i="1"/>
  <c r="J31" i="1"/>
  <c r="J27" i="1"/>
  <c r="P27" i="1" s="1"/>
  <c r="J23" i="1"/>
  <c r="P23" i="1" s="1"/>
  <c r="J19" i="1"/>
  <c r="P19" i="1" s="1"/>
  <c r="J11" i="1"/>
  <c r="P11" i="1" s="1"/>
  <c r="J583" i="1"/>
  <c r="J453" i="1"/>
  <c r="J405" i="1"/>
  <c r="J357" i="1"/>
  <c r="J309" i="1"/>
  <c r="J261" i="1"/>
  <c r="J219" i="1"/>
  <c r="J187" i="1"/>
  <c r="J163" i="1"/>
  <c r="J139" i="1"/>
  <c r="J115" i="1"/>
  <c r="J91" i="1"/>
  <c r="J67" i="1"/>
  <c r="J50" i="1"/>
  <c r="J38" i="1"/>
  <c r="J26" i="1"/>
  <c r="P26" i="1" s="1"/>
  <c r="J14" i="1"/>
  <c r="P14" i="1" s="1"/>
  <c r="J10" i="1"/>
  <c r="P10" i="1" s="1"/>
  <c r="J13" i="1"/>
  <c r="P13" i="1" s="1"/>
  <c r="J988" i="1"/>
  <c r="J511" i="1"/>
  <c r="J469" i="1"/>
  <c r="J421" i="1"/>
  <c r="J373" i="1"/>
  <c r="J325" i="1"/>
  <c r="J277" i="1"/>
  <c r="J229" i="1"/>
  <c r="J211" i="1"/>
  <c r="J195" i="1"/>
  <c r="J171" i="1"/>
  <c r="J147" i="1"/>
  <c r="J123" i="1"/>
  <c r="J99" i="1"/>
  <c r="J75" i="1"/>
  <c r="J54" i="1"/>
  <c r="J46" i="1"/>
  <c r="J30" i="1"/>
  <c r="J18" i="1"/>
  <c r="P18" i="1" s="1"/>
  <c r="J21" i="1"/>
  <c r="P21" i="1" s="1"/>
  <c r="J9" i="1"/>
  <c r="P9" i="1" s="1"/>
  <c r="J824" i="1"/>
  <c r="J768" i="1"/>
  <c r="J725" i="1"/>
  <c r="J682" i="1"/>
  <c r="J641" i="1"/>
  <c r="J614" i="1"/>
  <c r="J597" i="1"/>
  <c r="J581" i="1"/>
  <c r="J565" i="1"/>
  <c r="J549" i="1"/>
  <c r="J946" i="1"/>
  <c r="J816" i="1"/>
  <c r="J764" i="1"/>
  <c r="J721" i="1"/>
  <c r="J678" i="1"/>
  <c r="J638" i="1"/>
  <c r="J613" i="1"/>
  <c r="J596" i="1"/>
  <c r="J580" i="1"/>
  <c r="J564" i="1"/>
  <c r="J548" i="1"/>
  <c r="J532" i="1"/>
  <c r="J516" i="1"/>
  <c r="J500" i="1"/>
  <c r="J484" i="1"/>
  <c r="J978" i="1"/>
  <c r="J823" i="1"/>
  <c r="J969" i="1"/>
  <c r="J901" i="1"/>
  <c r="J745" i="1"/>
  <c r="J951" i="1"/>
  <c r="J707" i="1"/>
  <c r="J723" i="1"/>
  <c r="J472" i="1"/>
  <c r="J933" i="1"/>
  <c r="J648" i="1"/>
  <c r="J934" i="1"/>
  <c r="J861" i="1"/>
  <c r="J908" i="1"/>
  <c r="J706" i="1"/>
  <c r="J885" i="1"/>
  <c r="J786" i="1"/>
  <c r="J639" i="1"/>
  <c r="J686" i="1"/>
  <c r="J661" i="1"/>
  <c r="N686" i="1" l="1"/>
  <c r="N786" i="1"/>
  <c r="N885" i="1"/>
  <c r="N706" i="1"/>
  <c r="N648" i="1"/>
  <c r="N723" i="1"/>
  <c r="N951" i="1"/>
  <c r="N745" i="1"/>
  <c r="N901" i="1"/>
  <c r="N978" i="1"/>
  <c r="N638" i="1"/>
  <c r="N678" i="1"/>
  <c r="N721" i="1"/>
  <c r="N764" i="1"/>
  <c r="N816" i="1"/>
  <c r="N565" i="1"/>
  <c r="N597" i="1"/>
  <c r="N614" i="1"/>
  <c r="N682" i="1"/>
  <c r="N768" i="1"/>
  <c r="N30" i="1"/>
  <c r="N46" i="1"/>
  <c r="N99" i="1"/>
  <c r="N123" i="1"/>
  <c r="N195" i="1"/>
  <c r="N373" i="1"/>
  <c r="N511" i="1"/>
  <c r="N988" i="1"/>
  <c r="N14" i="1"/>
  <c r="N26" i="1"/>
  <c r="N38" i="1"/>
  <c r="N50" i="1"/>
  <c r="N139" i="1"/>
  <c r="N187" i="1"/>
  <c r="N309" i="1"/>
  <c r="N583" i="1"/>
  <c r="N92" i="1"/>
  <c r="N108" i="1"/>
  <c r="N148" i="1"/>
  <c r="N156" i="1"/>
  <c r="N172" i="1"/>
  <c r="N180" i="1"/>
  <c r="N188" i="1"/>
  <c r="N196" i="1"/>
  <c r="N212" i="1"/>
  <c r="N220" i="1"/>
  <c r="N230" i="1"/>
  <c r="N374" i="1"/>
  <c r="N390" i="1"/>
  <c r="N438" i="1"/>
  <c r="N698" i="1"/>
  <c r="N42" i="1"/>
  <c r="N107" i="1"/>
  <c r="N179" i="1"/>
  <c r="N203" i="1"/>
  <c r="N341" i="1"/>
  <c r="N389" i="1"/>
  <c r="N437" i="1"/>
  <c r="N688" i="1"/>
  <c r="N8" i="1"/>
  <c r="N12" i="1"/>
  <c r="N16" i="1"/>
  <c r="N32" i="1"/>
  <c r="N40" i="1"/>
  <c r="N48" i="1"/>
  <c r="N52" i="1"/>
  <c r="N56" i="1"/>
  <c r="N79" i="1"/>
  <c r="N95" i="1"/>
  <c r="N199" i="1"/>
  <c r="N269" i="1"/>
  <c r="N285" i="1"/>
  <c r="N365" i="1"/>
  <c r="N381" i="1"/>
  <c r="N413" i="1"/>
  <c r="N445" i="1"/>
  <c r="N551" i="1"/>
  <c r="N617" i="1"/>
  <c r="N53" i="1"/>
  <c r="N58" i="1"/>
  <c r="N72" i="1"/>
  <c r="N80" i="1"/>
  <c r="N96" i="1"/>
  <c r="N112" i="1"/>
  <c r="N120" i="1"/>
  <c r="N144" i="1"/>
  <c r="N168" i="1"/>
  <c r="N176" i="1"/>
  <c r="N184" i="1"/>
  <c r="N208" i="1"/>
  <c r="N216" i="1"/>
  <c r="N224" i="1"/>
  <c r="N238" i="1"/>
  <c r="N254" i="1"/>
  <c r="N302" i="1"/>
  <c r="N350" i="1"/>
  <c r="N382" i="1"/>
  <c r="N446" i="1"/>
  <c r="N462" i="1"/>
  <c r="N502" i="1"/>
  <c r="N523" i="1"/>
  <c r="N555" i="1"/>
  <c r="N81" i="1"/>
  <c r="N93" i="1"/>
  <c r="N105" i="1"/>
  <c r="N145" i="1"/>
  <c r="N149" i="1"/>
  <c r="N169" i="1"/>
  <c r="N189" i="1"/>
  <c r="N197" i="1"/>
  <c r="N201" i="1"/>
  <c r="N205" i="1"/>
  <c r="N345" i="1"/>
  <c r="N361" i="1"/>
  <c r="N409" i="1"/>
  <c r="N433" i="1"/>
  <c r="N441" i="1"/>
  <c r="N457" i="1"/>
  <c r="N465" i="1"/>
  <c r="N474" i="1"/>
  <c r="N517" i="1"/>
  <c r="N539" i="1"/>
  <c r="N840" i="1"/>
  <c r="N66" i="1"/>
  <c r="N74" i="1"/>
  <c r="N78" i="1"/>
  <c r="N82" i="1"/>
  <c r="N90" i="1"/>
  <c r="N98" i="1"/>
  <c r="N102" i="1"/>
  <c r="N106" i="1"/>
  <c r="N114" i="1"/>
  <c r="N138" i="1"/>
  <c r="N142" i="1"/>
  <c r="N146" i="1"/>
  <c r="N154" i="1"/>
  <c r="N166" i="1"/>
  <c r="N170" i="1"/>
  <c r="N186" i="1"/>
  <c r="N194" i="1"/>
  <c r="N198" i="1"/>
  <c r="N202" i="1"/>
  <c r="N206" i="1"/>
  <c r="N210" i="1"/>
  <c r="N222" i="1"/>
  <c r="N234" i="1"/>
  <c r="N242" i="1"/>
  <c r="N258" i="1"/>
  <c r="N266" i="1"/>
  <c r="N298" i="1"/>
  <c r="N306" i="1"/>
  <c r="N314" i="1"/>
  <c r="N322" i="1"/>
  <c r="N338" i="1"/>
  <c r="N354" i="1"/>
  <c r="N362" i="1"/>
  <c r="N370" i="1"/>
  <c r="N386" i="1"/>
  <c r="N394" i="1"/>
  <c r="N402" i="1"/>
  <c r="N410" i="1"/>
  <c r="N426" i="1"/>
  <c r="N450" i="1"/>
  <c r="N475" i="1"/>
  <c r="N486" i="1"/>
  <c r="N497" i="1"/>
  <c r="N507" i="1"/>
  <c r="N518" i="1"/>
  <c r="N529" i="1"/>
  <c r="N571" i="1"/>
  <c r="N603" i="1"/>
  <c r="N872" i="1"/>
  <c r="N227" i="1"/>
  <c r="N235" i="1"/>
  <c r="N239" i="1"/>
  <c r="N259" i="1"/>
  <c r="N267" i="1"/>
  <c r="N271" i="1"/>
  <c r="N287" i="1"/>
  <c r="N295" i="1"/>
  <c r="N303" i="1"/>
  <c r="N311" i="1"/>
  <c r="N315" i="1"/>
  <c r="N319" i="1"/>
  <c r="N335" i="1"/>
  <c r="N339" i="1"/>
  <c r="N343" i="1"/>
  <c r="N347" i="1"/>
  <c r="N355" i="1"/>
  <c r="N359" i="1"/>
  <c r="N367" i="1"/>
  <c r="N379" i="1"/>
  <c r="N383" i="1"/>
  <c r="N387" i="1"/>
  <c r="N403" i="1"/>
  <c r="N415" i="1"/>
  <c r="N423" i="1"/>
  <c r="N443" i="1"/>
  <c r="N447" i="1"/>
  <c r="N463" i="1"/>
  <c r="N471" i="1"/>
  <c r="N487" i="1"/>
  <c r="N503" i="1"/>
  <c r="N752" i="1"/>
  <c r="N794" i="1"/>
  <c r="N904" i="1"/>
  <c r="N232" i="1"/>
  <c r="N236" i="1"/>
  <c r="N248" i="1"/>
  <c r="N256" i="1"/>
  <c r="N360" i="1"/>
  <c r="N428" i="1"/>
  <c r="N452" i="1"/>
  <c r="N473" i="1"/>
  <c r="N478" i="1"/>
  <c r="N483" i="1"/>
  <c r="N494" i="1"/>
  <c r="N505" i="1"/>
  <c r="N521" i="1"/>
  <c r="N526" i="1"/>
  <c r="N547" i="1"/>
  <c r="N579" i="1"/>
  <c r="N595" i="1"/>
  <c r="N611" i="1"/>
  <c r="N720" i="1"/>
  <c r="N936" i="1"/>
  <c r="N668" i="1"/>
  <c r="N732" i="1"/>
  <c r="N912" i="1"/>
  <c r="N553" i="1"/>
  <c r="N618" i="1"/>
  <c r="N689" i="1"/>
  <c r="N753" i="1"/>
  <c r="N880" i="1"/>
  <c r="N577" i="1"/>
  <c r="N601" i="1"/>
  <c r="N480" i="1"/>
  <c r="N537" i="1"/>
  <c r="N593" i="1"/>
  <c r="N633" i="1"/>
  <c r="N704" i="1"/>
  <c r="N488" i="1"/>
  <c r="N796" i="1"/>
  <c r="N605" i="1"/>
  <c r="N585" i="1"/>
  <c r="N736" i="1"/>
  <c r="N619" i="1"/>
  <c r="N888" i="1"/>
  <c r="N550" i="1"/>
  <c r="N566" i="1"/>
  <c r="N582" i="1"/>
  <c r="N746" i="1"/>
  <c r="N920" i="1"/>
  <c r="N541" i="1"/>
  <c r="N693" i="1"/>
  <c r="N956" i="1"/>
  <c r="N800" i="1"/>
  <c r="N590" i="1"/>
  <c r="N610" i="1"/>
  <c r="N634" i="1"/>
  <c r="N758" i="1"/>
  <c r="N928" i="1"/>
  <c r="N992" i="1"/>
  <c r="N780" i="1"/>
  <c r="N896" i="1"/>
  <c r="N944" i="1"/>
  <c r="N911" i="1"/>
  <c r="N879" i="1"/>
  <c r="N815" i="1"/>
  <c r="N799" i="1"/>
  <c r="N735" i="1"/>
  <c r="N703" i="1"/>
  <c r="N948" i="1"/>
  <c r="N898" i="1"/>
  <c r="N850" i="1"/>
  <c r="N834" i="1"/>
  <c r="N818" i="1"/>
  <c r="N849" i="1"/>
  <c r="N881" i="1"/>
  <c r="N947" i="1"/>
  <c r="N674" i="1"/>
  <c r="N738" i="1"/>
  <c r="N760" i="1"/>
  <c r="N802" i="1"/>
  <c r="N860" i="1"/>
  <c r="N924" i="1"/>
  <c r="N665" i="1"/>
  <c r="N708" i="1"/>
  <c r="N772" i="1"/>
  <c r="N845" i="1"/>
  <c r="N877" i="1"/>
  <c r="N909" i="1"/>
  <c r="N949" i="1"/>
  <c r="N965" i="1"/>
  <c r="N981" i="1"/>
  <c r="N626" i="1"/>
  <c r="N694" i="1"/>
  <c r="N769" i="1"/>
  <c r="N950" i="1"/>
  <c r="N923" i="1"/>
  <c r="N615" i="1"/>
  <c r="N982" i="1"/>
  <c r="N939" i="1"/>
  <c r="N915" i="1"/>
  <c r="N891" i="1"/>
  <c r="N871" i="1"/>
  <c r="N864" i="1"/>
  <c r="N960" i="1"/>
  <c r="N919" i="1"/>
  <c r="N887" i="1"/>
  <c r="N859" i="1"/>
  <c r="N839" i="1"/>
  <c r="N819" i="1"/>
  <c r="N795" i="1"/>
  <c r="N755" i="1"/>
  <c r="N691" i="1"/>
  <c r="N667" i="1"/>
  <c r="N943" i="1"/>
  <c r="N922" i="1"/>
  <c r="N902" i="1"/>
  <c r="N838" i="1"/>
  <c r="N873" i="1"/>
  <c r="N968" i="1"/>
  <c r="N631" i="1"/>
  <c r="N658" i="1"/>
  <c r="N744" i="1"/>
  <c r="N797" i="1"/>
  <c r="N876" i="1"/>
  <c r="N916" i="1"/>
  <c r="N972" i="1"/>
  <c r="N640" i="1"/>
  <c r="N670" i="1"/>
  <c r="N724" i="1"/>
  <c r="N809" i="1"/>
  <c r="N893" i="1"/>
  <c r="N642" i="1"/>
  <c r="N790" i="1"/>
  <c r="N867" i="1"/>
  <c r="N835" i="1"/>
  <c r="N807" i="1"/>
  <c r="N779" i="1"/>
  <c r="N546" i="1"/>
  <c r="N737" i="1"/>
  <c r="N899" i="1"/>
  <c r="N739" i="1"/>
  <c r="N574" i="1"/>
  <c r="N907" i="1"/>
  <c r="N843" i="1"/>
  <c r="N791" i="1"/>
  <c r="N606" i="1"/>
  <c r="N715" i="1"/>
  <c r="N675" i="1"/>
  <c r="N959" i="1"/>
  <c r="N894" i="1"/>
  <c r="N652" i="1"/>
  <c r="N883" i="1"/>
  <c r="N659" i="1"/>
  <c r="N964" i="1"/>
  <c r="N846" i="1"/>
  <c r="N748" i="1"/>
  <c r="N651" i="1"/>
  <c r="N938" i="1"/>
  <c r="N890" i="1"/>
  <c r="N812" i="1"/>
  <c r="N806" i="1"/>
  <c r="N889" i="1"/>
  <c r="N958" i="1"/>
  <c r="N643" i="1"/>
  <c r="N680" i="1"/>
  <c r="N722" i="1"/>
  <c r="N931" i="1"/>
  <c r="N954" i="1"/>
  <c r="N937" i="1"/>
  <c r="N792" i="1"/>
  <c r="N875" i="1"/>
  <c r="N874" i="1"/>
  <c r="N813" i="1"/>
  <c r="N910" i="1"/>
  <c r="N728" i="1"/>
  <c r="N808" i="1"/>
  <c r="N884" i="1"/>
  <c r="N718" i="1"/>
  <c r="N830" i="1"/>
  <c r="N932" i="1"/>
  <c r="N679" i="1"/>
  <c r="N897" i="1"/>
  <c r="N852" i="1"/>
  <c r="N636" i="1"/>
  <c r="N692" i="1"/>
  <c r="N740" i="1"/>
  <c r="N788" i="1"/>
  <c r="N980" i="1"/>
  <c r="N660" i="1"/>
  <c r="N734" i="1"/>
  <c r="N798" i="1"/>
  <c r="N900" i="1"/>
  <c r="N869" i="1"/>
  <c r="N977" i="1"/>
  <c r="N826" i="1"/>
  <c r="N821" i="1"/>
  <c r="N952" i="1"/>
  <c r="N957" i="1"/>
  <c r="N963" i="1"/>
  <c r="N776" i="1"/>
  <c r="N713" i="1"/>
  <c r="N993" i="1"/>
  <c r="N766" i="1"/>
  <c r="N1005" i="1"/>
  <c r="N929" i="1"/>
  <c r="N570" i="1"/>
  <c r="N683" i="1"/>
  <c r="N1002" i="1"/>
  <c r="N240" i="1"/>
  <c r="N998" i="1"/>
  <c r="N499" i="1"/>
  <c r="N836" i="1"/>
  <c r="N451" i="1"/>
  <c r="N757" i="1"/>
  <c r="N878" i="1"/>
  <c r="N288" i="1"/>
  <c r="N333" i="1"/>
  <c r="N468" i="1"/>
  <c r="N435" i="1"/>
  <c r="N941" i="1"/>
  <c r="N563" i="1"/>
  <c r="N687" i="1"/>
  <c r="N418" i="1"/>
  <c r="N637" i="1"/>
  <c r="N356" i="1"/>
  <c r="N385" i="1"/>
  <c r="N209" i="1"/>
  <c r="N292" i="1"/>
  <c r="N228" i="1"/>
  <c r="N784" i="1"/>
  <c r="N388" i="1"/>
  <c r="N596" i="1"/>
  <c r="N244" i="1"/>
  <c r="N372" i="1"/>
  <c r="N223" i="1"/>
  <c r="N91" i="1"/>
  <c r="N346" i="1"/>
  <c r="N334" i="1"/>
  <c r="N19" i="1"/>
  <c r="N51" i="1"/>
  <c r="N127" i="1"/>
  <c r="N160" i="1"/>
  <c r="N481" i="1"/>
  <c r="N161" i="1"/>
  <c r="N130" i="1"/>
  <c r="N467" i="1"/>
  <c r="N449" i="1"/>
  <c r="N378" i="1"/>
  <c r="N272" i="1"/>
  <c r="N645" i="1"/>
  <c r="N323" i="1"/>
  <c r="N533" i="1"/>
  <c r="N358" i="1"/>
  <c r="N490" i="1"/>
  <c r="N554" i="1"/>
  <c r="N461" i="1"/>
  <c r="N275" i="1"/>
  <c r="N291" i="1"/>
  <c r="N307" i="1"/>
  <c r="N371" i="1"/>
  <c r="N575" i="1"/>
  <c r="N666" i="1"/>
  <c r="N304" i="1"/>
  <c r="N464" i="1"/>
  <c r="N602" i="1"/>
  <c r="N970" i="1"/>
  <c r="N87" i="1"/>
  <c r="N62" i="1"/>
  <c r="N147" i="1"/>
  <c r="N115" i="1"/>
  <c r="N405" i="1"/>
  <c r="N35" i="1"/>
  <c r="N44" i="1"/>
  <c r="N349" i="1"/>
  <c r="N128" i="1"/>
  <c r="N622" i="1"/>
  <c r="N113" i="1"/>
  <c r="N321" i="1"/>
  <c r="N656" i="1"/>
  <c r="N279" i="1"/>
  <c r="N391" i="1"/>
  <c r="N407" i="1"/>
  <c r="N455" i="1"/>
  <c r="N535" i="1"/>
  <c r="N276" i="1"/>
  <c r="N420" i="1"/>
  <c r="N489" i="1"/>
  <c r="N510" i="1"/>
  <c r="N531" i="1"/>
  <c r="N246" i="1"/>
  <c r="N384" i="1"/>
  <c r="N250" i="1"/>
  <c r="N442" i="1"/>
  <c r="N895" i="1"/>
  <c r="N599" i="1"/>
  <c r="N404" i="1"/>
  <c r="N709" i="1"/>
  <c r="N530" i="1"/>
  <c r="N158" i="1"/>
  <c r="N29" i="1"/>
  <c r="N63" i="1"/>
  <c r="N509" i="1"/>
  <c r="N586" i="1"/>
  <c r="N580" i="1"/>
  <c r="N542" i="1"/>
  <c r="N429" i="1"/>
  <c r="N331" i="1"/>
  <c r="N392" i="1"/>
  <c r="N296" i="1"/>
  <c r="N459" i="1"/>
  <c r="N534" i="1"/>
  <c r="N23" i="1"/>
  <c r="N104" i="1"/>
  <c r="N629" i="1"/>
  <c r="N364" i="1"/>
  <c r="N241" i="1"/>
  <c r="N482" i="1"/>
  <c r="N320" i="1"/>
  <c r="N444" i="1"/>
  <c r="N562" i="1"/>
  <c r="N293" i="1"/>
  <c r="N868" i="1"/>
  <c r="N27" i="1"/>
  <c r="N707" i="1"/>
  <c r="N342" i="1"/>
  <c r="N368" i="1"/>
  <c r="N325" i="1"/>
  <c r="N215" i="1"/>
  <c r="N569" i="1"/>
  <c r="N152" i="1"/>
  <c r="N109" i="1"/>
  <c r="N190" i="1"/>
  <c r="N587" i="1"/>
  <c r="N406" i="1"/>
  <c r="N412" i="1"/>
  <c r="N380" i="1"/>
  <c r="N36" i="1"/>
  <c r="N245" i="1"/>
  <c r="N762" i="1"/>
  <c r="N422" i="1"/>
  <c r="N284" i="1"/>
  <c r="N525" i="1"/>
  <c r="N522" i="1"/>
  <c r="N218" i="1"/>
  <c r="N217" i="1"/>
  <c r="N348" i="1"/>
  <c r="N252" i="1"/>
  <c r="N9" i="1"/>
  <c r="N673" i="1"/>
  <c r="N848" i="1"/>
  <c r="N20" i="1"/>
  <c r="N25" i="1"/>
  <c r="N77" i="1"/>
  <c r="N466" i="1"/>
  <c r="N253" i="1"/>
  <c r="N316" i="1"/>
  <c r="N273" i="1"/>
  <c r="N211" i="1"/>
  <c r="N400" i="1"/>
  <c r="N28" i="1"/>
  <c r="N181" i="1"/>
  <c r="N251" i="1"/>
  <c r="N264" i="1"/>
  <c r="N515" i="1"/>
  <c r="N312" i="1"/>
  <c r="N767" i="1"/>
  <c r="N85" i="1"/>
  <c r="N167" i="1"/>
  <c r="N616" i="1"/>
  <c r="N329" i="1"/>
  <c r="N453" i="1"/>
  <c r="N157" i="1"/>
  <c r="N280" i="1"/>
  <c r="N165" i="1"/>
  <c r="N741" i="1"/>
  <c r="N261" i="1"/>
  <c r="N440" i="1"/>
  <c r="N70" i="1"/>
  <c r="N822" i="1"/>
  <c r="N344" i="1"/>
  <c r="N416" i="1"/>
  <c r="N524" i="1"/>
  <c r="N33" i="1"/>
  <c r="N221" i="1"/>
  <c r="N411" i="1"/>
  <c r="N538" i="1"/>
  <c r="N430" i="1"/>
  <c r="N111" i="1"/>
  <c r="N726" i="1"/>
  <c r="N100" i="1"/>
  <c r="N164" i="1"/>
  <c r="N59" i="1"/>
  <c r="N397" i="1"/>
  <c r="N336" i="1"/>
  <c r="N432" i="1"/>
  <c r="N491" i="1"/>
  <c r="N793" i="1"/>
  <c r="N854" i="1"/>
  <c r="N124" i="1"/>
  <c r="N578" i="1"/>
  <c r="N985" i="1"/>
  <c r="N143" i="1"/>
  <c r="N711" i="1"/>
  <c r="N357" i="1"/>
  <c r="N421" i="1"/>
  <c r="N204" i="1"/>
  <c r="N513" i="1"/>
  <c r="N598" i="1"/>
  <c r="N399" i="1"/>
  <c r="N131" i="1"/>
  <c r="N24" i="1"/>
  <c r="N804" i="1"/>
  <c r="N933" i="1"/>
  <c r="N782" i="1"/>
  <c r="N425" i="1"/>
  <c r="N277" i="1"/>
  <c r="N10" i="1"/>
  <c r="N84" i="1"/>
  <c r="N103" i="1"/>
  <c r="N301" i="1"/>
  <c r="N750" i="1"/>
  <c r="N685" i="1"/>
  <c r="N940" i="1"/>
  <c r="N771" i="1"/>
  <c r="N906" i="1"/>
  <c r="N41" i="1"/>
  <c r="N934" i="1"/>
  <c r="N141" i="1"/>
  <c r="N163" i="1"/>
  <c r="N278" i="1"/>
  <c r="N470" i="1"/>
  <c r="N175" i="1"/>
  <c r="N207" i="1"/>
  <c r="N317" i="1"/>
  <c r="N369" i="1"/>
  <c r="N567" i="1"/>
  <c r="N274" i="1"/>
  <c r="N559" i="1"/>
  <c r="N18" i="1"/>
  <c r="N116" i="1"/>
  <c r="N454" i="1"/>
  <c r="N71" i="1"/>
  <c r="N501" i="1"/>
  <c r="N49" i="1"/>
  <c r="N117" i="1"/>
  <c r="N393" i="1"/>
  <c r="N118" i="1"/>
  <c r="N424" i="1"/>
  <c r="N548" i="1"/>
  <c r="N824" i="1"/>
  <c r="N500" i="1"/>
  <c r="N75" i="1"/>
  <c r="N39" i="1"/>
  <c r="N34" i="1"/>
  <c r="N773" i="1"/>
  <c r="N101" i="1"/>
  <c r="N133" i="1"/>
  <c r="N265" i="1"/>
  <c r="N730" i="1"/>
  <c r="N330" i="1"/>
  <c r="N363" i="1"/>
  <c r="N328" i="1"/>
  <c r="N408" i="1"/>
  <c r="N13" i="1"/>
  <c r="N140" i="1"/>
  <c r="N22" i="1"/>
  <c r="N83" i="1"/>
  <c r="N159" i="1"/>
  <c r="N191" i="1"/>
  <c r="N64" i="1"/>
  <c r="N192" i="1"/>
  <c r="N65" i="1"/>
  <c r="N177" i="1"/>
  <c r="N193" i="1"/>
  <c r="N353" i="1"/>
  <c r="N417" i="1"/>
  <c r="N485" i="1"/>
  <c r="N178" i="1"/>
  <c r="N226" i="1"/>
  <c r="N290" i="1"/>
  <c r="N231" i="1"/>
  <c r="N327" i="1"/>
  <c r="N375" i="1"/>
  <c r="N260" i="1"/>
  <c r="N436" i="1"/>
  <c r="N842" i="1"/>
  <c r="N811" i="1"/>
  <c r="N86" i="1"/>
  <c r="N60" i="1"/>
  <c r="N185" i="1"/>
  <c r="N337" i="1"/>
  <c r="N255" i="1"/>
  <c r="N351" i="1"/>
  <c r="N431" i="1"/>
  <c r="N332" i="1"/>
  <c r="N268" i="1"/>
  <c r="N135" i="1"/>
  <c r="N630" i="1"/>
  <c r="N710" i="1"/>
  <c r="N858" i="1"/>
  <c r="N200" i="1"/>
  <c r="N43" i="1"/>
  <c r="N401" i="1"/>
  <c r="N695" i="1"/>
  <c r="N831" i="1"/>
  <c r="N962" i="1"/>
  <c r="N308" i="1"/>
  <c r="N237" i="1"/>
  <c r="N173" i="1"/>
  <c r="N11" i="1"/>
  <c r="N31" i="1"/>
  <c r="N47" i="1"/>
  <c r="N68" i="1"/>
  <c r="N132" i="1"/>
  <c r="N119" i="1"/>
  <c r="N377" i="1"/>
  <c r="N110" i="1"/>
  <c r="N243" i="1"/>
  <c r="N419" i="1"/>
  <c r="N448" i="1"/>
  <c r="N150" i="1"/>
  <c r="N289" i="1"/>
  <c r="N89" i="1"/>
  <c r="N37" i="1"/>
  <c r="N398" i="1"/>
  <c r="N299" i="1"/>
  <c r="N151" i="1"/>
  <c r="N76" i="1"/>
  <c r="N856" i="1"/>
  <c r="N654" i="1"/>
  <c r="N460" i="1"/>
  <c r="N671" i="1"/>
  <c r="N632" i="1"/>
  <c r="N122" i="1"/>
  <c r="N21" i="1"/>
  <c r="N183" i="1"/>
  <c r="N352" i="1"/>
  <c r="N545" i="1"/>
  <c r="N67" i="1"/>
  <c r="N376" i="1"/>
  <c r="N136" i="1"/>
  <c r="N171" i="1"/>
  <c r="N155" i="1"/>
  <c r="N263" i="1"/>
  <c r="N88" i="1"/>
  <c r="N282" i="1"/>
  <c r="N137" i="1"/>
  <c r="N294" i="1"/>
  <c r="N73" i="1"/>
  <c r="N514" i="1"/>
  <c r="N313" i="1"/>
  <c r="N54" i="1"/>
  <c r="N229" i="1"/>
  <c r="N219" i="1"/>
  <c r="N310" i="1"/>
  <c r="N479" i="1"/>
  <c r="N286" i="1"/>
  <c r="N414" i="1"/>
  <c r="N97" i="1"/>
  <c r="N225" i="1"/>
  <c r="N257" i="1"/>
  <c r="N527" i="1"/>
  <c r="N162" i="1"/>
  <c r="N247" i="1"/>
  <c r="N439" i="1"/>
  <c r="N493" i="1"/>
  <c r="N591" i="1"/>
  <c r="N324" i="1"/>
  <c r="N340" i="1"/>
  <c r="N677" i="1"/>
  <c r="N94" i="1"/>
  <c r="N281" i="1"/>
  <c r="N126" i="1"/>
  <c r="N17" i="1"/>
  <c r="N396" i="1"/>
  <c r="N305" i="1"/>
  <c r="N810" i="1"/>
  <c r="N270" i="1"/>
  <c r="N129" i="1"/>
  <c r="N15" i="1"/>
  <c r="N434" i="1"/>
  <c r="N125" i="1"/>
  <c r="N976" i="1"/>
  <c r="N61" i="1"/>
  <c r="N697" i="1"/>
  <c r="N57" i="1"/>
  <c r="N121" i="1"/>
  <c r="N930" i="1"/>
  <c r="N45" i="1"/>
  <c r="N249" i="1"/>
  <c r="N961" i="1"/>
  <c r="N233" i="1"/>
  <c r="N506" i="1"/>
  <c r="N55" i="1"/>
  <c r="N182" i="1"/>
  <c r="N469" i="1"/>
  <c r="N262" i="1"/>
  <c r="N326" i="1"/>
  <c r="N366" i="1"/>
  <c r="N69" i="1"/>
  <c r="N213" i="1"/>
  <c r="N297" i="1"/>
  <c r="N495" i="1"/>
  <c r="N134" i="1"/>
  <c r="N214" i="1"/>
  <c r="N458" i="1"/>
  <c r="N283" i="1"/>
  <c r="N395" i="1"/>
  <c r="N427" i="1"/>
  <c r="N477" i="1"/>
  <c r="N498" i="1"/>
  <c r="N519" i="1"/>
  <c r="N543" i="1"/>
  <c r="N607" i="1"/>
  <c r="N456" i="1"/>
  <c r="N174" i="1"/>
  <c r="N153" i="1"/>
  <c r="N300" i="1"/>
  <c r="N318" i="1"/>
  <c r="N789" i="1"/>
  <c r="N564" i="1"/>
  <c r="N727" i="1"/>
  <c r="N699" i="1"/>
  <c r="N801" i="1"/>
  <c r="N581" i="1"/>
  <c r="N484" i="1"/>
  <c r="N662" i="1"/>
  <c r="N508" i="1"/>
  <c r="N979" i="1"/>
  <c r="N568" i="1"/>
  <c r="N714" i="1"/>
  <c r="N472" i="1"/>
  <c r="N594" i="1"/>
  <c r="N918" i="1"/>
  <c r="N733" i="1"/>
  <c r="N862" i="1"/>
  <c r="N661" i="1"/>
  <c r="N861" i="1"/>
  <c r="N717" i="1"/>
  <c r="N759" i="1"/>
  <c r="N641" i="1"/>
  <c r="N623" i="1"/>
  <c r="N837" i="1"/>
  <c r="N613" i="1"/>
  <c r="N690" i="1"/>
  <c r="N476" i="1"/>
  <c r="N742" i="1"/>
  <c r="N557" i="1"/>
  <c r="N625" i="1"/>
  <c r="N684" i="1"/>
  <c r="N967" i="1"/>
  <c r="N927" i="1"/>
  <c r="N751" i="1"/>
  <c r="N914" i="1"/>
  <c r="N990" i="1"/>
  <c r="N696" i="1"/>
  <c r="N781" i="1"/>
  <c r="N892" i="1"/>
  <c r="N644" i="1"/>
  <c r="N729" i="1"/>
  <c r="N814" i="1"/>
  <c r="N942" i="1"/>
  <c r="N544" i="1"/>
  <c r="N1004" i="1"/>
  <c r="N827" i="1"/>
  <c r="N731" i="1"/>
  <c r="N825" i="1"/>
  <c r="N639" i="1"/>
  <c r="N917" i="1"/>
  <c r="N549" i="1"/>
  <c r="N725" i="1"/>
  <c r="N903" i="1"/>
  <c r="N743" i="1"/>
  <c r="N664" i="1"/>
  <c r="N770" i="1"/>
  <c r="N908" i="1"/>
  <c r="N829" i="1"/>
  <c r="N1006" i="1"/>
  <c r="N600" i="1"/>
  <c r="N774" i="1"/>
  <c r="N716" i="1"/>
  <c r="N975" i="1"/>
  <c r="N905" i="1"/>
  <c r="N754" i="1"/>
  <c r="N974" i="1"/>
  <c r="N520" i="1"/>
  <c r="N650" i="1"/>
  <c r="N805" i="1"/>
  <c r="N803" i="1"/>
  <c r="N870" i="1"/>
  <c r="N820" i="1"/>
  <c r="N624" i="1"/>
  <c r="N702" i="1"/>
  <c r="N945" i="1"/>
  <c r="N561" i="1"/>
  <c r="N926" i="1"/>
  <c r="N558" i="1"/>
  <c r="N855" i="1"/>
  <c r="N647" i="1"/>
  <c r="N865" i="1"/>
  <c r="N983" i="1"/>
  <c r="N969" i="1"/>
  <c r="N823" i="1"/>
  <c r="N925" i="1"/>
  <c r="N516" i="1"/>
  <c r="N847" i="1"/>
  <c r="N672" i="1"/>
  <c r="N621" i="1"/>
  <c r="N604" i="1"/>
  <c r="N540" i="1"/>
  <c r="N669" i="1"/>
  <c r="N556" i="1"/>
  <c r="N635" i="1"/>
  <c r="N560" i="1"/>
  <c r="N987" i="1"/>
  <c r="N857" i="1"/>
  <c r="N676" i="1"/>
  <c r="N973" i="1"/>
  <c r="N492" i="1"/>
  <c r="N785" i="1"/>
  <c r="N996" i="1"/>
  <c r="N655" i="1"/>
  <c r="N649" i="1"/>
  <c r="N984" i="1"/>
  <c r="N536" i="1"/>
  <c r="N512" i="1"/>
  <c r="N504" i="1"/>
  <c r="N573" i="1"/>
  <c r="N705" i="1"/>
  <c r="N747" i="1"/>
  <c r="N833" i="1"/>
  <c r="N528" i="1"/>
  <c r="N866" i="1"/>
  <c r="N777" i="1"/>
  <c r="N681" i="1"/>
  <c r="N955" i="1"/>
  <c r="N609" i="1"/>
  <c r="N994" i="1"/>
  <c r="N886" i="1"/>
  <c r="N778" i="1"/>
  <c r="N953" i="1"/>
  <c r="N935" i="1"/>
  <c r="N701" i="1"/>
  <c r="N1003" i="1"/>
  <c r="N989" i="1"/>
  <c r="N997" i="1"/>
  <c r="N588" i="1"/>
  <c r="N532" i="1"/>
  <c r="N817" i="1"/>
  <c r="N775" i="1"/>
  <c r="N787" i="1"/>
  <c r="N851" i="1"/>
  <c r="N576" i="1"/>
  <c r="N921" i="1"/>
  <c r="N712" i="1"/>
  <c r="N844" i="1"/>
  <c r="N627" i="1"/>
  <c r="N832" i="1"/>
  <c r="N657" i="1"/>
  <c r="N841" i="1"/>
  <c r="N882" i="1"/>
  <c r="N612" i="1"/>
  <c r="N646" i="1"/>
  <c r="N1000" i="1"/>
  <c r="N628" i="1"/>
  <c r="N608" i="1"/>
  <c r="N584" i="1"/>
  <c r="N863" i="1"/>
  <c r="N719" i="1"/>
  <c r="N946" i="1"/>
  <c r="N749" i="1"/>
  <c r="N700" i="1"/>
  <c r="N1001" i="1"/>
  <c r="N756" i="1"/>
  <c r="N620" i="1"/>
  <c r="N763" i="1"/>
  <c r="N966" i="1"/>
  <c r="N986" i="1"/>
  <c r="N853" i="1"/>
  <c r="N828" i="1"/>
  <c r="N572" i="1"/>
  <c r="N761" i="1"/>
  <c r="N552" i="1"/>
  <c r="N783" i="1"/>
  <c r="N995" i="1"/>
  <c r="N496" i="1"/>
  <c r="N592" i="1"/>
  <c r="N653" i="1"/>
  <c r="N913" i="1"/>
  <c r="N971" i="1"/>
  <c r="N663" i="1"/>
  <c r="N991" i="1"/>
  <c r="N765" i="1"/>
  <c r="N589" i="1"/>
  <c r="N999" i="1"/>
  <c r="F3" i="1" l="1"/>
  <c r="B6" i="5" s="1"/>
  <c r="B7" i="5"/>
  <c r="B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<sst xmlns="http://schemas.openxmlformats.org/spreadsheetml/2006/main" count="240" uniqueCount="134">
  <si>
    <t>EXPIRED VALUE</t>
  </si>
  <si>
    <t>TOTAL STOCK VALUE</t>
  </si>
  <si>
    <t>RESTOCK COUNT</t>
  </si>
  <si>
    <t>EXPIRED FLAG COUNT</t>
  </si>
  <si>
    <t>TOTAL REVENUE VALUE</t>
  </si>
  <si>
    <t>Product ID</t>
  </si>
  <si>
    <t>Product Name</t>
  </si>
  <si>
    <t>Product Category</t>
  </si>
  <si>
    <t>M.F Date</t>
  </si>
  <si>
    <t>E.X.P Date</t>
  </si>
  <si>
    <t>Expired Flag</t>
  </si>
  <si>
    <t>Opening Stock</t>
  </si>
  <si>
    <t>Purchased Qty</t>
  </si>
  <si>
    <t>Sold Qty</t>
  </si>
  <si>
    <t>Stock Level</t>
  </si>
  <si>
    <t>Unit Size</t>
  </si>
  <si>
    <t>Unit Cost</t>
  </si>
  <si>
    <t>Sale Price</t>
  </si>
  <si>
    <t>Inventory Value</t>
  </si>
  <si>
    <t>Restock Threshold</t>
  </si>
  <si>
    <t>Restock Flag</t>
  </si>
  <si>
    <t>CM001</t>
  </si>
  <si>
    <t>Panadol</t>
  </si>
  <si>
    <t>Analgesic</t>
  </si>
  <si>
    <t>Piece</t>
  </si>
  <si>
    <t>CM002</t>
  </si>
  <si>
    <t>Babyrex</t>
  </si>
  <si>
    <t>CM003</t>
  </si>
  <si>
    <t>Lumapril</t>
  </si>
  <si>
    <t>Antibiotic</t>
  </si>
  <si>
    <t>CM004</t>
  </si>
  <si>
    <t>Fansidar</t>
  </si>
  <si>
    <t>Antimalaria</t>
  </si>
  <si>
    <t>CM005</t>
  </si>
  <si>
    <t>Glanil</t>
  </si>
  <si>
    <t>Antidiabetic</t>
  </si>
  <si>
    <t>CM006</t>
  </si>
  <si>
    <t>Glucophage</t>
  </si>
  <si>
    <t>CM007</t>
  </si>
  <si>
    <t>Goko Cleanser 100ml</t>
  </si>
  <si>
    <t>CM008</t>
  </si>
  <si>
    <t>Strepsil</t>
  </si>
  <si>
    <t>Suppliment</t>
  </si>
  <si>
    <t>CM009</t>
  </si>
  <si>
    <t>Bunto</t>
  </si>
  <si>
    <t>CM010</t>
  </si>
  <si>
    <t>Paracetamol</t>
  </si>
  <si>
    <t>CM011</t>
  </si>
  <si>
    <t>Perfectil</t>
  </si>
  <si>
    <t>CM012</t>
  </si>
  <si>
    <t>Wellman</t>
  </si>
  <si>
    <t>CM013</t>
  </si>
  <si>
    <t>Wellwoman</t>
  </si>
  <si>
    <t>CM014</t>
  </si>
  <si>
    <t>Gestid</t>
  </si>
  <si>
    <t>Antiulcer</t>
  </si>
  <si>
    <t>CM015</t>
  </si>
  <si>
    <t>ORS</t>
  </si>
  <si>
    <t>CM016</t>
  </si>
  <si>
    <t>Yoyo Bitters</t>
  </si>
  <si>
    <t>CM017</t>
  </si>
  <si>
    <t>Uniplex</t>
  </si>
  <si>
    <t>CM018</t>
  </si>
  <si>
    <t>Ginsomin</t>
  </si>
  <si>
    <t>CM019</t>
  </si>
  <si>
    <t>Ginsomin Eve</t>
  </si>
  <si>
    <t>CM020</t>
  </si>
  <si>
    <t>Wellkid</t>
  </si>
  <si>
    <t>CM021</t>
  </si>
  <si>
    <t>Augmentin</t>
  </si>
  <si>
    <t>CM022</t>
  </si>
  <si>
    <t>Neo Presol</t>
  </si>
  <si>
    <t>Skin Care</t>
  </si>
  <si>
    <t>CM023</t>
  </si>
  <si>
    <t>Astymin Syrup 220ml</t>
  </si>
  <si>
    <t>Supplement</t>
  </si>
  <si>
    <t>Date</t>
  </si>
  <si>
    <t>Supplier</t>
  </si>
  <si>
    <t>Purchase ID</t>
  </si>
  <si>
    <t>Quantity</t>
  </si>
  <si>
    <t>Purchase Value</t>
  </si>
  <si>
    <t>M&amp;B</t>
  </si>
  <si>
    <t>Pharma</t>
  </si>
  <si>
    <t>Biotech</t>
  </si>
  <si>
    <t>COUNT OF SALE</t>
  </si>
  <si>
    <t>TOTAL SALES TODAY</t>
  </si>
  <si>
    <t>NIGHT SALE</t>
  </si>
  <si>
    <t>DAY SALE</t>
  </si>
  <si>
    <t>ACTUAL SALES</t>
  </si>
  <si>
    <t>Total Discount</t>
  </si>
  <si>
    <t>NET SALES</t>
  </si>
  <si>
    <t>Total Cash</t>
  </si>
  <si>
    <t>Total Transfer</t>
  </si>
  <si>
    <t>Total POS</t>
  </si>
  <si>
    <t>Invoice no</t>
  </si>
  <si>
    <t>Work Shift</t>
  </si>
  <si>
    <t>Sale ID</t>
  </si>
  <si>
    <t>Quantity Sold</t>
  </si>
  <si>
    <t>Unit Price</t>
  </si>
  <si>
    <t>Sales Value</t>
  </si>
  <si>
    <t>Discount</t>
  </si>
  <si>
    <t>Sales Status</t>
  </si>
  <si>
    <t>Payment Mode</t>
  </si>
  <si>
    <t>Day</t>
  </si>
  <si>
    <t>Cash</t>
  </si>
  <si>
    <t>Pay Later</t>
  </si>
  <si>
    <t>Transfer</t>
  </si>
  <si>
    <t>=if(NOW()&lt;6:00:00,"Day","Night")</t>
  </si>
  <si>
    <t>POS</t>
  </si>
  <si>
    <t>Night</t>
  </si>
  <si>
    <t>Supplier ID</t>
  </si>
  <si>
    <t>Supplier Name</t>
  </si>
  <si>
    <t>Phone</t>
  </si>
  <si>
    <t>Email</t>
  </si>
  <si>
    <t>Address</t>
  </si>
  <si>
    <t>CMS001</t>
  </si>
  <si>
    <t>CMS002</t>
  </si>
  <si>
    <t>CMS003</t>
  </si>
  <si>
    <t>PHARMACY KPI DASHBOARD</t>
  </si>
  <si>
    <t>Total Inventory Value</t>
  </si>
  <si>
    <t>Total Sales Value</t>
  </si>
  <si>
    <t>Total Purchase Value</t>
  </si>
  <si>
    <t>Expired Products</t>
  </si>
  <si>
    <t>Products Requiring Restock</t>
  </si>
  <si>
    <t>Pack</t>
  </si>
  <si>
    <t>Paid</t>
  </si>
  <si>
    <t>Sachet</t>
  </si>
  <si>
    <t>Bottle</t>
  </si>
  <si>
    <t>Tablet</t>
  </si>
  <si>
    <t>Tin</t>
  </si>
  <si>
    <t>Roll</t>
  </si>
  <si>
    <t>Sum of Sold Qty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</si>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</sst>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&quot;₦&quot;#,##0.00"/>
    <numFmt numFmtId="166" formatCode="[$-F400]h:mm:ss\ AM/PM"/>
    <numFmt numFmtId="167" formatCode="[$₦-470]#,##0.00"/>
    <numFmt numFmtId="168" formatCode="dd/mm/yyyy;@"/>
  </numFmts>
  <fonts count="1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2" xfId="0" applyFill="1" applyBorder="1"/>
    <xf numFmtId="0" fontId="0" fillId="2" borderId="0" xfId="0" applyFill="1"/>
    <xf numFmtId="0" fontId="0" fillId="3" borderId="0" xfId="0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9" xfId="0" applyFont="1" applyFill="1" applyBorder="1"/>
    <xf numFmtId="0" fontId="4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wrapText="1"/>
    </xf>
    <xf numFmtId="0" fontId="9" fillId="0" borderId="0" xfId="0" applyFont="1"/>
    <xf numFmtId="0" fontId="10" fillId="0" borderId="0" xfId="0" applyFont="1"/>
    <xf numFmtId="14" fontId="9" fillId="0" borderId="0" xfId="0" applyNumberFormat="1" applyFont="1"/>
    <xf numFmtId="0" fontId="9" fillId="2" borderId="1" xfId="0" applyFont="1" applyFill="1" applyBorder="1"/>
    <xf numFmtId="0" fontId="9" fillId="2" borderId="0" xfId="0" applyFont="1" applyFill="1"/>
    <xf numFmtId="167" fontId="9" fillId="0" borderId="0" xfId="0" applyNumberFormat="1" applyFont="1"/>
    <xf numFmtId="0" fontId="9" fillId="3" borderId="0" xfId="0" applyFont="1" applyFill="1"/>
    <xf numFmtId="166" fontId="9" fillId="0" borderId="0" xfId="0" applyNumberFormat="1" applyFont="1" applyAlignment="1">
      <alignment wrapText="1"/>
    </xf>
    <xf numFmtId="166" fontId="9" fillId="0" borderId="0" xfId="0" applyNumberFormat="1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168" fontId="0" fillId="0" borderId="0" xfId="0" applyNumberFormat="1"/>
    <xf numFmtId="165" fontId="7" fillId="4" borderId="4" xfId="1" applyNumberFormat="1" applyFont="1" applyFill="1" applyBorder="1" applyAlignment="1">
      <alignment horizontal="center"/>
    </xf>
    <xf numFmtId="165" fontId="7" fillId="4" borderId="7" xfId="1" applyNumberFormat="1" applyFont="1" applyFill="1" applyBorder="1" applyAlignment="1">
      <alignment horizontal="center"/>
    </xf>
    <xf numFmtId="165" fontId="7" fillId="4" borderId="4" xfId="0" applyNumberFormat="1" applyFont="1" applyFill="1" applyBorder="1" applyAlignment="1">
      <alignment horizontal="center"/>
    </xf>
    <xf numFmtId="165" fontId="7" fillId="4" borderId="6" xfId="0" applyNumberFormat="1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165" fontId="6" fillId="4" borderId="5" xfId="1" applyNumberFormat="1" applyFont="1" applyFill="1" applyBorder="1" applyAlignment="1">
      <alignment horizontal="center"/>
    </xf>
    <xf numFmtId="165" fontId="6" fillId="4" borderId="9" xfId="1" applyNumberFormat="1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5" fontId="8" fillId="4" borderId="6" xfId="0" applyNumberFormat="1" applyFont="1" applyFill="1" applyBorder="1" applyAlignment="1">
      <alignment horizontal="center"/>
    </xf>
    <xf numFmtId="165" fontId="8" fillId="4" borderId="7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8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z val="16"/>
      </font>
    </dxf>
    <dxf>
      <font>
        <sz val="16"/>
      </font>
    </dxf>
    <dxf>
      <font>
        <sz val="16"/>
      </font>
      <numFmt numFmtId="167" formatCode="[$₦-470]#,##0.00"/>
    </dxf>
    <dxf>
      <font>
        <sz val="16"/>
      </font>
      <numFmt numFmtId="167" formatCode="[$₦-470]#,##0.00"/>
    </dxf>
    <dxf>
      <font>
        <sz val="16"/>
      </font>
      <numFmt numFmtId="167" formatCode="[$₦-470]#,##0.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  <numFmt numFmtId="0" formatCode="General"/>
    </dxf>
    <dxf>
      <font>
        <sz val="16"/>
      </font>
      <numFmt numFmtId="169" formatCode="dd/mm/yyyy"/>
    </dxf>
    <dxf>
      <font>
        <sz val="16"/>
      </font>
      <numFmt numFmtId="0" formatCode="General"/>
    </dxf>
    <dxf>
      <font>
        <sz val="16"/>
      </font>
      <numFmt numFmtId="0" formatCode="General"/>
    </dxf>
    <dxf>
      <font>
        <sz val="1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168" formatCode="dd/mm/yyyy;@"/>
    </dxf>
    <dxf>
      <numFmt numFmtId="168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theme="2" tint="-0.749992370372631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4.909994444446" createdVersion="8" refreshedVersion="8" minRefreshableVersion="3" recordCount="999" xr:uid="{ED97A315-B9F5-4F38-9642-19DCB76F733C}">
  <cacheSource type="worksheet">
    <worksheetSource name="Inventory"/>
  </cacheSource>
  <cacheFields count="16">
    <cacheField name="Product ID" numFmtId="0">
      <sharedItems containsBlank="1"/>
    </cacheField>
    <cacheField name="Product Name" numFmtId="0">
      <sharedItems containsBlank="1"/>
    </cacheField>
    <cacheField name="Product Category" numFmtId="0">
      <sharedItems containsBlank="1" count="7">
        <s v="Analgesic"/>
        <s v="Antibiotic"/>
        <s v="Antimalaria"/>
        <s v="Antidiabetic"/>
        <s v="Suppliment"/>
        <s v="Antiulcer"/>
        <m/>
      </sharedItems>
    </cacheField>
    <cacheField name="M.F Date" numFmtId="0">
      <sharedItems containsNonDate="0" containsDate="1" containsString="0" containsBlank="1" minDate="2022-05-12T00:00:00" maxDate="2022-06-01T00:00:00"/>
    </cacheField>
    <cacheField name="E.X.P Date" numFmtId="0">
      <sharedItems containsNonDate="0" containsDate="1" containsString="0" containsBlank="1" minDate="2025-05-14T00:00:00" maxDate="2029-05-27T00:00:00"/>
    </cacheField>
    <cacheField name="Expired Flag" numFmtId="0">
      <sharedItems/>
    </cacheField>
    <cacheField name="Opening Stock" numFmtId="0">
      <sharedItems containsString="0" containsBlank="1" containsNumber="1" containsInteger="1" minValue="29" maxValue="3330"/>
    </cacheField>
    <cacheField name="Purchased Qty" numFmtId="0">
      <sharedItems containsSemiMixedTypes="0" containsString="0" containsNumber="1" containsInteger="1" minValue="0" maxValue="30"/>
    </cacheField>
    <cacheField name="Sold Qty" numFmtId="0">
      <sharedItems containsSemiMixedTypes="0" containsString="0" containsNumber="1" containsInteger="1" minValue="0" maxValue="80"/>
    </cacheField>
    <cacheField name="Stock Level" numFmtId="0">
      <sharedItems containsSemiMixedTypes="0" containsString="0" containsNumber="1" containsInteger="1" minValue="0" maxValue="3330"/>
    </cacheField>
    <cacheField name="Unit Size" numFmtId="0">
      <sharedItems containsBlank="1"/>
    </cacheField>
    <cacheField name="Unit Cost" numFmtId="0">
      <sharedItems containsString="0" containsBlank="1" containsNumber="1" containsInteger="1" minValue="450" maxValue="950"/>
    </cacheField>
    <cacheField name="Sale Price" numFmtId="0">
      <sharedItems containsString="0" containsBlank="1" containsNumber="1" containsInteger="1" minValue="300" maxValue="15000"/>
    </cacheField>
    <cacheField name="Inventory Value" numFmtId="0">
      <sharedItems containsSemiMixedTypes="0" containsString="0" containsNumber="1" containsInteger="1" minValue="0" maxValue="374300"/>
    </cacheField>
    <cacheField name="Restock Threshold" numFmtId="0">
      <sharedItems containsString="0" containsBlank="1" containsNumber="1" containsInteger="1" minValue="230" maxValue="230"/>
    </cacheField>
    <cacheField name="Restock 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CM001"/>
    <s v="Panadol"/>
    <x v="0"/>
    <d v="2022-05-12T00:00:00"/>
    <d v="2028-05-10T00:00:00"/>
    <s v=""/>
    <n v="250"/>
    <n v="10"/>
    <n v="80"/>
    <n v="180"/>
    <s v="Piece"/>
    <n v="700"/>
    <n v="700"/>
    <n v="126000"/>
    <n v="230"/>
    <s v="RESTOCK"/>
  </r>
  <r>
    <s v="CM002"/>
    <s v="Babyrex"/>
    <x v="0"/>
    <d v="2022-05-13T00:00:00"/>
    <d v="2026-05-11T00:00:00"/>
    <s v="EXPIRED"/>
    <n v="50"/>
    <n v="17"/>
    <n v="50"/>
    <n v="17"/>
    <m/>
    <n v="700"/>
    <n v="500"/>
    <n v="11900"/>
    <m/>
    <s v="OK"/>
  </r>
  <r>
    <s v="CM003"/>
    <s v="Lumapril"/>
    <x v="1"/>
    <d v="2022-05-14T00:00:00"/>
    <d v="2027-05-12T00:00:00"/>
    <s v=""/>
    <n v="150"/>
    <n v="30"/>
    <n v="24"/>
    <n v="156"/>
    <m/>
    <n v="450"/>
    <n v="300"/>
    <n v="70200"/>
    <m/>
    <s v="OK"/>
  </r>
  <r>
    <s v="CM004"/>
    <s v="Fansidar"/>
    <x v="2"/>
    <d v="2022-05-15T00:00:00"/>
    <d v="2027-05-13T00:00:00"/>
    <s v=""/>
    <n v="300"/>
    <n v="30"/>
    <n v="15"/>
    <n v="315"/>
    <m/>
    <n v="600"/>
    <n v="800"/>
    <n v="189000"/>
    <m/>
    <s v="OK"/>
  </r>
  <r>
    <s v="CM005"/>
    <s v="Glanil"/>
    <x v="3"/>
    <d v="2022-05-16T00:00:00"/>
    <d v="2025-05-14T00:00:00"/>
    <s v="EXPIRED"/>
    <n v="450"/>
    <n v="10"/>
    <n v="66"/>
    <n v="394"/>
    <m/>
    <n v="950"/>
    <n v="1000"/>
    <n v="374300"/>
    <m/>
    <s v="OK"/>
  </r>
  <r>
    <s v="CM006"/>
    <s v="Glucophage"/>
    <x v="3"/>
    <d v="2022-05-17T00:00:00"/>
    <d v="2028-05-15T00:00:00"/>
    <s v=""/>
    <n v="250"/>
    <n v="0"/>
    <n v="0"/>
    <n v="250"/>
    <m/>
    <m/>
    <m/>
    <n v="0"/>
    <m/>
    <s v="OK"/>
  </r>
  <r>
    <s v="CM007"/>
    <s v="Goko Cleanser 100ml"/>
    <x v="1"/>
    <d v="2022-05-18T00:00:00"/>
    <d v="2025-05-16T00:00:00"/>
    <s v="EXPIRED"/>
    <n v="120"/>
    <n v="0"/>
    <n v="0"/>
    <n v="120"/>
    <m/>
    <n v="800"/>
    <m/>
    <n v="96000"/>
    <m/>
    <s v="OK"/>
  </r>
  <r>
    <s v="CM008"/>
    <s v="Strepsil"/>
    <x v="4"/>
    <d v="2022-05-19T00:00:00"/>
    <d v="2027-05-17T00:00:00"/>
    <s v=""/>
    <n v="98"/>
    <n v="0"/>
    <n v="25"/>
    <n v="73"/>
    <m/>
    <n v="500"/>
    <n v="700"/>
    <n v="36500"/>
    <m/>
    <s v="OK"/>
  </r>
  <r>
    <s v="CM009"/>
    <s v="Bunto"/>
    <x v="4"/>
    <d v="2022-05-20T00:00:00"/>
    <d v="2029-05-18T00:00:00"/>
    <s v=""/>
    <n v="156"/>
    <n v="0"/>
    <n v="0"/>
    <n v="156"/>
    <m/>
    <m/>
    <m/>
    <n v="0"/>
    <m/>
    <s v="OK"/>
  </r>
  <r>
    <s v="CM010"/>
    <s v="Paracetamol"/>
    <x v="0"/>
    <d v="2022-05-21T00:00:00"/>
    <d v="2026-11-19T00:00:00"/>
    <s v=""/>
    <n v="3330"/>
    <n v="0"/>
    <n v="0"/>
    <n v="3330"/>
    <m/>
    <m/>
    <m/>
    <n v="0"/>
    <m/>
    <s v="OK"/>
  </r>
  <r>
    <s v="CM011"/>
    <s v="Perfectil"/>
    <x v="4"/>
    <d v="2022-05-22T00:00:00"/>
    <d v="2026-07-20T00:00:00"/>
    <s v=""/>
    <n v="410"/>
    <n v="30"/>
    <n v="0"/>
    <n v="440"/>
    <m/>
    <m/>
    <m/>
    <n v="0"/>
    <m/>
    <s v="OK"/>
  </r>
  <r>
    <s v="CM012"/>
    <s v="Wellman"/>
    <x v="4"/>
    <d v="2022-05-23T00:00:00"/>
    <d v="2027-05-21T00:00:00"/>
    <s v=""/>
    <n v="130"/>
    <n v="0"/>
    <n v="13"/>
    <n v="117"/>
    <m/>
    <m/>
    <n v="15000"/>
    <n v="0"/>
    <m/>
    <s v="OK"/>
  </r>
  <r>
    <s v="CM013"/>
    <s v="Wellwoman"/>
    <x v="4"/>
    <d v="2022-05-24T00:00:00"/>
    <d v="2026-04-22T00:00:00"/>
    <s v="EXPIRED"/>
    <n v="170"/>
    <n v="0"/>
    <n v="20"/>
    <n v="150"/>
    <m/>
    <n v="950"/>
    <n v="5000"/>
    <n v="142500"/>
    <m/>
    <s v="OK"/>
  </r>
  <r>
    <s v="CM014"/>
    <s v="Gestid"/>
    <x v="5"/>
    <d v="2022-05-25T00:00:00"/>
    <d v="2028-05-23T00:00:00"/>
    <s v=""/>
    <n v="230"/>
    <n v="0"/>
    <n v="50"/>
    <n v="180"/>
    <m/>
    <m/>
    <n v="4500"/>
    <n v="0"/>
    <m/>
    <s v="OK"/>
  </r>
  <r>
    <s v="CM015"/>
    <s v="ORS"/>
    <x v="4"/>
    <d v="2022-05-26T00:00:00"/>
    <d v="2028-05-24T00:00:00"/>
    <s v=""/>
    <n v="440"/>
    <n v="0"/>
    <n v="0"/>
    <n v="440"/>
    <m/>
    <m/>
    <m/>
    <n v="0"/>
    <m/>
    <s v="OK"/>
  </r>
  <r>
    <s v="CM016"/>
    <s v="Yoyo Bitters"/>
    <x v="1"/>
    <d v="2022-05-27T00:00:00"/>
    <d v="2027-05-25T00:00:00"/>
    <s v=""/>
    <n v="95"/>
    <n v="0"/>
    <n v="0"/>
    <n v="95"/>
    <m/>
    <m/>
    <m/>
    <n v="0"/>
    <m/>
    <s v="OK"/>
  </r>
  <r>
    <s v="CM017"/>
    <s v="Uniplex"/>
    <x v="1"/>
    <d v="2022-05-28T00:00:00"/>
    <d v="2029-05-26T00:00:00"/>
    <s v=""/>
    <n v="88"/>
    <n v="0"/>
    <n v="0"/>
    <n v="88"/>
    <m/>
    <m/>
    <m/>
    <n v="0"/>
    <m/>
    <s v="OK"/>
  </r>
  <r>
    <s v="CM018"/>
    <s v="Ginsomin"/>
    <x v="4"/>
    <d v="2022-05-29T00:00:00"/>
    <d v="2026-11-27T00:00:00"/>
    <s v=""/>
    <n v="29"/>
    <n v="0"/>
    <n v="0"/>
    <n v="29"/>
    <m/>
    <m/>
    <m/>
    <n v="0"/>
    <m/>
    <s v="OK"/>
  </r>
  <r>
    <s v="CM019"/>
    <s v="Ginsomin Eve"/>
    <x v="4"/>
    <d v="2022-05-30T00:00:00"/>
    <d v="2027-05-28T00:00:00"/>
    <s v=""/>
    <n v="145"/>
    <n v="0"/>
    <n v="15"/>
    <n v="130"/>
    <m/>
    <m/>
    <n v="7500"/>
    <n v="0"/>
    <m/>
    <s v="OK"/>
  </r>
  <r>
    <s v="CM020"/>
    <s v="Wellkid"/>
    <x v="4"/>
    <d v="2022-05-31T00:00:00"/>
    <d v="2026-12-29T00:00:00"/>
    <s v=""/>
    <n v="260"/>
    <n v="0"/>
    <n v="15"/>
    <n v="245"/>
    <m/>
    <m/>
    <m/>
    <n v="0"/>
    <m/>
    <s v="O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  <r>
    <m/>
    <m/>
    <x v="6"/>
    <m/>
    <m/>
    <s v="EXPIRED"/>
    <m/>
    <n v="0"/>
    <n v="0"/>
    <n v="0"/>
    <m/>
    <m/>
    <m/>
    <n v="0"/>
    <m/>
    <s v="RESTO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FCFA1-7DEF-4E33-981C-AE2333FF5D8A}" name="PivotTable1" cacheId="8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16">
    <pivotField compact="0" outline="0" showAll="0"/>
    <pivotField compact="0" outline="0" showAll="0"/>
    <pivotField axis="axisRow" compact="0" outline="0" showAll="0">
      <items count="8">
        <item x="0"/>
        <item x="1"/>
        <item x="3"/>
        <item x="2"/>
        <item x="5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old Q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608C4-EE9E-4569-9481-37F5605CEB43}" name="Inventory" displayName="Inventory" ref="A7:P1006" totalsRowShown="0" headerRowDxfId="22">
  <autoFilter ref="A7:P1006" xr:uid="{C8A608C4-EE9E-4569-9481-37F5605CEB43}"/>
  <tableColumns count="16">
    <tableColumn id="1" xr3:uid="{C21A2996-A798-45F2-9673-A5A26EE20BE6}" name="Product ID"/>
    <tableColumn id="2" xr3:uid="{718E12D6-E779-4046-B965-7B05F6E2D957}" name="Product Name"/>
    <tableColumn id="3" xr3:uid="{D1A9D701-DBB4-4923-A745-1EA887CE41A2}" name="Product Category"/>
    <tableColumn id="4" xr3:uid="{EB2F0AA6-DEA2-440B-9487-4EE38F4E586B}" name="M.F Date" dataDxfId="21"/>
    <tableColumn id="5" xr3:uid="{BAD80612-782F-431D-9AB3-76C0168E9512}" name="E.X.P Date" dataDxfId="20"/>
    <tableColumn id="6" xr3:uid="{4B321795-8925-4B1B-98B0-CA7E62CF327C}" name="Expired Flag" dataDxfId="19">
      <calculatedColumnFormula>IF(Inventory[[#This Row],[Product Category]]="","",IF(E8&lt;TODAY(),"EXPIRED",
IF(E8&lt;=TODAY()+30,"&lt;30 DAYS",
IF(E8&lt;=TODAY()+60,"&lt;60 DAYS",IF(E8=0,"","")))))</calculatedColumnFormula>
    </tableColumn>
    <tableColumn id="7" xr3:uid="{49E1A9BD-A8A3-4748-A1C2-FEC26D5B01BB}" name="Opening Stock"/>
    <tableColumn id="8" xr3:uid="{DB468F91-E283-49D4-BE3E-A8E5D8D22825}" name="Purchased Qty" dataDxfId="18">
      <calculatedColumnFormula>SUMIF(Purchases[Product ID],A8,Purchases[Quantity])</calculatedColumnFormula>
    </tableColumn>
    <tableColumn id="9" xr3:uid="{DAB879A2-0F9B-4D41-B5DD-1A4F7E0EA967}" name="Sold Qty" dataDxfId="17">
      <calculatedColumnFormula>SUMIF(Sales[Product Name],Inventory[[#This Row],[Product Name]],Sales[Quantity Sold])</calculatedColumnFormula>
    </tableColumn>
    <tableColumn id="10" xr3:uid="{3F11DB5F-F48A-4848-B4BC-BD85620E5842}" name="Stock Level">
      <calculatedColumnFormula>G8+H8-I8</calculatedColumnFormula>
    </tableColumn>
    <tableColumn id="11" xr3:uid="{FC76DE2F-13EB-4DF7-9BD7-063E0111F940}" name="Unit Size"/>
    <tableColumn id="12" xr3:uid="{4E9225C4-DD1C-49FA-BBC0-1EFC0704FC74}" name="Unit Cost"/>
    <tableColumn id="13" xr3:uid="{26AAA8BD-700D-457C-916F-8C9EEF42E1D8}" name="Sale Price"/>
    <tableColumn id="14" xr3:uid="{3E13063C-F355-4FF6-96BC-1C73E95C5A96}" name="Inventory Value">
      <calculatedColumnFormula>J8*L8</calculatedColumnFormula>
    </tableColumn>
    <tableColumn id="15" xr3:uid="{0591F844-FA6F-4C66-84B4-280F07390A7F}" name="Restock Threshold"/>
    <tableColumn id="16" xr3:uid="{5E9CCA52-FB59-4EAD-849A-B2E5E112FCED}" name="Restock Flag">
      <calculatedColumnFormula>IF(J8&lt;=O8,"RESTOCK","OK")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8A1194-F270-4CA6-8DFF-E7C9BB442C7B}" name="Purchases" displayName="Purchases" ref="A1:H2000" totalsRowShown="0" headerRowDxfId="16">
  <autoFilter ref="A1:H2000" xr:uid="{2C8A1194-F270-4CA6-8DFF-E7C9BB442C7B}"/>
  <tableColumns count="8">
    <tableColumn id="1" xr3:uid="{E1A3F22E-85C3-4486-BE40-AB70A9C6612C}" name="Date"/>
    <tableColumn id="7" xr3:uid="{AA3B551B-9229-4FC5-92B5-D99E5BF098F1}" name="Supplier"/>
    <tableColumn id="2" xr3:uid="{1BD58336-4B07-40E3-BECA-91AC60F2E98B}" name="Purchase ID"/>
    <tableColumn id="3" xr3:uid="{246142A7-B868-476B-AE8B-668A5DC0E4B7}" name="Product ID"/>
    <tableColumn id="8" xr3:uid="{25406E50-9850-4DBB-8DED-701320DD021D}" name="Product Name"/>
    <tableColumn id="4" xr3:uid="{93FF3217-FF3E-45F4-AD95-7B130DE15EAB}" name="Quantity"/>
    <tableColumn id="5" xr3:uid="{B76B03EF-4AAD-4BCE-8D96-7DA0705CCD58}" name="Unit Cost"/>
    <tableColumn id="6" xr3:uid="{6FD15BC3-F332-4086-B808-646277AE6779}" name="Purchase Value" dataDxfId="15">
      <calculatedColumnFormula>IF((F2*G2)&lt;&gt;0,F2*G2,"")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9F4451-6096-451A-94DD-14B566AD06D1}" name="Sales" displayName="Sales" ref="A5:L2004" totalsRowShown="0" headerRowDxfId="14" dataDxfId="13">
  <autoFilter ref="A5:L2004" xr:uid="{329F4451-6096-451A-94DD-14B566AD06D1}"/>
  <tableColumns count="12">
    <tableColumn id="8" xr3:uid="{08F02347-82BB-40FB-A37C-185E8F295DFC}" name="Invoice no" dataDxfId="12"/>
    <tableColumn id="10" xr3:uid="{8B696056-C4B2-4C3C-B929-89C79CEA115E}" name="Work Shift" dataDxfId="11"/>
    <tableColumn id="1" xr3:uid="{CE2D8511-76A4-426D-B17C-55AAC46920BC}" name="Date" dataDxfId="10"/>
    <tableColumn id="2" xr3:uid="{C9F1F090-410F-4DBF-968D-B436BD1E6CB0}" name="Sale ID" dataDxfId="9">
      <calculatedColumnFormula>IF(Sales[[#This Row],[Product ID]]="","",Sales[[#This Row],[Date]]&amp;Sales[[#This Row],[Invoice no]])</calculatedColumnFormula>
    </tableColumn>
    <tableColumn id="3" xr3:uid="{BB135111-3AA2-4513-B09E-A8B171B52BD2}" name="Product ID" dataDxfId="8">
      <calculatedColumnFormula>IF(_xlfn.XLOOKUP(Sales[[#This Row],[Product Name]],Inventory[Product Name],Inventory[Product ID],"-")="","",_xlfn.XLOOKUP(Sales[[#This Row],[Product Name]],Inventory[Product Name],Inventory[Product ID],"-"))</calculatedColumnFormula>
    </tableColumn>
    <tableColumn id="7" xr3:uid="{7D1E747F-E334-4C07-9735-9CC4758A2C58}" name="Product Name" dataDxfId="7"/>
    <tableColumn id="4" xr3:uid="{98592468-48E9-456E-B80B-019B70281E68}" name="Quantity Sold" dataDxfId="6"/>
    <tableColumn id="5" xr3:uid="{D5F3E5A7-E2DC-4F65-ACC7-07E34D71A7DE}" name="Unit Price" dataDxfId="5">
      <calculatedColumnFormula>IF(_xlfn.XLOOKUP(Sales[[#This Row],[Product Name]],Inventory[Product Name],Inventory[Sale Price],"")=0,"",_xlfn.XLOOKUP(Sales[[#This Row],[Product Name]],Inventory[Product Name],Inventory[Sale Price]))</calculatedColumnFormula>
    </tableColumn>
    <tableColumn id="6" xr3:uid="{E944F8B0-5772-49CE-92F5-8FA93EC0434E}" name="Sales Value" dataDxfId="4">
      <calculatedColumnFormula>IFERROR(G6*H6,"")</calculatedColumnFormula>
    </tableColumn>
    <tableColumn id="12" xr3:uid="{A922DFB2-A305-4293-8FCF-E14B54B3782D}" name="Discount" dataDxfId="3"/>
    <tableColumn id="9" xr3:uid="{594B93D7-22A3-4CFA-8A91-CAF0B1C2DAD2}" name="Sales Status" dataDxfId="2"/>
    <tableColumn id="11" xr3:uid="{B005FA56-AE24-48AD-9140-09FD20BB182A}" name="Payment Mode" dataDxfId="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98A787-AEFC-453D-9C37-3137B0C919A3}" name="Suppliers" displayName="Suppliers" ref="A1:E4" totalsRowShown="0" headerRowDxfId="0">
  <autoFilter ref="A1:E4" xr:uid="{8598A787-AEFC-453D-9C37-3137B0C919A3}"/>
  <tableColumns count="5">
    <tableColumn id="1" xr3:uid="{05476DA4-7C68-4D28-A0C1-628629A7DE16}" name="Supplier ID"/>
    <tableColumn id="2" xr3:uid="{55A94BA0-683A-45B5-8606-29BB4B1919F2}" name="Supplier Name"/>
    <tableColumn id="3" xr3:uid="{B1FB8804-3461-4287-8B97-4ADAE9938F25}" name="Phone"/>
    <tableColumn id="4" xr3:uid="{F298FA13-A9E4-4909-A273-0071396BB937}" name="Email"/>
    <tableColumn id="5" xr3:uid="{8A7A434B-0149-460A-8004-B5894BB0DFC0}" name="Addres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7E597F-AAC2-4035-81EF-E3998AE80802}" name="Directory" displayName="Directory" ref="A2:D9" totalsRowShown="0">
  <autoFilter ref="A2:D9" xr:uid="{277E597F-AAC2-4035-81EF-E3998AE80802}"/>
  <tableColumns count="4">
    <tableColumn id="1" xr3:uid="{33F4A900-144A-417E-BD92-8CCB8A24D5BA}" name="Unit Size"/>
    <tableColumn id="2" xr3:uid="{CCB94201-C40D-49FF-A64E-5244E1E693F7}" name="Sales Status"/>
    <tableColumn id="3" xr3:uid="{FBA01AC4-612C-4171-B3B9-F602A4542667}" name="Work Shift"/>
    <tableColumn id="4" xr3:uid="{82235A4D-611E-43FE-9B3E-5FCBBF3203C4}" name="Payment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06"/>
  <sheetViews>
    <sheetView tabSelected="1" topLeftCell="A15" zoomScale="99" zoomScaleNormal="99" workbookViewId="0">
      <selection activeCell="H22" sqref="H22"/>
    </sheetView>
  </sheetViews>
  <sheetFormatPr defaultRowHeight="14.45"/>
  <cols>
    <col min="1" max="1" width="18" customWidth="1"/>
    <col min="2" max="2" width="19.28515625" bestFit="1" customWidth="1"/>
    <col min="3" max="5" width="18" customWidth="1"/>
    <col min="6" max="6" width="23.85546875" customWidth="1"/>
    <col min="7" max="7" width="21.42578125" customWidth="1"/>
    <col min="8" max="8" width="20.7109375" bestFit="1" customWidth="1"/>
    <col min="9" max="9" width="19.140625" bestFit="1" customWidth="1"/>
    <col min="10" max="10" width="18" customWidth="1"/>
    <col min="11" max="11" width="20.5703125" bestFit="1" customWidth="1"/>
    <col min="12" max="14" width="18" customWidth="1"/>
    <col min="15" max="15" width="18.140625" customWidth="1"/>
    <col min="16" max="16" width="18" customWidth="1"/>
  </cols>
  <sheetData>
    <row r="2" spans="1:16" ht="15">
      <c r="D2" s="8" t="s">
        <v>0</v>
      </c>
      <c r="E2" s="7" t="s">
        <v>1</v>
      </c>
      <c r="F2" s="10" t="s">
        <v>2</v>
      </c>
      <c r="G2" s="6" t="s">
        <v>3</v>
      </c>
      <c r="H2" s="9" t="s">
        <v>4</v>
      </c>
    </row>
    <row r="3" spans="1:16" ht="15">
      <c r="D3" s="27">
        <f ca="1">SUMIF(Inventory[Expired Flag],"EXPIRED",Inventory[Unit Cost])</f>
        <v>3400</v>
      </c>
      <c r="E3" s="29">
        <f ca="1">SUMIF(Inventory[Expired Flag],"",Inventory[Unit Cost])</f>
        <v>2250</v>
      </c>
      <c r="F3" s="31">
        <f>COUNTIF(Inventory[Restock Flag],"RESTOCK")</f>
        <v>1</v>
      </c>
      <c r="G3" s="33">
        <f ca="1">COUNTIF(Inventory[Expired Flag],"EXPIRED")</f>
        <v>4</v>
      </c>
      <c r="H3" s="34">
        <f ca="1">SUMIF(Inventory[Expired Flag],"",Inventory[Sale Price])</f>
        <v>29500</v>
      </c>
    </row>
    <row r="4" spans="1:16">
      <c r="D4" s="28"/>
      <c r="E4" s="30"/>
      <c r="F4" s="32"/>
      <c r="G4" s="31"/>
      <c r="H4" s="35"/>
    </row>
    <row r="7" spans="1:16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</row>
    <row r="8" spans="1:16" ht="15">
      <c r="A8" t="s">
        <v>21</v>
      </c>
      <c r="B8" t="s">
        <v>22</v>
      </c>
      <c r="C8" t="s">
        <v>23</v>
      </c>
      <c r="D8" s="26">
        <v>44693</v>
      </c>
      <c r="E8" s="26">
        <v>46883</v>
      </c>
      <c r="F8" t="str">
        <f ca="1">IF(Inventory[[#This Row],[Product Category]]="","",IF(E8&lt;TODAY(),"EXPIRED",
IF(E8&lt;=TODAY()+30,"&lt;30 DAYS",
IF(E8&lt;=TODAY()+60,"&lt;60 DAYS",IF(E8=0,"","")))))</f>
        <v/>
      </c>
      <c r="G8">
        <v>250</v>
      </c>
      <c r="H8">
        <f>SUMIF(Purchases[Product ID],A8,Purchases[Quantity])</f>
        <v>60</v>
      </c>
      <c r="I8">
        <f>SUMIF(Sales[Product Name],Inventory[[#This Row],[Product Name]],Sales[Quantity Sold])</f>
        <v>80</v>
      </c>
      <c r="J8">
        <f t="shared" ref="J8:J71" si="0">G8+H8-I8</f>
        <v>230</v>
      </c>
      <c r="K8" t="s">
        <v>24</v>
      </c>
      <c r="L8">
        <v>700</v>
      </c>
      <c r="M8">
        <v>700</v>
      </c>
      <c r="N8">
        <f t="shared" ref="N8:N71" si="1">J8*L8</f>
        <v>161000</v>
      </c>
      <c r="O8">
        <v>230</v>
      </c>
      <c r="P8" s="25" t="str" cm="1">
        <f t="array" ref="P8">IF(J8&lt;=O8,"RESTOCK",IF(Inventory[Product Name]="","","OK"))</f>
        <v>RESTOCK</v>
      </c>
    </row>
    <row r="9" spans="1:16" ht="15">
      <c r="A9" t="s">
        <v>25</v>
      </c>
      <c r="B9" t="s">
        <v>26</v>
      </c>
      <c r="C9" t="s">
        <v>23</v>
      </c>
      <c r="D9" s="26">
        <v>44694</v>
      </c>
      <c r="E9" s="26">
        <v>46153</v>
      </c>
      <c r="F9" t="str">
        <f ca="1">IF(Inventory[[#This Row],[Product Category]]="","",IF(E9&lt;TODAY(),"EXPIRED",
IF(E9&lt;=TODAY()+30,"&lt;30 DAYS",
IF(E9&lt;=TODAY()+60,"&lt;60 DAYS",IF(E9=0,"","")))))</f>
        <v>EXPIRED</v>
      </c>
      <c r="G9">
        <v>50</v>
      </c>
      <c r="H9">
        <f>SUMIF(Purchases[Product ID],A9,Purchases[Quantity])</f>
        <v>20</v>
      </c>
      <c r="I9">
        <f>SUMIF(Sales[Product Name],Inventory[[#This Row],[Product Name]],Sales[Quantity Sold])</f>
        <v>50</v>
      </c>
      <c r="J9">
        <f t="shared" si="0"/>
        <v>20</v>
      </c>
      <c r="L9">
        <v>700</v>
      </c>
      <c r="M9">
        <v>500</v>
      </c>
      <c r="N9">
        <f t="shared" si="1"/>
        <v>14000</v>
      </c>
      <c r="P9" t="str">
        <f t="shared" ref="P9:P71" si="2">IF(J9&lt;=O9,"RESTOCK","OK")</f>
        <v>OK</v>
      </c>
    </row>
    <row r="10" spans="1:16" ht="15">
      <c r="A10" t="s">
        <v>27</v>
      </c>
      <c r="B10" t="s">
        <v>28</v>
      </c>
      <c r="C10" t="s">
        <v>29</v>
      </c>
      <c r="D10" s="26">
        <v>44695</v>
      </c>
      <c r="E10" s="26">
        <v>46519</v>
      </c>
      <c r="F10" t="str">
        <f ca="1">IF(Inventory[[#This Row],[Product Category]]="","",IF(E10&lt;TODAY(),"EXPIRED",
IF(E10&lt;=TODAY()+30,"&lt;30 DAYS",
IF(E10&lt;=TODAY()+60,"&lt;60 DAYS",IF(E10=0,"","")))))</f>
        <v/>
      </c>
      <c r="G10">
        <v>150</v>
      </c>
      <c r="H10">
        <f>SUMIF(Purchases[Product ID],A10,Purchases[Quantity])</f>
        <v>30</v>
      </c>
      <c r="I10">
        <f>SUMIF(Sales[Product Name],Inventory[[#This Row],[Product Name]],Sales[Quantity Sold])</f>
        <v>4</v>
      </c>
      <c r="J10">
        <f t="shared" si="0"/>
        <v>176</v>
      </c>
      <c r="L10">
        <v>450</v>
      </c>
      <c r="M10">
        <v>300</v>
      </c>
      <c r="N10">
        <f t="shared" si="1"/>
        <v>79200</v>
      </c>
      <c r="P10" t="str">
        <f t="shared" si="2"/>
        <v>OK</v>
      </c>
    </row>
    <row r="11" spans="1:16" ht="15">
      <c r="A11" t="s">
        <v>30</v>
      </c>
      <c r="B11" t="s">
        <v>31</v>
      </c>
      <c r="C11" t="s">
        <v>32</v>
      </c>
      <c r="D11" s="26">
        <v>44696</v>
      </c>
      <c r="E11" s="26">
        <v>46520</v>
      </c>
      <c r="F11" t="str">
        <f ca="1">IF(Inventory[[#This Row],[Product Category]]="","",IF(E11&lt;TODAY(),"EXPIRED",
IF(E11&lt;=TODAY()+30,"&lt;30 DAYS",
IF(E11&lt;=TODAY()+60,"&lt;60 DAYS",IF(E11=0,"","")))))</f>
        <v/>
      </c>
      <c r="G11">
        <v>300</v>
      </c>
      <c r="H11">
        <f>SUMIF(Purchases[Product ID],A11,Purchases[Quantity])</f>
        <v>30</v>
      </c>
      <c r="I11">
        <f>SUMIF(Sales[Product Name],Inventory[[#This Row],[Product Name]],Sales[Quantity Sold])</f>
        <v>20</v>
      </c>
      <c r="J11">
        <f t="shared" si="0"/>
        <v>310</v>
      </c>
      <c r="L11">
        <v>600</v>
      </c>
      <c r="M11">
        <v>800</v>
      </c>
      <c r="N11">
        <f t="shared" si="1"/>
        <v>186000</v>
      </c>
      <c r="P11" t="str">
        <f t="shared" si="2"/>
        <v>OK</v>
      </c>
    </row>
    <row r="12" spans="1:16" ht="15">
      <c r="A12" t="s">
        <v>33</v>
      </c>
      <c r="B12" t="s">
        <v>34</v>
      </c>
      <c r="C12" t="s">
        <v>35</v>
      </c>
      <c r="D12" s="26">
        <v>44697</v>
      </c>
      <c r="E12" s="26">
        <v>45791</v>
      </c>
      <c r="F12" t="str">
        <f ca="1">IF(Inventory[[#This Row],[Product Category]]="","",IF(E12&lt;TODAY(),"EXPIRED",
IF(E12&lt;=TODAY()+30,"&lt;30 DAYS",
IF(E12&lt;=TODAY()+60,"&lt;60 DAYS",IF(E12=0,"","")))))</f>
        <v>EXPIRED</v>
      </c>
      <c r="G12">
        <v>450</v>
      </c>
      <c r="H12">
        <f>SUMIF(Purchases[Product ID],A12,Purchases[Quantity])</f>
        <v>10</v>
      </c>
      <c r="I12">
        <f>SUMIF(Sales[Product Name],Inventory[[#This Row],[Product Name]],Sales[Quantity Sold])</f>
        <v>66</v>
      </c>
      <c r="J12">
        <f t="shared" si="0"/>
        <v>394</v>
      </c>
      <c r="L12">
        <v>950</v>
      </c>
      <c r="M12">
        <v>1000</v>
      </c>
      <c r="N12">
        <f t="shared" si="1"/>
        <v>374300</v>
      </c>
      <c r="P12" t="str">
        <f t="shared" si="2"/>
        <v>OK</v>
      </c>
    </row>
    <row r="13" spans="1:16" ht="15">
      <c r="A13" t="s">
        <v>36</v>
      </c>
      <c r="B13" t="s">
        <v>37</v>
      </c>
      <c r="C13" t="s">
        <v>35</v>
      </c>
      <c r="D13" s="26">
        <v>44698</v>
      </c>
      <c r="E13" s="26">
        <v>46888</v>
      </c>
      <c r="F13" t="str">
        <f ca="1">IF(Inventory[[#This Row],[Product Category]]="","",IF(E13&lt;TODAY(),"EXPIRED",
IF(E13&lt;=TODAY()+30,"&lt;30 DAYS",
IF(E13&lt;=TODAY()+60,"&lt;60 DAYS",IF(E13=0,"","")))))</f>
        <v/>
      </c>
      <c r="G13">
        <v>250</v>
      </c>
      <c r="H13">
        <f>SUMIF(Purchases[Product ID],A13,Purchases[Quantity])</f>
        <v>0</v>
      </c>
      <c r="I13">
        <f>SUMIF(Sales[Product Name],Inventory[[#This Row],[Product Name]],Sales[Quantity Sold])</f>
        <v>0</v>
      </c>
      <c r="J13">
        <f t="shared" si="0"/>
        <v>250</v>
      </c>
      <c r="N13">
        <f t="shared" si="1"/>
        <v>0</v>
      </c>
      <c r="P13" t="str">
        <f t="shared" si="2"/>
        <v>OK</v>
      </c>
    </row>
    <row r="14" spans="1:16" ht="15">
      <c r="A14" t="s">
        <v>38</v>
      </c>
      <c r="B14" t="s">
        <v>39</v>
      </c>
      <c r="C14" t="s">
        <v>29</v>
      </c>
      <c r="D14" s="26">
        <v>44699</v>
      </c>
      <c r="E14" s="26">
        <v>45793</v>
      </c>
      <c r="F14" t="str">
        <f ca="1">IF(Inventory[[#This Row],[Product Category]]="","",IF(E14&lt;TODAY(),"EXPIRED",
IF(E14&lt;=TODAY()+30,"&lt;30 DAYS",
IF(E14&lt;=TODAY()+60,"&lt;60 DAYS",IF(E14=0,"","")))))</f>
        <v>EXPIRED</v>
      </c>
      <c r="G14">
        <v>120</v>
      </c>
      <c r="H14">
        <f>SUMIF(Purchases[Product ID],A14,Purchases[Quantity])</f>
        <v>0</v>
      </c>
      <c r="I14">
        <f>SUMIF(Sales[Product Name],Inventory[[#This Row],[Product Name]],Sales[Quantity Sold])</f>
        <v>0</v>
      </c>
      <c r="J14">
        <f t="shared" si="0"/>
        <v>120</v>
      </c>
      <c r="L14">
        <v>800</v>
      </c>
      <c r="N14">
        <f t="shared" si="1"/>
        <v>96000</v>
      </c>
      <c r="P14" t="str">
        <f t="shared" si="2"/>
        <v>OK</v>
      </c>
    </row>
    <row r="15" spans="1:16" ht="15">
      <c r="A15" t="s">
        <v>40</v>
      </c>
      <c r="B15" t="s">
        <v>41</v>
      </c>
      <c r="C15" t="s">
        <v>42</v>
      </c>
      <c r="D15" s="26">
        <v>44700</v>
      </c>
      <c r="E15" s="26">
        <v>46524</v>
      </c>
      <c r="F15" t="str">
        <f ca="1">IF(Inventory[[#This Row],[Product Category]]="","",IF(E15&lt;TODAY(),"EXPIRED",
IF(E15&lt;=TODAY()+30,"&lt;30 DAYS",
IF(E15&lt;=TODAY()+60,"&lt;60 DAYS",IF(E15=0,"","")))))</f>
        <v/>
      </c>
      <c r="G15">
        <v>98</v>
      </c>
      <c r="H15">
        <f>SUMIF(Purchases[Product ID],A15,Purchases[Quantity])</f>
        <v>0</v>
      </c>
      <c r="I15">
        <f>SUMIF(Sales[Product Name],Inventory[[#This Row],[Product Name]],Sales[Quantity Sold])</f>
        <v>25</v>
      </c>
      <c r="J15">
        <f t="shared" si="0"/>
        <v>73</v>
      </c>
      <c r="L15">
        <v>500</v>
      </c>
      <c r="M15">
        <v>700</v>
      </c>
      <c r="N15">
        <f t="shared" si="1"/>
        <v>36500</v>
      </c>
      <c r="P15" t="str">
        <f t="shared" si="2"/>
        <v>OK</v>
      </c>
    </row>
    <row r="16" spans="1:16" ht="15">
      <c r="A16" t="s">
        <v>43</v>
      </c>
      <c r="B16" t="s">
        <v>44</v>
      </c>
      <c r="C16" t="s">
        <v>42</v>
      </c>
      <c r="D16" s="26">
        <v>44701</v>
      </c>
      <c r="E16" s="26">
        <v>47256</v>
      </c>
      <c r="F16" t="str">
        <f ca="1">IF(Inventory[[#This Row],[Product Category]]="","",IF(E16&lt;TODAY(),"EXPIRED",
IF(E16&lt;=TODAY()+30,"&lt;30 DAYS",
IF(E16&lt;=TODAY()+60,"&lt;60 DAYS",IF(E16=0,"","")))))</f>
        <v/>
      </c>
      <c r="G16">
        <v>156</v>
      </c>
      <c r="H16">
        <f>SUMIF(Purchases[Product ID],A16,Purchases[Quantity])</f>
        <v>0</v>
      </c>
      <c r="I16">
        <f>SUMIF(Sales[Product Name],Inventory[[#This Row],[Product Name]],Sales[Quantity Sold])</f>
        <v>0</v>
      </c>
      <c r="J16">
        <f t="shared" si="0"/>
        <v>156</v>
      </c>
      <c r="N16">
        <f t="shared" si="1"/>
        <v>0</v>
      </c>
      <c r="P16" t="str">
        <f t="shared" si="2"/>
        <v>OK</v>
      </c>
    </row>
    <row r="17" spans="1:16" ht="15">
      <c r="A17" t="s">
        <v>45</v>
      </c>
      <c r="B17" t="s">
        <v>46</v>
      </c>
      <c r="C17" t="s">
        <v>23</v>
      </c>
      <c r="D17" s="26">
        <v>44702</v>
      </c>
      <c r="E17" s="26">
        <v>46345</v>
      </c>
      <c r="F17" t="str">
        <f ca="1">IF(Inventory[[#This Row],[Product Category]]="","",IF(E17&lt;TODAY(),"EXPIRED",
IF(E17&lt;=TODAY()+30,"&lt;30 DAYS",
IF(E17&lt;=TODAY()+60,"&lt;60 DAYS",IF(E17=0,"","")))))</f>
        <v/>
      </c>
      <c r="G17">
        <v>3330</v>
      </c>
      <c r="H17">
        <f>SUMIF(Purchases[Product ID],A17,Purchases[Quantity])</f>
        <v>0</v>
      </c>
      <c r="I17">
        <f>SUMIF(Sales[Product Name],Inventory[[#This Row],[Product Name]],Sales[Quantity Sold])</f>
        <v>0</v>
      </c>
      <c r="J17">
        <f t="shared" si="0"/>
        <v>3330</v>
      </c>
      <c r="N17">
        <f t="shared" si="1"/>
        <v>0</v>
      </c>
      <c r="P17" t="str">
        <f t="shared" si="2"/>
        <v>OK</v>
      </c>
    </row>
    <row r="18" spans="1:16" ht="15">
      <c r="A18" t="s">
        <v>47</v>
      </c>
      <c r="B18" t="s">
        <v>48</v>
      </c>
      <c r="C18" t="s">
        <v>42</v>
      </c>
      <c r="D18" s="26">
        <v>44703</v>
      </c>
      <c r="E18" s="26">
        <v>46223</v>
      </c>
      <c r="F18" t="str">
        <f ca="1">IF(Inventory[[#This Row],[Product Category]]="","",IF(E18&lt;TODAY(),"EXPIRED",
IF(E18&lt;=TODAY()+30,"&lt;30 DAYS",
IF(E18&lt;=TODAY()+60,"&lt;60 DAYS",IF(E18=0,"","")))))</f>
        <v>&lt;30 DAYS</v>
      </c>
      <c r="G18">
        <v>410</v>
      </c>
      <c r="H18">
        <f>SUMIF(Purchases[Product ID],A18,Purchases[Quantity])</f>
        <v>30</v>
      </c>
      <c r="I18">
        <f>SUMIF(Sales[Product Name],Inventory[[#This Row],[Product Name]],Sales[Quantity Sold])</f>
        <v>0</v>
      </c>
      <c r="J18">
        <f t="shared" si="0"/>
        <v>440</v>
      </c>
      <c r="N18">
        <f t="shared" si="1"/>
        <v>0</v>
      </c>
      <c r="P18" t="str">
        <f t="shared" si="2"/>
        <v>OK</v>
      </c>
    </row>
    <row r="19" spans="1:16" ht="15">
      <c r="A19" t="s">
        <v>49</v>
      </c>
      <c r="B19" t="s">
        <v>50</v>
      </c>
      <c r="C19" t="s">
        <v>42</v>
      </c>
      <c r="D19" s="26">
        <v>44704</v>
      </c>
      <c r="E19" s="26">
        <v>46528</v>
      </c>
      <c r="F19" t="str">
        <f ca="1">IF(Inventory[[#This Row],[Product Category]]="","",IF(E19&lt;TODAY(),"EXPIRED",
IF(E19&lt;=TODAY()+30,"&lt;30 DAYS",
IF(E19&lt;=TODAY()+60,"&lt;60 DAYS",IF(E19=0,"","")))))</f>
        <v/>
      </c>
      <c r="G19">
        <v>130</v>
      </c>
      <c r="H19">
        <f>SUMIF(Purchases[Product ID],A19,Purchases[Quantity])</f>
        <v>0</v>
      </c>
      <c r="I19">
        <f>SUMIF(Sales[Product Name],Inventory[[#This Row],[Product Name]],Sales[Quantity Sold])</f>
        <v>13</v>
      </c>
      <c r="J19">
        <f t="shared" si="0"/>
        <v>117</v>
      </c>
      <c r="M19">
        <v>15000</v>
      </c>
      <c r="N19">
        <f t="shared" si="1"/>
        <v>0</v>
      </c>
      <c r="P19" t="str">
        <f t="shared" si="2"/>
        <v>OK</v>
      </c>
    </row>
    <row r="20" spans="1:16" ht="15">
      <c r="A20" t="s">
        <v>51</v>
      </c>
      <c r="B20" t="s">
        <v>52</v>
      </c>
      <c r="C20" t="s">
        <v>42</v>
      </c>
      <c r="D20" s="26">
        <v>44705</v>
      </c>
      <c r="E20" s="26">
        <v>46134</v>
      </c>
      <c r="F20" t="str">
        <f ca="1">IF(Inventory[[#This Row],[Product Category]]="","",IF(E20&lt;TODAY(),"EXPIRED",
IF(E20&lt;=TODAY()+30,"&lt;30 DAYS",
IF(E20&lt;=TODAY()+60,"&lt;60 DAYS",IF(E20=0,"","")))))</f>
        <v>EXPIRED</v>
      </c>
      <c r="G20">
        <v>170</v>
      </c>
      <c r="H20">
        <f>SUMIF(Purchases[Product ID],A20,Purchases[Quantity])</f>
        <v>0</v>
      </c>
      <c r="I20">
        <f>SUMIF(Sales[Product Name],Inventory[[#This Row],[Product Name]],Sales[Quantity Sold])</f>
        <v>20</v>
      </c>
      <c r="J20">
        <f t="shared" si="0"/>
        <v>150</v>
      </c>
      <c r="L20">
        <v>950</v>
      </c>
      <c r="M20">
        <v>5000</v>
      </c>
      <c r="N20">
        <f t="shared" si="1"/>
        <v>142500</v>
      </c>
      <c r="P20" t="str">
        <f t="shared" si="2"/>
        <v>OK</v>
      </c>
    </row>
    <row r="21" spans="1:16" ht="15">
      <c r="A21" t="s">
        <v>53</v>
      </c>
      <c r="B21" t="s">
        <v>54</v>
      </c>
      <c r="C21" t="s">
        <v>55</v>
      </c>
      <c r="D21" s="26">
        <v>44706</v>
      </c>
      <c r="E21" s="26">
        <v>46896</v>
      </c>
      <c r="F21" t="str">
        <f ca="1">IF(Inventory[[#This Row],[Product Category]]="","",IF(E21&lt;TODAY(),"EXPIRED",
IF(E21&lt;=TODAY()+30,"&lt;30 DAYS",
IF(E21&lt;=TODAY()+60,"&lt;60 DAYS",IF(E21=0,"","")))))</f>
        <v/>
      </c>
      <c r="G21">
        <v>230</v>
      </c>
      <c r="H21">
        <f>SUMIF(Purchases[Product ID],A21,Purchases[Quantity])</f>
        <v>0</v>
      </c>
      <c r="I21">
        <f>SUMIF(Sales[Product Name],Inventory[[#This Row],[Product Name]],Sales[Quantity Sold])</f>
        <v>70</v>
      </c>
      <c r="J21">
        <f t="shared" si="0"/>
        <v>160</v>
      </c>
      <c r="M21">
        <v>4500</v>
      </c>
      <c r="N21">
        <f t="shared" si="1"/>
        <v>0</v>
      </c>
      <c r="P21" t="str">
        <f t="shared" si="2"/>
        <v>OK</v>
      </c>
    </row>
    <row r="22" spans="1:16" ht="15">
      <c r="A22" t="s">
        <v>56</v>
      </c>
      <c r="B22" t="s">
        <v>57</v>
      </c>
      <c r="C22" t="s">
        <v>42</v>
      </c>
      <c r="D22" s="26">
        <v>44707</v>
      </c>
      <c r="E22" s="26">
        <v>46897</v>
      </c>
      <c r="F22" t="str">
        <f ca="1">IF(Inventory[[#This Row],[Product Category]]="","",IF(E22&lt;TODAY(),"EXPIRED",
IF(E22&lt;=TODAY()+30,"&lt;30 DAYS",
IF(E22&lt;=TODAY()+60,"&lt;60 DAYS",IF(E22=0,"","")))))</f>
        <v/>
      </c>
      <c r="G22">
        <v>440</v>
      </c>
      <c r="H22">
        <f>SUMIF(Purchases[Product ID],A22,Purchases[Quantity])</f>
        <v>0</v>
      </c>
      <c r="I22">
        <f>SUMIF(Sales[Product Name],Inventory[[#This Row],[Product Name]],Sales[Quantity Sold])</f>
        <v>0</v>
      </c>
      <c r="J22">
        <f t="shared" si="0"/>
        <v>440</v>
      </c>
      <c r="N22">
        <f t="shared" si="1"/>
        <v>0</v>
      </c>
      <c r="P22" t="str">
        <f t="shared" si="2"/>
        <v>OK</v>
      </c>
    </row>
    <row r="23" spans="1:16" ht="15">
      <c r="A23" t="s">
        <v>58</v>
      </c>
      <c r="B23" t="s">
        <v>59</v>
      </c>
      <c r="C23" t="s">
        <v>29</v>
      </c>
      <c r="D23" s="26">
        <v>44708</v>
      </c>
      <c r="E23" s="26">
        <v>46532</v>
      </c>
      <c r="F23" t="str">
        <f ca="1">IF(Inventory[[#This Row],[Product Category]]="","",IF(E23&lt;TODAY(),"EXPIRED",
IF(E23&lt;=TODAY()+30,"&lt;30 DAYS",
IF(E23&lt;=TODAY()+60,"&lt;60 DAYS",IF(E23=0,"","")))))</f>
        <v/>
      </c>
      <c r="G23">
        <v>95</v>
      </c>
      <c r="H23">
        <f>SUMIF(Purchases[Product ID],A23,Purchases[Quantity])</f>
        <v>0</v>
      </c>
      <c r="I23">
        <f>SUMIF(Sales[Product Name],Inventory[[#This Row],[Product Name]],Sales[Quantity Sold])</f>
        <v>0</v>
      </c>
      <c r="J23">
        <f t="shared" si="0"/>
        <v>95</v>
      </c>
      <c r="N23">
        <f t="shared" si="1"/>
        <v>0</v>
      </c>
      <c r="P23" t="str">
        <f t="shared" si="2"/>
        <v>OK</v>
      </c>
    </row>
    <row r="24" spans="1:16" ht="15">
      <c r="A24" t="s">
        <v>60</v>
      </c>
      <c r="B24" t="s">
        <v>61</v>
      </c>
      <c r="C24" t="s">
        <v>29</v>
      </c>
      <c r="D24" s="26">
        <v>44709</v>
      </c>
      <c r="E24" s="26">
        <v>47264</v>
      </c>
      <c r="F24" t="str">
        <f ca="1">IF(Inventory[[#This Row],[Product Category]]="","",IF(E24&lt;TODAY(),"EXPIRED",
IF(E24&lt;=TODAY()+30,"&lt;30 DAYS",
IF(E24&lt;=TODAY()+60,"&lt;60 DAYS",IF(E24=0,"","")))))</f>
        <v/>
      </c>
      <c r="G24">
        <v>88</v>
      </c>
      <c r="H24">
        <f>SUMIF(Purchases[Product ID],A24,Purchases[Quantity])</f>
        <v>0</v>
      </c>
      <c r="I24">
        <f>SUMIF(Sales[Product Name],Inventory[[#This Row],[Product Name]],Sales[Quantity Sold])</f>
        <v>0</v>
      </c>
      <c r="J24">
        <f t="shared" si="0"/>
        <v>88</v>
      </c>
      <c r="N24">
        <f t="shared" si="1"/>
        <v>0</v>
      </c>
      <c r="P24" t="str">
        <f t="shared" si="2"/>
        <v>OK</v>
      </c>
    </row>
    <row r="25" spans="1:16" ht="15">
      <c r="A25" t="s">
        <v>62</v>
      </c>
      <c r="B25" t="s">
        <v>63</v>
      </c>
      <c r="C25" t="s">
        <v>42</v>
      </c>
      <c r="D25" s="26">
        <v>44710</v>
      </c>
      <c r="E25" s="26">
        <v>46353</v>
      </c>
      <c r="F25" t="str">
        <f ca="1">IF(Inventory[[#This Row],[Product Category]]="","",IF(E25&lt;TODAY(),"EXPIRED",
IF(E25&lt;=TODAY()+30,"&lt;30 DAYS",
IF(E25&lt;=TODAY()+60,"&lt;60 DAYS",IF(E25=0,"","")))))</f>
        <v/>
      </c>
      <c r="G25">
        <v>29</v>
      </c>
      <c r="H25">
        <f>SUMIF(Purchases[Product ID],A25,Purchases[Quantity])</f>
        <v>0</v>
      </c>
      <c r="I25">
        <f>SUMIF(Sales[Product Name],Inventory[[#This Row],[Product Name]],Sales[Quantity Sold])</f>
        <v>0</v>
      </c>
      <c r="J25">
        <f t="shared" si="0"/>
        <v>29</v>
      </c>
      <c r="N25">
        <f t="shared" si="1"/>
        <v>0</v>
      </c>
      <c r="P25" t="str">
        <f t="shared" si="2"/>
        <v>OK</v>
      </c>
    </row>
    <row r="26" spans="1:16" ht="15">
      <c r="A26" t="s">
        <v>64</v>
      </c>
      <c r="B26" t="s">
        <v>65</v>
      </c>
      <c r="C26" t="s">
        <v>42</v>
      </c>
      <c r="D26" s="26">
        <v>44711</v>
      </c>
      <c r="E26" s="26">
        <v>46535</v>
      </c>
      <c r="F26" t="str">
        <f ca="1">IF(Inventory[[#This Row],[Product Category]]="","",IF(E26&lt;TODAY(),"EXPIRED",
IF(E26&lt;=TODAY()+30,"&lt;30 DAYS",
IF(E26&lt;=TODAY()+60,"&lt;60 DAYS",IF(E26=0,"","")))))</f>
        <v/>
      </c>
      <c r="G26">
        <v>145</v>
      </c>
      <c r="H26">
        <f>SUMIF(Purchases[Product ID],A26,Purchases[Quantity])</f>
        <v>0</v>
      </c>
      <c r="I26">
        <f>SUMIF(Sales[Product Name],Inventory[[#This Row],[Product Name]],Sales[Quantity Sold])</f>
        <v>15</v>
      </c>
      <c r="J26">
        <f t="shared" si="0"/>
        <v>130</v>
      </c>
      <c r="M26">
        <v>7500</v>
      </c>
      <c r="N26">
        <f t="shared" si="1"/>
        <v>0</v>
      </c>
      <c r="P26" t="str">
        <f t="shared" si="2"/>
        <v>OK</v>
      </c>
    </row>
    <row r="27" spans="1:16" ht="15">
      <c r="A27" t="s">
        <v>66</v>
      </c>
      <c r="B27" t="s">
        <v>67</v>
      </c>
      <c r="C27" t="s">
        <v>42</v>
      </c>
      <c r="D27" s="26">
        <v>44712</v>
      </c>
      <c r="E27" s="26">
        <v>46385</v>
      </c>
      <c r="F27" t="str">
        <f ca="1">IF(Inventory[[#This Row],[Product Category]]="","",IF(E27&lt;TODAY(),"EXPIRED",
IF(E27&lt;=TODAY()+30,"&lt;30 DAYS",
IF(E27&lt;=TODAY()+60,"&lt;60 DAYS",IF(E27=0,"","")))))</f>
        <v/>
      </c>
      <c r="G27">
        <v>260</v>
      </c>
      <c r="H27">
        <f>SUMIF(Purchases[Product ID],A27,Purchases[Quantity])</f>
        <v>0</v>
      </c>
      <c r="I27">
        <f>SUMIF(Sales[Product Name],Inventory[[#This Row],[Product Name]],Sales[Quantity Sold])</f>
        <v>15</v>
      </c>
      <c r="J27">
        <f t="shared" si="0"/>
        <v>245</v>
      </c>
      <c r="N27">
        <f t="shared" si="1"/>
        <v>0</v>
      </c>
      <c r="P27" t="str">
        <f t="shared" si="2"/>
        <v>OK</v>
      </c>
    </row>
    <row r="28" spans="1:16" ht="15">
      <c r="A28" t="s">
        <v>68</v>
      </c>
      <c r="B28" t="s">
        <v>69</v>
      </c>
      <c r="C28" t="s">
        <v>29</v>
      </c>
      <c r="D28" s="26">
        <v>45731</v>
      </c>
      <c r="E28" s="26">
        <v>46729</v>
      </c>
      <c r="F28" t="str">
        <f ca="1">IF(Inventory[[#This Row],[Product Category]]="","",IF(E28&lt;TODAY(),"EXPIRED",
IF(E28&lt;=TODAY()+30,"&lt;30 DAYS",
IF(E28&lt;=TODAY()+60,"&lt;60 DAYS",IF(E28=0,"","")))))</f>
        <v/>
      </c>
      <c r="H28">
        <f>SUMIF(Purchases[Product ID],A28,Purchases[Quantity])</f>
        <v>0</v>
      </c>
      <c r="I28">
        <f>SUMIF(Sales[Product Name],Inventory[[#This Row],[Product Name]],Sales[Quantity Sold])</f>
        <v>0</v>
      </c>
      <c r="J28">
        <f t="shared" si="0"/>
        <v>0</v>
      </c>
      <c r="N28">
        <f t="shared" si="1"/>
        <v>0</v>
      </c>
    </row>
    <row r="29" spans="1:16" ht="15">
      <c r="A29" t="s">
        <v>70</v>
      </c>
      <c r="B29" t="s">
        <v>71</v>
      </c>
      <c r="C29" t="s">
        <v>72</v>
      </c>
      <c r="D29" s="26">
        <v>45729</v>
      </c>
      <c r="E29" s="26">
        <v>46254</v>
      </c>
      <c r="F29" t="str">
        <f ca="1">IF(Inventory[[#This Row],[Product Category]]="","",IF(E29&lt;TODAY(),"EXPIRED",
IF(E29&lt;=TODAY()+30,"&lt;30 DAYS",
IF(E29&lt;=TODAY()+60,"&lt;60 DAYS",IF(E29=0,"","")))))</f>
        <v>&lt;60 DAYS</v>
      </c>
      <c r="H29">
        <f>SUMIF(Purchases[Product ID],A29,Purchases[Quantity])</f>
        <v>0</v>
      </c>
      <c r="I29">
        <f>SUMIF(Sales[Product Name],Inventory[[#This Row],[Product Name]],Sales[Quantity Sold])</f>
        <v>0</v>
      </c>
      <c r="J29">
        <f t="shared" si="0"/>
        <v>0</v>
      </c>
      <c r="N29">
        <f t="shared" si="1"/>
        <v>0</v>
      </c>
    </row>
    <row r="30" spans="1:16" ht="15">
      <c r="A30" t="s">
        <v>73</v>
      </c>
      <c r="B30" t="s">
        <v>74</v>
      </c>
      <c r="C30" t="s">
        <v>75</v>
      </c>
      <c r="D30" s="26">
        <v>45695</v>
      </c>
      <c r="E30" s="26">
        <v>46960</v>
      </c>
      <c r="F30" t="str">
        <f ca="1">IF(Inventory[[#This Row],[Product Category]]="","",IF(E30&lt;TODAY(),"EXPIRED",
IF(E30&lt;=TODAY()+30,"&lt;30 DAYS",
IF(E30&lt;=TODAY()+60,"&lt;60 DAYS",IF(E30=0,"","")))))</f>
        <v/>
      </c>
      <c r="H30">
        <f>SUMIF(Purchases[Product ID],A30,Purchases[Quantity])</f>
        <v>0</v>
      </c>
      <c r="I30">
        <f>SUMIF(Sales[Product Name],Inventory[[#This Row],[Product Name]],Sales[Quantity Sold])</f>
        <v>0</v>
      </c>
      <c r="J30">
        <f t="shared" si="0"/>
        <v>0</v>
      </c>
      <c r="N30">
        <f t="shared" si="1"/>
        <v>0</v>
      </c>
    </row>
    <row r="31" spans="1:16" ht="15">
      <c r="D31" s="26"/>
      <c r="E31" s="26"/>
      <c r="F31" t="str">
        <f ca="1">IF(Inventory[[#This Row],[Product Category]]="","",IF(E31&lt;TODAY(),"EXPIRED",
IF(E31&lt;=TODAY()+30,"&lt;30 DAYS",
IF(E31&lt;=TODAY()+60,"&lt;60 DAYS",IF(E31=0,"","")))))</f>
        <v/>
      </c>
      <c r="H31">
        <f>SUMIF(Purchases[Product ID],A31,Purchases[Quantity])</f>
        <v>0</v>
      </c>
      <c r="I31">
        <f>SUMIF(Sales[Product Name],Inventory[[#This Row],[Product Name]],Sales[Quantity Sold])</f>
        <v>0</v>
      </c>
      <c r="J31">
        <f t="shared" si="0"/>
        <v>0</v>
      </c>
      <c r="N31">
        <f t="shared" si="1"/>
        <v>0</v>
      </c>
    </row>
    <row r="32" spans="1:16" ht="15">
      <c r="D32" s="26"/>
      <c r="E32" s="26"/>
      <c r="F32" t="str">
        <f ca="1">IF(Inventory[[#This Row],[Product Category]]="","",IF(E32&lt;TODAY(),"EXPIRED",
IF(E32&lt;=TODAY()+30,"&lt;30 DAYS",
IF(E32&lt;=TODAY()+60,"&lt;60 DAYS",IF(E32=0,"","")))))</f>
        <v/>
      </c>
      <c r="H32">
        <f>SUMIF(Purchases[Product ID],A32,Purchases[Quantity])</f>
        <v>0</v>
      </c>
      <c r="I32">
        <f>SUMIF(Sales[Product Name],Inventory[[#This Row],[Product Name]],Sales[Quantity Sold])</f>
        <v>0</v>
      </c>
      <c r="J32">
        <f t="shared" si="0"/>
        <v>0</v>
      </c>
      <c r="N32">
        <f t="shared" si="1"/>
        <v>0</v>
      </c>
    </row>
    <row r="33" spans="4:14" ht="15">
      <c r="D33" s="26"/>
      <c r="E33" s="26"/>
      <c r="F33" t="str">
        <f ca="1">IF(Inventory[[#This Row],[Product Category]]="","",IF(E33&lt;TODAY(),"EXPIRED",
IF(E33&lt;=TODAY()+30,"&lt;30 DAYS",
IF(E33&lt;=TODAY()+60,"&lt;60 DAYS",IF(E33=0,"","")))))</f>
        <v/>
      </c>
      <c r="H33">
        <f>SUMIF(Purchases[Product ID],A33,Purchases[Quantity])</f>
        <v>0</v>
      </c>
      <c r="I33">
        <f>SUMIF(Sales[Product Name],Inventory[[#This Row],[Product Name]],Sales[Quantity Sold])</f>
        <v>0</v>
      </c>
      <c r="J33">
        <f t="shared" si="0"/>
        <v>0</v>
      </c>
      <c r="N33">
        <f t="shared" si="1"/>
        <v>0</v>
      </c>
    </row>
    <row r="34" spans="4:14" ht="15">
      <c r="D34" s="26"/>
      <c r="E34" s="26"/>
      <c r="F34" t="str">
        <f ca="1">IF(Inventory[[#This Row],[Product Category]]="","",IF(E34&lt;TODAY(),"EXPIRED",
IF(E34&lt;=TODAY()+30,"&lt;30 DAYS",
IF(E34&lt;=TODAY()+60,"&lt;60 DAYS",IF(E34=0,"","")))))</f>
        <v/>
      </c>
      <c r="H34">
        <f>SUMIF(Purchases[Product ID],A34,Purchases[Quantity])</f>
        <v>0</v>
      </c>
      <c r="I34">
        <f>SUMIF(Sales[Product Name],Inventory[[#This Row],[Product Name]],Sales[Quantity Sold])</f>
        <v>0</v>
      </c>
      <c r="J34">
        <f t="shared" si="0"/>
        <v>0</v>
      </c>
      <c r="N34">
        <f t="shared" si="1"/>
        <v>0</v>
      </c>
    </row>
    <row r="35" spans="4:14" ht="15">
      <c r="D35" s="26"/>
      <c r="E35" s="26"/>
      <c r="F35" t="str">
        <f ca="1">IF(Inventory[[#This Row],[Product Category]]="","",IF(E35&lt;TODAY(),"EXPIRED",
IF(E35&lt;=TODAY()+30,"&lt;30 DAYS",
IF(E35&lt;=TODAY()+60,"&lt;60 DAYS",IF(E35=0,"","")))))</f>
        <v/>
      </c>
      <c r="H35">
        <f>SUMIF(Purchases[Product ID],A35,Purchases[Quantity])</f>
        <v>0</v>
      </c>
      <c r="I35">
        <f>SUMIF(Sales[Product Name],Inventory[[#This Row],[Product Name]],Sales[Quantity Sold])</f>
        <v>0</v>
      </c>
      <c r="J35">
        <f t="shared" si="0"/>
        <v>0</v>
      </c>
      <c r="N35">
        <f t="shared" si="1"/>
        <v>0</v>
      </c>
    </row>
    <row r="36" spans="4:14" ht="15">
      <c r="D36" s="26"/>
      <c r="E36" s="26"/>
      <c r="F36" t="str">
        <f ca="1">IF(Inventory[[#This Row],[Product Category]]="","",IF(E36&lt;TODAY(),"EXPIRED",
IF(E36&lt;=TODAY()+30,"&lt;30 DAYS",
IF(E36&lt;=TODAY()+60,"&lt;60 DAYS",IF(E36=0,"","")))))</f>
        <v/>
      </c>
      <c r="H36">
        <f>SUMIF(Purchases[Product ID],A36,Purchases[Quantity])</f>
        <v>0</v>
      </c>
      <c r="I36">
        <f>SUMIF(Sales[Product Name],Inventory[[#This Row],[Product Name]],Sales[Quantity Sold])</f>
        <v>0</v>
      </c>
      <c r="J36">
        <f t="shared" si="0"/>
        <v>0</v>
      </c>
      <c r="N36">
        <f t="shared" si="1"/>
        <v>0</v>
      </c>
    </row>
    <row r="37" spans="4:14" ht="15">
      <c r="D37" s="26"/>
      <c r="E37" s="26"/>
      <c r="F37" t="str">
        <f ca="1">IF(Inventory[[#This Row],[Product Category]]="","",IF(E37&lt;TODAY(),"EXPIRED",
IF(E37&lt;=TODAY()+30,"&lt;30 DAYS",
IF(E37&lt;=TODAY()+60,"&lt;60 DAYS",IF(E37=0,"","")))))</f>
        <v/>
      </c>
      <c r="H37">
        <f>SUMIF(Purchases[Product ID],A37,Purchases[Quantity])</f>
        <v>0</v>
      </c>
      <c r="I37">
        <f>SUMIF(Sales[Product Name],Inventory[[#This Row],[Product Name]],Sales[Quantity Sold])</f>
        <v>0</v>
      </c>
      <c r="J37">
        <f t="shared" si="0"/>
        <v>0</v>
      </c>
      <c r="N37">
        <f t="shared" si="1"/>
        <v>0</v>
      </c>
    </row>
    <row r="38" spans="4:14" ht="15">
      <c r="D38" s="26"/>
      <c r="E38" s="26"/>
      <c r="F38" t="str">
        <f ca="1">IF(Inventory[[#This Row],[Product Category]]="","",IF(E38&lt;TODAY(),"EXPIRED",
IF(E38&lt;=TODAY()+30,"&lt;30 DAYS",
IF(E38&lt;=TODAY()+60,"&lt;60 DAYS",IF(E38=0,"","")))))</f>
        <v/>
      </c>
      <c r="H38">
        <f>SUMIF(Purchases[Product ID],A38,Purchases[Quantity])</f>
        <v>0</v>
      </c>
      <c r="I38">
        <f>SUMIF(Sales[Product Name],Inventory[[#This Row],[Product Name]],Sales[Quantity Sold])</f>
        <v>0</v>
      </c>
      <c r="J38">
        <f t="shared" si="0"/>
        <v>0</v>
      </c>
      <c r="N38">
        <f t="shared" si="1"/>
        <v>0</v>
      </c>
    </row>
    <row r="39" spans="4:14" ht="15">
      <c r="D39" s="26"/>
      <c r="E39" s="26"/>
      <c r="F39" t="str">
        <f ca="1">IF(Inventory[[#This Row],[Product Category]]="","",IF(E39&lt;TODAY(),"EXPIRED",
IF(E39&lt;=TODAY()+30,"&lt;30 DAYS",
IF(E39&lt;=TODAY()+60,"&lt;60 DAYS",IF(E39=0,"","")))))</f>
        <v/>
      </c>
      <c r="H39">
        <f>SUMIF(Purchases[Product ID],A39,Purchases[Quantity])</f>
        <v>0</v>
      </c>
      <c r="I39">
        <f>SUMIF(Sales[Product Name],Inventory[[#This Row],[Product Name]],Sales[Quantity Sold])</f>
        <v>0</v>
      </c>
      <c r="J39">
        <f t="shared" si="0"/>
        <v>0</v>
      </c>
      <c r="N39">
        <f t="shared" si="1"/>
        <v>0</v>
      </c>
    </row>
    <row r="40" spans="4:14" ht="15">
      <c r="D40" s="26"/>
      <c r="E40" s="26"/>
      <c r="F40" t="str">
        <f ca="1">IF(Inventory[[#This Row],[Product Category]]="","",IF(E40&lt;TODAY(),"EXPIRED",
IF(E40&lt;=TODAY()+30,"&lt;30 DAYS",
IF(E40&lt;=TODAY()+60,"&lt;60 DAYS",IF(E40=0,"","")))))</f>
        <v/>
      </c>
      <c r="H40">
        <f>SUMIF(Purchases[Product ID],A40,Purchases[Quantity])</f>
        <v>0</v>
      </c>
      <c r="I40">
        <f>SUMIF(Sales[Product Name],Inventory[[#This Row],[Product Name]],Sales[Quantity Sold])</f>
        <v>0</v>
      </c>
      <c r="J40">
        <f t="shared" si="0"/>
        <v>0</v>
      </c>
      <c r="N40">
        <f t="shared" si="1"/>
        <v>0</v>
      </c>
    </row>
    <row r="41" spans="4:14" ht="15">
      <c r="D41" s="26"/>
      <c r="E41" s="26"/>
      <c r="F41" t="str">
        <f ca="1">IF(Inventory[[#This Row],[Product Category]]="","",IF(E41&lt;TODAY(),"EXPIRED",
IF(E41&lt;=TODAY()+30,"&lt;30 DAYS",
IF(E41&lt;=TODAY()+60,"&lt;60 DAYS",IF(E41=0,"","")))))</f>
        <v/>
      </c>
      <c r="H41">
        <f>SUMIF(Purchases[Product ID],A41,Purchases[Quantity])</f>
        <v>0</v>
      </c>
      <c r="I41">
        <f>SUMIF(Sales[Product Name],Inventory[[#This Row],[Product Name]],Sales[Quantity Sold])</f>
        <v>0</v>
      </c>
      <c r="J41">
        <f t="shared" si="0"/>
        <v>0</v>
      </c>
      <c r="N41">
        <f t="shared" si="1"/>
        <v>0</v>
      </c>
    </row>
    <row r="42" spans="4:14" ht="15">
      <c r="D42" s="26"/>
      <c r="E42" s="26"/>
      <c r="F42" t="str">
        <f ca="1">IF(Inventory[[#This Row],[Product Category]]="","",IF(E42&lt;TODAY(),"EXPIRED",
IF(E42&lt;=TODAY()+30,"&lt;30 DAYS",
IF(E42&lt;=TODAY()+60,"&lt;60 DAYS",IF(E42=0,"","")))))</f>
        <v/>
      </c>
      <c r="H42">
        <f>SUMIF(Purchases[Product ID],A42,Purchases[Quantity])</f>
        <v>0</v>
      </c>
      <c r="I42">
        <f>SUMIF(Sales[Product Name],Inventory[[#This Row],[Product Name]],Sales[Quantity Sold])</f>
        <v>0</v>
      </c>
      <c r="J42">
        <f t="shared" si="0"/>
        <v>0</v>
      </c>
      <c r="N42">
        <f t="shared" si="1"/>
        <v>0</v>
      </c>
    </row>
    <row r="43" spans="4:14" ht="15">
      <c r="D43" s="26"/>
      <c r="E43" s="26"/>
      <c r="F43" t="str">
        <f ca="1">IF(Inventory[[#This Row],[Product Category]]="","",IF(E43&lt;TODAY(),"EXPIRED",
IF(E43&lt;=TODAY()+30,"&lt;30 DAYS",
IF(E43&lt;=TODAY()+60,"&lt;60 DAYS",IF(E43=0,"","")))))</f>
        <v/>
      </c>
      <c r="H43">
        <f>SUMIF(Purchases[Product ID],A43,Purchases[Quantity])</f>
        <v>0</v>
      </c>
      <c r="I43">
        <f>SUMIF(Sales[Product Name],Inventory[[#This Row],[Product Name]],Sales[Quantity Sold])</f>
        <v>0</v>
      </c>
      <c r="J43">
        <f t="shared" si="0"/>
        <v>0</v>
      </c>
      <c r="N43">
        <f t="shared" si="1"/>
        <v>0</v>
      </c>
    </row>
    <row r="44" spans="4:14" ht="15">
      <c r="D44" s="26"/>
      <c r="E44" s="26"/>
      <c r="F44" t="str">
        <f ca="1">IF(Inventory[[#This Row],[Product Category]]="","",IF(E44&lt;TODAY(),"EXPIRED",
IF(E44&lt;=TODAY()+30,"&lt;30 DAYS",
IF(E44&lt;=TODAY()+60,"&lt;60 DAYS",IF(E44=0,"","")))))</f>
        <v/>
      </c>
      <c r="H44">
        <f>SUMIF(Purchases[Product ID],A44,Purchases[Quantity])</f>
        <v>0</v>
      </c>
      <c r="I44">
        <f>SUMIF(Sales[Product Name],Inventory[[#This Row],[Product Name]],Sales[Quantity Sold])</f>
        <v>0</v>
      </c>
      <c r="J44">
        <f t="shared" si="0"/>
        <v>0</v>
      </c>
      <c r="N44">
        <f t="shared" si="1"/>
        <v>0</v>
      </c>
    </row>
    <row r="45" spans="4:14" ht="15">
      <c r="D45" s="26"/>
      <c r="E45" s="26"/>
      <c r="F45" t="str">
        <f ca="1">IF(Inventory[[#This Row],[Product Category]]="","",IF(E45&lt;TODAY(),"EXPIRED",
IF(E45&lt;=TODAY()+30,"&lt;30 DAYS",
IF(E45&lt;=TODAY()+60,"&lt;60 DAYS",IF(E45=0,"","")))))</f>
        <v/>
      </c>
      <c r="H45">
        <f>SUMIF(Purchases[Product ID],A45,Purchases[Quantity])</f>
        <v>0</v>
      </c>
      <c r="I45">
        <f>SUMIF(Sales[Product Name],Inventory[[#This Row],[Product Name]],Sales[Quantity Sold])</f>
        <v>0</v>
      </c>
      <c r="J45">
        <f t="shared" si="0"/>
        <v>0</v>
      </c>
      <c r="N45">
        <f t="shared" si="1"/>
        <v>0</v>
      </c>
    </row>
    <row r="46" spans="4:14" ht="15">
      <c r="D46" s="26"/>
      <c r="E46" s="26"/>
      <c r="F46" t="str">
        <f ca="1">IF(Inventory[[#This Row],[Product Category]]="","",IF(E46&lt;TODAY(),"EXPIRED",
IF(E46&lt;=TODAY()+30,"&lt;30 DAYS",
IF(E46&lt;=TODAY()+60,"&lt;60 DAYS",IF(E46=0,"","")))))</f>
        <v/>
      </c>
      <c r="H46">
        <f>SUMIF(Purchases[Product ID],A46,Purchases[Quantity])</f>
        <v>0</v>
      </c>
      <c r="I46">
        <f>SUMIF(Sales[Product Name],Inventory[[#This Row],[Product Name]],Sales[Quantity Sold])</f>
        <v>0</v>
      </c>
      <c r="J46">
        <f t="shared" si="0"/>
        <v>0</v>
      </c>
      <c r="N46">
        <f t="shared" si="1"/>
        <v>0</v>
      </c>
    </row>
    <row r="47" spans="4:14" ht="15">
      <c r="D47" s="26"/>
      <c r="E47" s="26"/>
      <c r="F47" t="str">
        <f ca="1">IF(Inventory[[#This Row],[Product Category]]="","",IF(E47&lt;TODAY(),"EXPIRED",
IF(E47&lt;=TODAY()+30,"&lt;30 DAYS",
IF(E47&lt;=TODAY()+60,"&lt;60 DAYS",IF(E47=0,"","")))))</f>
        <v/>
      </c>
      <c r="H47">
        <f>SUMIF(Purchases[Product ID],A47,Purchases[Quantity])</f>
        <v>0</v>
      </c>
      <c r="I47">
        <f>SUMIF(Sales[Product Name],Inventory[[#This Row],[Product Name]],Sales[Quantity Sold])</f>
        <v>0</v>
      </c>
      <c r="J47">
        <f t="shared" si="0"/>
        <v>0</v>
      </c>
      <c r="N47">
        <f t="shared" si="1"/>
        <v>0</v>
      </c>
    </row>
    <row r="48" spans="4:14" ht="15">
      <c r="D48" s="26"/>
      <c r="E48" s="26"/>
      <c r="F48" t="str">
        <f ca="1">IF(Inventory[[#This Row],[Product Category]]="","",IF(E48&lt;TODAY(),"EXPIRED",
IF(E48&lt;=TODAY()+30,"&lt;30 DAYS",
IF(E48&lt;=TODAY()+60,"&lt;60 DAYS",IF(E48=0,"","")))))</f>
        <v/>
      </c>
      <c r="H48">
        <f>SUMIF(Purchases[Product ID],A48,Purchases[Quantity])</f>
        <v>0</v>
      </c>
      <c r="I48">
        <f>SUMIF(Sales[Product Name],Inventory[[#This Row],[Product Name]],Sales[Quantity Sold])</f>
        <v>0</v>
      </c>
      <c r="J48">
        <f t="shared" si="0"/>
        <v>0</v>
      </c>
      <c r="N48">
        <f t="shared" si="1"/>
        <v>0</v>
      </c>
    </row>
    <row r="49" spans="4:14" ht="15">
      <c r="D49" s="26"/>
      <c r="E49" s="26"/>
      <c r="F49" t="str">
        <f ca="1">IF(Inventory[[#This Row],[Product Category]]="","",IF(E49&lt;TODAY(),"EXPIRED",
IF(E49&lt;=TODAY()+30,"&lt;30 DAYS",
IF(E49&lt;=TODAY()+60,"&lt;60 DAYS",IF(E49=0,"","")))))</f>
        <v/>
      </c>
      <c r="H49">
        <f>SUMIF(Purchases[Product ID],A49,Purchases[Quantity])</f>
        <v>0</v>
      </c>
      <c r="I49">
        <f>SUMIF(Sales[Product Name],Inventory[[#This Row],[Product Name]],Sales[Quantity Sold])</f>
        <v>0</v>
      </c>
      <c r="J49">
        <f t="shared" si="0"/>
        <v>0</v>
      </c>
      <c r="N49">
        <f t="shared" si="1"/>
        <v>0</v>
      </c>
    </row>
    <row r="50" spans="4:14" ht="15">
      <c r="D50" s="26"/>
      <c r="E50" s="26"/>
      <c r="F50" t="str">
        <f ca="1">IF(Inventory[[#This Row],[Product Category]]="","",IF(E50&lt;TODAY(),"EXPIRED",
IF(E50&lt;=TODAY()+30,"&lt;30 DAYS",
IF(E50&lt;=TODAY()+60,"&lt;60 DAYS",IF(E50=0,"","")))))</f>
        <v/>
      </c>
      <c r="H50">
        <f>SUMIF(Purchases[Product ID],A50,Purchases[Quantity])</f>
        <v>0</v>
      </c>
      <c r="I50">
        <f>SUMIF(Sales[Product Name],Inventory[[#This Row],[Product Name]],Sales[Quantity Sold])</f>
        <v>0</v>
      </c>
      <c r="J50">
        <f t="shared" si="0"/>
        <v>0</v>
      </c>
      <c r="N50">
        <f t="shared" si="1"/>
        <v>0</v>
      </c>
    </row>
    <row r="51" spans="4:14" ht="15">
      <c r="D51" s="26"/>
      <c r="E51" s="26"/>
      <c r="F51" t="str">
        <f ca="1">IF(Inventory[[#This Row],[Product Category]]="","",IF(E51&lt;TODAY(),"EXPIRED",
IF(E51&lt;=TODAY()+30,"&lt;30 DAYS",
IF(E51&lt;=TODAY()+60,"&lt;60 DAYS",IF(E51=0,"","")))))</f>
        <v/>
      </c>
      <c r="H51">
        <f>SUMIF(Purchases[Product ID],A51,Purchases[Quantity])</f>
        <v>0</v>
      </c>
      <c r="I51">
        <f>SUMIF(Sales[Product Name],Inventory[[#This Row],[Product Name]],Sales[Quantity Sold])</f>
        <v>0</v>
      </c>
      <c r="J51">
        <f t="shared" si="0"/>
        <v>0</v>
      </c>
      <c r="N51">
        <f t="shared" si="1"/>
        <v>0</v>
      </c>
    </row>
    <row r="52" spans="4:14" ht="15">
      <c r="D52" s="26"/>
      <c r="E52" s="26"/>
      <c r="F52" t="str">
        <f ca="1">IF(Inventory[[#This Row],[Product Category]]="","",IF(E52&lt;TODAY(),"EXPIRED",
IF(E52&lt;=TODAY()+30,"&lt;30 DAYS",
IF(E52&lt;=TODAY()+60,"&lt;60 DAYS",IF(E52=0,"","")))))</f>
        <v/>
      </c>
      <c r="H52">
        <f>SUMIF(Purchases[Product ID],A52,Purchases[Quantity])</f>
        <v>0</v>
      </c>
      <c r="I52">
        <f>SUMIF(Sales[Product Name],Inventory[[#This Row],[Product Name]],Sales[Quantity Sold])</f>
        <v>0</v>
      </c>
      <c r="J52">
        <f t="shared" si="0"/>
        <v>0</v>
      </c>
      <c r="N52">
        <f t="shared" si="1"/>
        <v>0</v>
      </c>
    </row>
    <row r="53" spans="4:14" ht="15">
      <c r="D53" s="26"/>
      <c r="E53" s="26"/>
      <c r="F53" t="str">
        <f ca="1">IF(Inventory[[#This Row],[Product Category]]="","",IF(E53&lt;TODAY(),"EXPIRED",
IF(E53&lt;=TODAY()+30,"&lt;30 DAYS",
IF(E53&lt;=TODAY()+60,"&lt;60 DAYS",IF(E53=0,"","")))))</f>
        <v/>
      </c>
      <c r="H53">
        <f>SUMIF(Purchases[Product ID],A53,Purchases[Quantity])</f>
        <v>0</v>
      </c>
      <c r="I53">
        <f>SUMIF(Sales[Product Name],Inventory[[#This Row],[Product Name]],Sales[Quantity Sold])</f>
        <v>0</v>
      </c>
      <c r="J53">
        <f t="shared" si="0"/>
        <v>0</v>
      </c>
      <c r="N53">
        <f t="shared" si="1"/>
        <v>0</v>
      </c>
    </row>
    <row r="54" spans="4:14" ht="15">
      <c r="D54" s="26"/>
      <c r="E54" s="26"/>
      <c r="F54" t="str">
        <f ca="1">IF(Inventory[[#This Row],[Product Category]]="","",IF(E54&lt;TODAY(),"EXPIRED",
IF(E54&lt;=TODAY()+30,"&lt;30 DAYS",
IF(E54&lt;=TODAY()+60,"&lt;60 DAYS",IF(E54=0,"","")))))</f>
        <v/>
      </c>
      <c r="H54">
        <f>SUMIF(Purchases[Product ID],A54,Purchases[Quantity])</f>
        <v>0</v>
      </c>
      <c r="I54">
        <f>SUMIF(Sales[Product Name],Inventory[[#This Row],[Product Name]],Sales[Quantity Sold])</f>
        <v>0</v>
      </c>
      <c r="J54">
        <f t="shared" si="0"/>
        <v>0</v>
      </c>
      <c r="N54">
        <f t="shared" si="1"/>
        <v>0</v>
      </c>
    </row>
    <row r="55" spans="4:14" ht="15">
      <c r="D55" s="26"/>
      <c r="E55" s="26"/>
      <c r="F55" t="str">
        <f ca="1">IF(Inventory[[#This Row],[Product Category]]="","",IF(E55&lt;TODAY(),"EXPIRED",
IF(E55&lt;=TODAY()+30,"&lt;30 DAYS",
IF(E55&lt;=TODAY()+60,"&lt;60 DAYS",IF(E55=0,"","")))))</f>
        <v/>
      </c>
      <c r="H55">
        <f>SUMIF(Purchases[Product ID],A55,Purchases[Quantity])</f>
        <v>0</v>
      </c>
      <c r="I55">
        <f>SUMIF(Sales[Product Name],Inventory[[#This Row],[Product Name]],Sales[Quantity Sold])</f>
        <v>0</v>
      </c>
      <c r="J55">
        <f t="shared" si="0"/>
        <v>0</v>
      </c>
      <c r="N55">
        <f t="shared" si="1"/>
        <v>0</v>
      </c>
    </row>
    <row r="56" spans="4:14" ht="15">
      <c r="D56" s="26"/>
      <c r="E56" s="26"/>
      <c r="F56" t="str">
        <f ca="1">IF(Inventory[[#This Row],[Product Category]]="","",IF(E56&lt;TODAY(),"EXPIRED",
IF(E56&lt;=TODAY()+30,"&lt;30 DAYS",
IF(E56&lt;=TODAY()+60,"&lt;60 DAYS",IF(E56=0,"","")))))</f>
        <v/>
      </c>
      <c r="H56">
        <f>SUMIF(Purchases[Product ID],A56,Purchases[Quantity])</f>
        <v>0</v>
      </c>
      <c r="I56">
        <f>SUMIF(Sales[Product Name],Inventory[[#This Row],[Product Name]],Sales[Quantity Sold])</f>
        <v>0</v>
      </c>
      <c r="J56">
        <f t="shared" si="0"/>
        <v>0</v>
      </c>
      <c r="N56">
        <f t="shared" si="1"/>
        <v>0</v>
      </c>
    </row>
    <row r="57" spans="4:14" ht="15">
      <c r="D57" s="26"/>
      <c r="E57" s="26"/>
      <c r="F57" t="str">
        <f ca="1">IF(Inventory[[#This Row],[Product Category]]="","",IF(E57&lt;TODAY(),"EXPIRED",
IF(E57&lt;=TODAY()+30,"&lt;30 DAYS",
IF(E57&lt;=TODAY()+60,"&lt;60 DAYS",IF(E57=0,"","")))))</f>
        <v/>
      </c>
      <c r="H57">
        <f>SUMIF(Purchases[Product ID],A57,Purchases[Quantity])</f>
        <v>0</v>
      </c>
      <c r="I57">
        <f>SUMIF(Sales[Product Name],Inventory[[#This Row],[Product Name]],Sales[Quantity Sold])</f>
        <v>0</v>
      </c>
      <c r="J57">
        <f t="shared" si="0"/>
        <v>0</v>
      </c>
      <c r="N57">
        <f t="shared" si="1"/>
        <v>0</v>
      </c>
    </row>
    <row r="58" spans="4:14" ht="15">
      <c r="D58" s="26"/>
      <c r="E58" s="26"/>
      <c r="F58" t="str">
        <f ca="1">IF(Inventory[[#This Row],[Product Category]]="","",IF(E58&lt;TODAY(),"EXPIRED",
IF(E58&lt;=TODAY()+30,"&lt;30 DAYS",
IF(E58&lt;=TODAY()+60,"&lt;60 DAYS",IF(E58=0,"","")))))</f>
        <v/>
      </c>
      <c r="H58">
        <f>SUMIF(Purchases[Product ID],A58,Purchases[Quantity])</f>
        <v>0</v>
      </c>
      <c r="I58">
        <f>SUMIF(Sales[Product Name],Inventory[[#This Row],[Product Name]],Sales[Quantity Sold])</f>
        <v>0</v>
      </c>
      <c r="J58">
        <f t="shared" si="0"/>
        <v>0</v>
      </c>
      <c r="N58">
        <f t="shared" si="1"/>
        <v>0</v>
      </c>
    </row>
    <row r="59" spans="4:14" ht="15">
      <c r="D59" s="26"/>
      <c r="E59" s="26"/>
      <c r="F59" t="str">
        <f ca="1">IF(Inventory[[#This Row],[Product Category]]="","",IF(E59&lt;TODAY(),"EXPIRED",
IF(E59&lt;=TODAY()+30,"&lt;30 DAYS",
IF(E59&lt;=TODAY()+60,"&lt;60 DAYS",IF(E59=0,"","")))))</f>
        <v/>
      </c>
      <c r="H59">
        <f>SUMIF(Purchases[Product ID],A59,Purchases[Quantity])</f>
        <v>0</v>
      </c>
      <c r="I59">
        <f>SUMIF(Sales[Product Name],Inventory[[#This Row],[Product Name]],Sales[Quantity Sold])</f>
        <v>0</v>
      </c>
      <c r="J59">
        <f t="shared" si="0"/>
        <v>0</v>
      </c>
      <c r="N59">
        <f t="shared" si="1"/>
        <v>0</v>
      </c>
    </row>
    <row r="60" spans="4:14" ht="15">
      <c r="D60" s="26"/>
      <c r="E60" s="26"/>
      <c r="F60" t="str">
        <f ca="1">IF(Inventory[[#This Row],[Product Category]]="","",IF(E60&lt;TODAY(),"EXPIRED",
IF(E60&lt;=TODAY()+30,"&lt;30 DAYS",
IF(E60&lt;=TODAY()+60,"&lt;60 DAYS",IF(E60=0,"","")))))</f>
        <v/>
      </c>
      <c r="H60">
        <f>SUMIF(Purchases[Product ID],A60,Purchases[Quantity])</f>
        <v>0</v>
      </c>
      <c r="I60">
        <f>SUMIF(Sales[Product Name],Inventory[[#This Row],[Product Name]],Sales[Quantity Sold])</f>
        <v>0</v>
      </c>
      <c r="J60">
        <f t="shared" si="0"/>
        <v>0</v>
      </c>
      <c r="N60">
        <f t="shared" si="1"/>
        <v>0</v>
      </c>
    </row>
    <row r="61" spans="4:14" ht="15">
      <c r="D61" s="26"/>
      <c r="E61" s="26"/>
      <c r="F61" t="str">
        <f ca="1">IF(Inventory[[#This Row],[Product Category]]="","",IF(E61&lt;TODAY(),"EXPIRED",
IF(E61&lt;=TODAY()+30,"&lt;30 DAYS",
IF(E61&lt;=TODAY()+60,"&lt;60 DAYS",IF(E61=0,"","")))))</f>
        <v/>
      </c>
      <c r="H61">
        <f>SUMIF(Purchases[Product ID],A61,Purchases[Quantity])</f>
        <v>0</v>
      </c>
      <c r="I61">
        <f>SUMIF(Sales[Product Name],Inventory[[#This Row],[Product Name]],Sales[Quantity Sold])</f>
        <v>0</v>
      </c>
      <c r="J61">
        <f t="shared" si="0"/>
        <v>0</v>
      </c>
      <c r="N61">
        <f t="shared" si="1"/>
        <v>0</v>
      </c>
    </row>
    <row r="62" spans="4:14" ht="15">
      <c r="D62" s="26"/>
      <c r="E62" s="26"/>
      <c r="F62" t="str">
        <f ca="1">IF(Inventory[[#This Row],[Product Category]]="","",IF(E62&lt;TODAY(),"EXPIRED",
IF(E62&lt;=TODAY()+30,"&lt;30 DAYS",
IF(E62&lt;=TODAY()+60,"&lt;60 DAYS",IF(E62=0,"","")))))</f>
        <v/>
      </c>
      <c r="H62">
        <f>SUMIF(Purchases[Product ID],A62,Purchases[Quantity])</f>
        <v>0</v>
      </c>
      <c r="I62">
        <f>SUMIF(Sales[Product Name],Inventory[[#This Row],[Product Name]],Sales[Quantity Sold])</f>
        <v>0</v>
      </c>
      <c r="J62">
        <f t="shared" si="0"/>
        <v>0</v>
      </c>
      <c r="N62">
        <f t="shared" si="1"/>
        <v>0</v>
      </c>
    </row>
    <row r="63" spans="4:14" ht="15">
      <c r="D63" s="26"/>
      <c r="E63" s="26"/>
      <c r="F63" t="str">
        <f ca="1">IF(Inventory[[#This Row],[Product Category]]="","",IF(E63&lt;TODAY(),"EXPIRED",
IF(E63&lt;=TODAY()+30,"&lt;30 DAYS",
IF(E63&lt;=TODAY()+60,"&lt;60 DAYS",IF(E63=0,"","")))))</f>
        <v/>
      </c>
      <c r="H63">
        <f>SUMIF(Purchases[Product ID],A63,Purchases[Quantity])</f>
        <v>0</v>
      </c>
      <c r="I63">
        <f>SUMIF(Sales[Product Name],Inventory[[#This Row],[Product Name]],Sales[Quantity Sold])</f>
        <v>0</v>
      </c>
      <c r="J63">
        <f t="shared" si="0"/>
        <v>0</v>
      </c>
      <c r="N63">
        <f t="shared" si="1"/>
        <v>0</v>
      </c>
    </row>
    <row r="64" spans="4:14" ht="15">
      <c r="D64" s="26"/>
      <c r="E64" s="26"/>
      <c r="F64" t="str">
        <f ca="1">IF(Inventory[[#This Row],[Product Category]]="","",IF(E64&lt;TODAY(),"EXPIRED",
IF(E64&lt;=TODAY()+30,"&lt;30 DAYS",
IF(E64&lt;=TODAY()+60,"&lt;60 DAYS",IF(E64=0,"","")))))</f>
        <v/>
      </c>
      <c r="H64">
        <f>SUMIF(Purchases[Product ID],A64,Purchases[Quantity])</f>
        <v>0</v>
      </c>
      <c r="I64">
        <f>SUMIF(Sales[Product Name],Inventory[[#This Row],[Product Name]],Sales[Quantity Sold])</f>
        <v>0</v>
      </c>
      <c r="J64">
        <f t="shared" si="0"/>
        <v>0</v>
      </c>
      <c r="N64">
        <f t="shared" si="1"/>
        <v>0</v>
      </c>
    </row>
    <row r="65" spans="4:14" ht="15">
      <c r="D65" s="26"/>
      <c r="E65" s="26"/>
      <c r="F65" t="str">
        <f ca="1">IF(Inventory[[#This Row],[Product Category]]="","",IF(E65&lt;TODAY(),"EXPIRED",
IF(E65&lt;=TODAY()+30,"&lt;30 DAYS",
IF(E65&lt;=TODAY()+60,"&lt;60 DAYS",IF(E65=0,"","")))))</f>
        <v/>
      </c>
      <c r="H65">
        <f>SUMIF(Purchases[Product ID],A65,Purchases[Quantity])</f>
        <v>0</v>
      </c>
      <c r="I65">
        <f>SUMIF(Sales[Product Name],Inventory[[#This Row],[Product Name]],Sales[Quantity Sold])</f>
        <v>0</v>
      </c>
      <c r="J65">
        <f t="shared" si="0"/>
        <v>0</v>
      </c>
      <c r="N65">
        <f t="shared" si="1"/>
        <v>0</v>
      </c>
    </row>
    <row r="66" spans="4:14" ht="15">
      <c r="D66" s="26"/>
      <c r="E66" s="26"/>
      <c r="F66" t="str">
        <f ca="1">IF(Inventory[[#This Row],[Product Category]]="","",IF(E66&lt;TODAY(),"EXPIRED",
IF(E66&lt;=TODAY()+30,"&lt;30 DAYS",
IF(E66&lt;=TODAY()+60,"&lt;60 DAYS",IF(E66=0,"","")))))</f>
        <v/>
      </c>
      <c r="H66">
        <f>SUMIF(Purchases[Product ID],A66,Purchases[Quantity])</f>
        <v>0</v>
      </c>
      <c r="I66">
        <f>SUMIF(Sales[Product Name],Inventory[[#This Row],[Product Name]],Sales[Quantity Sold])</f>
        <v>0</v>
      </c>
      <c r="J66">
        <f t="shared" si="0"/>
        <v>0</v>
      </c>
      <c r="N66">
        <f t="shared" si="1"/>
        <v>0</v>
      </c>
    </row>
    <row r="67" spans="4:14" ht="15">
      <c r="D67" s="26"/>
      <c r="E67" s="26"/>
      <c r="F67" t="str">
        <f ca="1">IF(Inventory[[#This Row],[Product Category]]="","",IF(E67&lt;TODAY(),"EXPIRED",
IF(E67&lt;=TODAY()+30,"&lt;30 DAYS",
IF(E67&lt;=TODAY()+60,"&lt;60 DAYS",IF(E67=0,"","")))))</f>
        <v/>
      </c>
      <c r="H67">
        <f>SUMIF(Purchases[Product ID],A67,Purchases[Quantity])</f>
        <v>0</v>
      </c>
      <c r="I67">
        <f>SUMIF(Sales[Product Name],Inventory[[#This Row],[Product Name]],Sales[Quantity Sold])</f>
        <v>0</v>
      </c>
      <c r="J67">
        <f t="shared" si="0"/>
        <v>0</v>
      </c>
      <c r="N67">
        <f t="shared" si="1"/>
        <v>0</v>
      </c>
    </row>
    <row r="68" spans="4:14" ht="15">
      <c r="D68" s="26"/>
      <c r="E68" s="26"/>
      <c r="F68" t="str">
        <f ca="1">IF(Inventory[[#This Row],[Product Category]]="","",IF(E68&lt;TODAY(),"EXPIRED",
IF(E68&lt;=TODAY()+30,"&lt;30 DAYS",
IF(E68&lt;=TODAY()+60,"&lt;60 DAYS",IF(E68=0,"","")))))</f>
        <v/>
      </c>
      <c r="H68">
        <f>SUMIF(Purchases[Product ID],A68,Purchases[Quantity])</f>
        <v>0</v>
      </c>
      <c r="I68">
        <f>SUMIF(Sales[Product Name],Inventory[[#This Row],[Product Name]],Sales[Quantity Sold])</f>
        <v>0</v>
      </c>
      <c r="J68">
        <f t="shared" si="0"/>
        <v>0</v>
      </c>
      <c r="N68">
        <f t="shared" si="1"/>
        <v>0</v>
      </c>
    </row>
    <row r="69" spans="4:14" ht="15">
      <c r="D69" s="26"/>
      <c r="E69" s="26"/>
      <c r="F69" t="str">
        <f ca="1">IF(Inventory[[#This Row],[Product Category]]="","",IF(E69&lt;TODAY(),"EXPIRED",
IF(E69&lt;=TODAY()+30,"&lt;30 DAYS",
IF(E69&lt;=TODAY()+60,"&lt;60 DAYS",IF(E69=0,"","")))))</f>
        <v/>
      </c>
      <c r="H69">
        <f>SUMIF(Purchases[Product ID],A69,Purchases[Quantity])</f>
        <v>0</v>
      </c>
      <c r="I69">
        <f>SUMIF(Sales[Product Name],Inventory[[#This Row],[Product Name]],Sales[Quantity Sold])</f>
        <v>0</v>
      </c>
      <c r="J69">
        <f t="shared" si="0"/>
        <v>0</v>
      </c>
      <c r="N69">
        <f t="shared" si="1"/>
        <v>0</v>
      </c>
    </row>
    <row r="70" spans="4:14" ht="15">
      <c r="D70" s="26"/>
      <c r="E70" s="26"/>
      <c r="F70" t="str">
        <f ca="1">IF(Inventory[[#This Row],[Product Category]]="","",IF(E70&lt;TODAY(),"EXPIRED",
IF(E70&lt;=TODAY()+30,"&lt;30 DAYS",
IF(E70&lt;=TODAY()+60,"&lt;60 DAYS",IF(E70=0,"","")))))</f>
        <v/>
      </c>
      <c r="H70">
        <f>SUMIF(Purchases[Product ID],A70,Purchases[Quantity])</f>
        <v>0</v>
      </c>
      <c r="I70">
        <f>SUMIF(Sales[Product Name],Inventory[[#This Row],[Product Name]],Sales[Quantity Sold])</f>
        <v>0</v>
      </c>
      <c r="J70">
        <f t="shared" si="0"/>
        <v>0</v>
      </c>
      <c r="N70">
        <f t="shared" si="1"/>
        <v>0</v>
      </c>
    </row>
    <row r="71" spans="4:14" ht="15">
      <c r="D71" s="26"/>
      <c r="E71" s="26"/>
      <c r="F71" t="str">
        <f ca="1">IF(Inventory[[#This Row],[Product Category]]="","",IF(E71&lt;TODAY(),"EXPIRED",
IF(E71&lt;=TODAY()+30,"&lt;30 DAYS",
IF(E71&lt;=TODAY()+60,"&lt;60 DAYS",IF(E71=0,"","")))))</f>
        <v/>
      </c>
      <c r="H71">
        <f>SUMIF(Purchases[Product ID],A71,Purchases[Quantity])</f>
        <v>0</v>
      </c>
      <c r="I71">
        <f>SUMIF(Sales[Product Name],Inventory[[#This Row],[Product Name]],Sales[Quantity Sold])</f>
        <v>0</v>
      </c>
      <c r="J71">
        <f t="shared" si="0"/>
        <v>0</v>
      </c>
      <c r="N71">
        <f t="shared" si="1"/>
        <v>0</v>
      </c>
    </row>
    <row r="72" spans="4:14" ht="15">
      <c r="D72" s="26"/>
      <c r="E72" s="26"/>
      <c r="F72" t="str">
        <f ca="1">IF(Inventory[[#This Row],[Product Category]]="","",IF(E72&lt;TODAY(),"EXPIRED",
IF(E72&lt;=TODAY()+30,"&lt;30 DAYS",
IF(E72&lt;=TODAY()+60,"&lt;60 DAYS",IF(E72=0,"","")))))</f>
        <v/>
      </c>
      <c r="H72">
        <f>SUMIF(Purchases[Product ID],A72,Purchases[Quantity])</f>
        <v>0</v>
      </c>
      <c r="I72">
        <f>SUMIF(Sales[Product Name],Inventory[[#This Row],[Product Name]],Sales[Quantity Sold])</f>
        <v>0</v>
      </c>
      <c r="J72">
        <f t="shared" ref="J72:J135" si="3">G72+H72-I72</f>
        <v>0</v>
      </c>
      <c r="N72">
        <f t="shared" ref="N72:N135" si="4">J72*L72</f>
        <v>0</v>
      </c>
    </row>
    <row r="73" spans="4:14" ht="15">
      <c r="D73" s="26"/>
      <c r="E73" s="26"/>
      <c r="F73" t="str">
        <f ca="1">IF(Inventory[[#This Row],[Product Category]]="","",IF(E73&lt;TODAY(),"EXPIRED",
IF(E73&lt;=TODAY()+30,"&lt;30 DAYS",
IF(E73&lt;=TODAY()+60,"&lt;60 DAYS",IF(E73=0,"","")))))</f>
        <v/>
      </c>
      <c r="H73">
        <f>SUMIF(Purchases[Product ID],A73,Purchases[Quantity])</f>
        <v>0</v>
      </c>
      <c r="I73">
        <f>SUMIF(Sales[Product Name],Inventory[[#This Row],[Product Name]],Sales[Quantity Sold])</f>
        <v>0</v>
      </c>
      <c r="J73">
        <f t="shared" si="3"/>
        <v>0</v>
      </c>
      <c r="N73">
        <f t="shared" si="4"/>
        <v>0</v>
      </c>
    </row>
    <row r="74" spans="4:14" ht="15">
      <c r="D74" s="26"/>
      <c r="E74" s="26"/>
      <c r="F74" t="str">
        <f ca="1">IF(Inventory[[#This Row],[Product Category]]="","",IF(E74&lt;TODAY(),"EXPIRED",
IF(E74&lt;=TODAY()+30,"&lt;30 DAYS",
IF(E74&lt;=TODAY()+60,"&lt;60 DAYS",IF(E74=0,"","")))))</f>
        <v/>
      </c>
      <c r="H74">
        <f>SUMIF(Purchases[Product ID],A74,Purchases[Quantity])</f>
        <v>0</v>
      </c>
      <c r="I74">
        <f>SUMIF(Sales[Product Name],Inventory[[#This Row],[Product Name]],Sales[Quantity Sold])</f>
        <v>0</v>
      </c>
      <c r="J74">
        <f t="shared" si="3"/>
        <v>0</v>
      </c>
      <c r="N74">
        <f t="shared" si="4"/>
        <v>0</v>
      </c>
    </row>
    <row r="75" spans="4:14" ht="15">
      <c r="D75" s="26"/>
      <c r="E75" s="26"/>
      <c r="F75" t="str">
        <f ca="1">IF(Inventory[[#This Row],[Product Category]]="","",IF(E75&lt;TODAY(),"EXPIRED",
IF(E75&lt;=TODAY()+30,"&lt;30 DAYS",
IF(E75&lt;=TODAY()+60,"&lt;60 DAYS",IF(E75=0,"","")))))</f>
        <v/>
      </c>
      <c r="H75">
        <f>SUMIF(Purchases[Product ID],A75,Purchases[Quantity])</f>
        <v>0</v>
      </c>
      <c r="I75">
        <f>SUMIF(Sales[Product Name],Inventory[[#This Row],[Product Name]],Sales[Quantity Sold])</f>
        <v>0</v>
      </c>
      <c r="J75">
        <f t="shared" si="3"/>
        <v>0</v>
      </c>
      <c r="N75">
        <f t="shared" si="4"/>
        <v>0</v>
      </c>
    </row>
    <row r="76" spans="4:14" ht="15">
      <c r="D76" s="26"/>
      <c r="E76" s="26"/>
      <c r="F76" t="str">
        <f ca="1">IF(Inventory[[#This Row],[Product Category]]="","",IF(E76&lt;TODAY(),"EXPIRED",
IF(E76&lt;=TODAY()+30,"&lt;30 DAYS",
IF(E76&lt;=TODAY()+60,"&lt;60 DAYS",IF(E76=0,"","")))))</f>
        <v/>
      </c>
      <c r="H76">
        <f>SUMIF(Purchases[Product ID],A76,Purchases[Quantity])</f>
        <v>0</v>
      </c>
      <c r="I76">
        <f>SUMIF(Sales[Product Name],Inventory[[#This Row],[Product Name]],Sales[Quantity Sold])</f>
        <v>0</v>
      </c>
      <c r="J76">
        <f t="shared" si="3"/>
        <v>0</v>
      </c>
      <c r="N76">
        <f t="shared" si="4"/>
        <v>0</v>
      </c>
    </row>
    <row r="77" spans="4:14" ht="15">
      <c r="D77" s="26"/>
      <c r="E77" s="26"/>
      <c r="F77" t="str">
        <f ca="1">IF(Inventory[[#This Row],[Product Category]]="","",IF(E77&lt;TODAY(),"EXPIRED",
IF(E77&lt;=TODAY()+30,"&lt;30 DAYS",
IF(E77&lt;=TODAY()+60,"&lt;60 DAYS",IF(E77=0,"","")))))</f>
        <v/>
      </c>
      <c r="H77">
        <f>SUMIF(Purchases[Product ID],A77,Purchases[Quantity])</f>
        <v>0</v>
      </c>
      <c r="I77">
        <f>SUMIF(Sales[Product Name],Inventory[[#This Row],[Product Name]],Sales[Quantity Sold])</f>
        <v>0</v>
      </c>
      <c r="J77">
        <f t="shared" si="3"/>
        <v>0</v>
      </c>
      <c r="N77">
        <f t="shared" si="4"/>
        <v>0</v>
      </c>
    </row>
    <row r="78" spans="4:14" ht="15">
      <c r="D78" s="26"/>
      <c r="E78" s="26"/>
      <c r="F78" t="str">
        <f ca="1">IF(Inventory[[#This Row],[Product Category]]="","",IF(E78&lt;TODAY(),"EXPIRED",
IF(E78&lt;=TODAY()+30,"&lt;30 DAYS",
IF(E78&lt;=TODAY()+60,"&lt;60 DAYS",IF(E78=0,"","")))))</f>
        <v/>
      </c>
      <c r="H78">
        <f>SUMIF(Purchases[Product ID],A78,Purchases[Quantity])</f>
        <v>0</v>
      </c>
      <c r="I78">
        <f>SUMIF(Sales[Product Name],Inventory[[#This Row],[Product Name]],Sales[Quantity Sold])</f>
        <v>0</v>
      </c>
      <c r="J78">
        <f t="shared" si="3"/>
        <v>0</v>
      </c>
      <c r="N78">
        <f t="shared" si="4"/>
        <v>0</v>
      </c>
    </row>
    <row r="79" spans="4:14" ht="15">
      <c r="D79" s="26"/>
      <c r="E79" s="26"/>
      <c r="F79" t="str">
        <f ca="1">IF(Inventory[[#This Row],[Product Category]]="","",IF(E79&lt;TODAY(),"EXPIRED",
IF(E79&lt;=TODAY()+30,"&lt;30 DAYS",
IF(E79&lt;=TODAY()+60,"&lt;60 DAYS",IF(E79=0,"","")))))</f>
        <v/>
      </c>
      <c r="H79">
        <f>SUMIF(Purchases[Product ID],A79,Purchases[Quantity])</f>
        <v>0</v>
      </c>
      <c r="I79">
        <f>SUMIF(Sales[Product Name],Inventory[[#This Row],[Product Name]],Sales[Quantity Sold])</f>
        <v>0</v>
      </c>
      <c r="J79">
        <f t="shared" si="3"/>
        <v>0</v>
      </c>
      <c r="N79">
        <f t="shared" si="4"/>
        <v>0</v>
      </c>
    </row>
    <row r="80" spans="4:14" ht="15">
      <c r="D80" s="26"/>
      <c r="E80" s="26"/>
      <c r="F80" t="str">
        <f ca="1">IF(Inventory[[#This Row],[Product Category]]="","",IF(E80&lt;TODAY(),"EXPIRED",
IF(E80&lt;=TODAY()+30,"&lt;30 DAYS",
IF(E80&lt;=TODAY()+60,"&lt;60 DAYS",IF(E80=0,"","")))))</f>
        <v/>
      </c>
      <c r="H80">
        <f>SUMIF(Purchases[Product ID],A80,Purchases[Quantity])</f>
        <v>0</v>
      </c>
      <c r="I80">
        <f>SUMIF(Sales[Product Name],Inventory[[#This Row],[Product Name]],Sales[Quantity Sold])</f>
        <v>0</v>
      </c>
      <c r="J80">
        <f t="shared" si="3"/>
        <v>0</v>
      </c>
      <c r="N80">
        <f t="shared" si="4"/>
        <v>0</v>
      </c>
    </row>
    <row r="81" spans="4:14" ht="15">
      <c r="D81" s="26"/>
      <c r="E81" s="26"/>
      <c r="F81" t="str">
        <f ca="1">IF(Inventory[[#This Row],[Product Category]]="","",IF(E81&lt;TODAY(),"EXPIRED",
IF(E81&lt;=TODAY()+30,"&lt;30 DAYS",
IF(E81&lt;=TODAY()+60,"&lt;60 DAYS",IF(E81=0,"","")))))</f>
        <v/>
      </c>
      <c r="H81">
        <f>SUMIF(Purchases[Product ID],A81,Purchases[Quantity])</f>
        <v>0</v>
      </c>
      <c r="I81">
        <f>SUMIF(Sales[Product Name],Inventory[[#This Row],[Product Name]],Sales[Quantity Sold])</f>
        <v>0</v>
      </c>
      <c r="J81">
        <f t="shared" si="3"/>
        <v>0</v>
      </c>
      <c r="N81">
        <f t="shared" si="4"/>
        <v>0</v>
      </c>
    </row>
    <row r="82" spans="4:14" ht="15">
      <c r="D82" s="26"/>
      <c r="E82" s="26"/>
      <c r="F82" t="str">
        <f ca="1">IF(Inventory[[#This Row],[Product Category]]="","",IF(E82&lt;TODAY(),"EXPIRED",
IF(E82&lt;=TODAY()+30,"&lt;30 DAYS",
IF(E82&lt;=TODAY()+60,"&lt;60 DAYS",IF(E82=0,"","")))))</f>
        <v/>
      </c>
      <c r="H82">
        <f>SUMIF(Purchases[Product ID],A82,Purchases[Quantity])</f>
        <v>0</v>
      </c>
      <c r="I82">
        <f>SUMIF(Sales[Product Name],Inventory[[#This Row],[Product Name]],Sales[Quantity Sold])</f>
        <v>0</v>
      </c>
      <c r="J82">
        <f t="shared" si="3"/>
        <v>0</v>
      </c>
      <c r="N82">
        <f t="shared" si="4"/>
        <v>0</v>
      </c>
    </row>
    <row r="83" spans="4:14" ht="15">
      <c r="D83" s="26"/>
      <c r="E83" s="26"/>
      <c r="F83" t="str">
        <f ca="1">IF(Inventory[[#This Row],[Product Category]]="","",IF(E83&lt;TODAY(),"EXPIRED",
IF(E83&lt;=TODAY()+30,"&lt;30 DAYS",
IF(E83&lt;=TODAY()+60,"&lt;60 DAYS",IF(E83=0,"","")))))</f>
        <v/>
      </c>
      <c r="H83">
        <f>SUMIF(Purchases[Product ID],A83,Purchases[Quantity])</f>
        <v>0</v>
      </c>
      <c r="I83">
        <f>SUMIF(Sales[Product Name],Inventory[[#This Row],[Product Name]],Sales[Quantity Sold])</f>
        <v>0</v>
      </c>
      <c r="J83">
        <f t="shared" si="3"/>
        <v>0</v>
      </c>
      <c r="N83">
        <f t="shared" si="4"/>
        <v>0</v>
      </c>
    </row>
    <row r="84" spans="4:14" ht="15">
      <c r="D84" s="26"/>
      <c r="E84" s="26"/>
      <c r="F84" t="str">
        <f ca="1">IF(Inventory[[#This Row],[Product Category]]="","",IF(E84&lt;TODAY(),"EXPIRED",
IF(E84&lt;=TODAY()+30,"&lt;30 DAYS",
IF(E84&lt;=TODAY()+60,"&lt;60 DAYS",IF(E84=0,"","")))))</f>
        <v/>
      </c>
      <c r="H84">
        <f>SUMIF(Purchases[Product ID],A84,Purchases[Quantity])</f>
        <v>0</v>
      </c>
      <c r="I84">
        <f>SUMIF(Sales[Product Name],Inventory[[#This Row],[Product Name]],Sales[Quantity Sold])</f>
        <v>0</v>
      </c>
      <c r="J84">
        <f t="shared" si="3"/>
        <v>0</v>
      </c>
      <c r="N84">
        <f t="shared" si="4"/>
        <v>0</v>
      </c>
    </row>
    <row r="85" spans="4:14" ht="15">
      <c r="D85" s="26"/>
      <c r="E85" s="26"/>
      <c r="F85" t="str">
        <f ca="1">IF(Inventory[[#This Row],[Product Category]]="","",IF(E85&lt;TODAY(),"EXPIRED",
IF(E85&lt;=TODAY()+30,"&lt;30 DAYS",
IF(E85&lt;=TODAY()+60,"&lt;60 DAYS",IF(E85=0,"","")))))</f>
        <v/>
      </c>
      <c r="H85">
        <f>SUMIF(Purchases[Product ID],A85,Purchases[Quantity])</f>
        <v>0</v>
      </c>
      <c r="I85">
        <f>SUMIF(Sales[Product Name],Inventory[[#This Row],[Product Name]],Sales[Quantity Sold])</f>
        <v>0</v>
      </c>
      <c r="J85">
        <f t="shared" si="3"/>
        <v>0</v>
      </c>
      <c r="N85">
        <f t="shared" si="4"/>
        <v>0</v>
      </c>
    </row>
    <row r="86" spans="4:14" ht="15">
      <c r="D86" s="26"/>
      <c r="E86" s="26"/>
      <c r="F86" t="str">
        <f ca="1">IF(Inventory[[#This Row],[Product Category]]="","",IF(E86&lt;TODAY(),"EXPIRED",
IF(E86&lt;=TODAY()+30,"&lt;30 DAYS",
IF(E86&lt;=TODAY()+60,"&lt;60 DAYS",IF(E86=0,"","")))))</f>
        <v/>
      </c>
      <c r="H86">
        <f>SUMIF(Purchases[Product ID],A86,Purchases[Quantity])</f>
        <v>0</v>
      </c>
      <c r="I86">
        <f>SUMIF(Sales[Product Name],Inventory[[#This Row],[Product Name]],Sales[Quantity Sold])</f>
        <v>0</v>
      </c>
      <c r="J86">
        <f t="shared" si="3"/>
        <v>0</v>
      </c>
      <c r="N86">
        <f t="shared" si="4"/>
        <v>0</v>
      </c>
    </row>
    <row r="87" spans="4:14" ht="15">
      <c r="D87" s="26"/>
      <c r="E87" s="26"/>
      <c r="F87" t="str">
        <f ca="1">IF(Inventory[[#This Row],[Product Category]]="","",IF(E87&lt;TODAY(),"EXPIRED",
IF(E87&lt;=TODAY()+30,"&lt;30 DAYS",
IF(E87&lt;=TODAY()+60,"&lt;60 DAYS",IF(E87=0,"","")))))</f>
        <v/>
      </c>
      <c r="H87">
        <f>SUMIF(Purchases[Product ID],A87,Purchases[Quantity])</f>
        <v>0</v>
      </c>
      <c r="I87">
        <f>SUMIF(Sales[Product Name],Inventory[[#This Row],[Product Name]],Sales[Quantity Sold])</f>
        <v>0</v>
      </c>
      <c r="J87">
        <f t="shared" si="3"/>
        <v>0</v>
      </c>
      <c r="N87">
        <f t="shared" si="4"/>
        <v>0</v>
      </c>
    </row>
    <row r="88" spans="4:14" ht="15">
      <c r="D88" s="26"/>
      <c r="E88" s="26"/>
      <c r="F88" t="str">
        <f ca="1">IF(Inventory[[#This Row],[Product Category]]="","",IF(E88&lt;TODAY(),"EXPIRED",
IF(E88&lt;=TODAY()+30,"&lt;30 DAYS",
IF(E88&lt;=TODAY()+60,"&lt;60 DAYS",IF(E88=0,"","")))))</f>
        <v/>
      </c>
      <c r="H88">
        <f>SUMIF(Purchases[Product ID],A88,Purchases[Quantity])</f>
        <v>0</v>
      </c>
      <c r="I88">
        <f>SUMIF(Sales[Product Name],Inventory[[#This Row],[Product Name]],Sales[Quantity Sold])</f>
        <v>0</v>
      </c>
      <c r="J88">
        <f t="shared" si="3"/>
        <v>0</v>
      </c>
      <c r="N88">
        <f t="shared" si="4"/>
        <v>0</v>
      </c>
    </row>
    <row r="89" spans="4:14" ht="15">
      <c r="D89" s="26"/>
      <c r="E89" s="26"/>
      <c r="F89" t="str">
        <f ca="1">IF(Inventory[[#This Row],[Product Category]]="","",IF(E89&lt;TODAY(),"EXPIRED",
IF(E89&lt;=TODAY()+30,"&lt;30 DAYS",
IF(E89&lt;=TODAY()+60,"&lt;60 DAYS",IF(E89=0,"","")))))</f>
        <v/>
      </c>
      <c r="H89">
        <f>SUMIF(Purchases[Product ID],A89,Purchases[Quantity])</f>
        <v>0</v>
      </c>
      <c r="I89">
        <f>SUMIF(Sales[Product Name],Inventory[[#This Row],[Product Name]],Sales[Quantity Sold])</f>
        <v>0</v>
      </c>
      <c r="J89">
        <f t="shared" si="3"/>
        <v>0</v>
      </c>
      <c r="N89">
        <f t="shared" si="4"/>
        <v>0</v>
      </c>
    </row>
    <row r="90" spans="4:14" ht="15">
      <c r="D90" s="26"/>
      <c r="E90" s="26"/>
      <c r="F90" t="str">
        <f ca="1">IF(Inventory[[#This Row],[Product Category]]="","",IF(E90&lt;TODAY(),"EXPIRED",
IF(E90&lt;=TODAY()+30,"&lt;30 DAYS",
IF(E90&lt;=TODAY()+60,"&lt;60 DAYS",IF(E90=0,"","")))))</f>
        <v/>
      </c>
      <c r="H90">
        <f>SUMIF(Purchases[Product ID],A90,Purchases[Quantity])</f>
        <v>0</v>
      </c>
      <c r="I90">
        <f>SUMIF(Sales[Product Name],Inventory[[#This Row],[Product Name]],Sales[Quantity Sold])</f>
        <v>0</v>
      </c>
      <c r="J90">
        <f t="shared" si="3"/>
        <v>0</v>
      </c>
      <c r="N90">
        <f t="shared" si="4"/>
        <v>0</v>
      </c>
    </row>
    <row r="91" spans="4:14" ht="15">
      <c r="D91" s="26"/>
      <c r="E91" s="26"/>
      <c r="F91" t="str">
        <f ca="1">IF(Inventory[[#This Row],[Product Category]]="","",IF(E91&lt;TODAY(),"EXPIRED",
IF(E91&lt;=TODAY()+30,"&lt;30 DAYS",
IF(E91&lt;=TODAY()+60,"&lt;60 DAYS",IF(E91=0,"","")))))</f>
        <v/>
      </c>
      <c r="H91">
        <f>SUMIF(Purchases[Product ID],A91,Purchases[Quantity])</f>
        <v>0</v>
      </c>
      <c r="I91">
        <f>SUMIF(Sales[Product Name],Inventory[[#This Row],[Product Name]],Sales[Quantity Sold])</f>
        <v>0</v>
      </c>
      <c r="J91">
        <f t="shared" si="3"/>
        <v>0</v>
      </c>
      <c r="N91">
        <f t="shared" si="4"/>
        <v>0</v>
      </c>
    </row>
    <row r="92" spans="4:14" ht="15">
      <c r="D92" s="26"/>
      <c r="E92" s="26"/>
      <c r="F92" t="str">
        <f ca="1">IF(Inventory[[#This Row],[Product Category]]="","",IF(E92&lt;TODAY(),"EXPIRED",
IF(E92&lt;=TODAY()+30,"&lt;30 DAYS",
IF(E92&lt;=TODAY()+60,"&lt;60 DAYS",IF(E92=0,"","")))))</f>
        <v/>
      </c>
      <c r="H92">
        <f>SUMIF(Purchases[Product ID],A92,Purchases[Quantity])</f>
        <v>0</v>
      </c>
      <c r="I92">
        <f>SUMIF(Sales[Product Name],Inventory[[#This Row],[Product Name]],Sales[Quantity Sold])</f>
        <v>0</v>
      </c>
      <c r="J92">
        <f t="shared" si="3"/>
        <v>0</v>
      </c>
      <c r="N92">
        <f t="shared" si="4"/>
        <v>0</v>
      </c>
    </row>
    <row r="93" spans="4:14" ht="15">
      <c r="D93" s="26"/>
      <c r="E93" s="26"/>
      <c r="F93" t="str">
        <f ca="1">IF(Inventory[[#This Row],[Product Category]]="","",IF(E93&lt;TODAY(),"EXPIRED",
IF(E93&lt;=TODAY()+30,"&lt;30 DAYS",
IF(E93&lt;=TODAY()+60,"&lt;60 DAYS",IF(E93=0,"","")))))</f>
        <v/>
      </c>
      <c r="H93">
        <f>SUMIF(Purchases[Product ID],A93,Purchases[Quantity])</f>
        <v>0</v>
      </c>
      <c r="I93">
        <f>SUMIF(Sales[Product Name],Inventory[[#This Row],[Product Name]],Sales[Quantity Sold])</f>
        <v>0</v>
      </c>
      <c r="J93">
        <f t="shared" si="3"/>
        <v>0</v>
      </c>
      <c r="N93">
        <f t="shared" si="4"/>
        <v>0</v>
      </c>
    </row>
    <row r="94" spans="4:14" ht="15">
      <c r="D94" s="26"/>
      <c r="E94" s="26"/>
      <c r="F94" t="str">
        <f ca="1">IF(Inventory[[#This Row],[Product Category]]="","",IF(E94&lt;TODAY(),"EXPIRED",
IF(E94&lt;=TODAY()+30,"&lt;30 DAYS",
IF(E94&lt;=TODAY()+60,"&lt;60 DAYS",IF(E94=0,"","")))))</f>
        <v/>
      </c>
      <c r="H94">
        <f>SUMIF(Purchases[Product ID],A94,Purchases[Quantity])</f>
        <v>0</v>
      </c>
      <c r="I94">
        <f>SUMIF(Sales[Product Name],Inventory[[#This Row],[Product Name]],Sales[Quantity Sold])</f>
        <v>0</v>
      </c>
      <c r="J94">
        <f t="shared" si="3"/>
        <v>0</v>
      </c>
      <c r="N94">
        <f t="shared" si="4"/>
        <v>0</v>
      </c>
    </row>
    <row r="95" spans="4:14" ht="15">
      <c r="D95" s="26"/>
      <c r="E95" s="26"/>
      <c r="F95" t="str">
        <f ca="1">IF(Inventory[[#This Row],[Product Category]]="","",IF(E95&lt;TODAY(),"EXPIRED",
IF(E95&lt;=TODAY()+30,"&lt;30 DAYS",
IF(E95&lt;=TODAY()+60,"&lt;60 DAYS",IF(E95=0,"","")))))</f>
        <v/>
      </c>
      <c r="H95">
        <f>SUMIF(Purchases[Product ID],A95,Purchases[Quantity])</f>
        <v>0</v>
      </c>
      <c r="I95">
        <f>SUMIF(Sales[Product Name],Inventory[[#This Row],[Product Name]],Sales[Quantity Sold])</f>
        <v>0</v>
      </c>
      <c r="J95">
        <f t="shared" si="3"/>
        <v>0</v>
      </c>
      <c r="N95">
        <f t="shared" si="4"/>
        <v>0</v>
      </c>
    </row>
    <row r="96" spans="4:14" ht="15">
      <c r="D96" s="26"/>
      <c r="E96" s="26"/>
      <c r="F96" t="str">
        <f ca="1">IF(Inventory[[#This Row],[Product Category]]="","",IF(E96&lt;TODAY(),"EXPIRED",
IF(E96&lt;=TODAY()+30,"&lt;30 DAYS",
IF(E96&lt;=TODAY()+60,"&lt;60 DAYS",IF(E96=0,"","")))))</f>
        <v/>
      </c>
      <c r="H96">
        <f>SUMIF(Purchases[Product ID],A96,Purchases[Quantity])</f>
        <v>0</v>
      </c>
      <c r="I96">
        <f>SUMIF(Sales[Product Name],Inventory[[#This Row],[Product Name]],Sales[Quantity Sold])</f>
        <v>0</v>
      </c>
      <c r="J96">
        <f t="shared" si="3"/>
        <v>0</v>
      </c>
      <c r="N96">
        <f t="shared" si="4"/>
        <v>0</v>
      </c>
    </row>
    <row r="97" spans="4:14" ht="15">
      <c r="D97" s="26"/>
      <c r="E97" s="26"/>
      <c r="F97" t="str">
        <f ca="1">IF(Inventory[[#This Row],[Product Category]]="","",IF(E97&lt;TODAY(),"EXPIRED",
IF(E97&lt;=TODAY()+30,"&lt;30 DAYS",
IF(E97&lt;=TODAY()+60,"&lt;60 DAYS",IF(E97=0,"","")))))</f>
        <v/>
      </c>
      <c r="H97">
        <f>SUMIF(Purchases[Product ID],A97,Purchases[Quantity])</f>
        <v>0</v>
      </c>
      <c r="I97">
        <f>SUMIF(Sales[Product Name],Inventory[[#This Row],[Product Name]],Sales[Quantity Sold])</f>
        <v>0</v>
      </c>
      <c r="J97">
        <f t="shared" si="3"/>
        <v>0</v>
      </c>
      <c r="N97">
        <f t="shared" si="4"/>
        <v>0</v>
      </c>
    </row>
    <row r="98" spans="4:14" ht="15">
      <c r="D98" s="26"/>
      <c r="E98" s="26"/>
      <c r="F98" t="str">
        <f ca="1">IF(Inventory[[#This Row],[Product Category]]="","",IF(E98&lt;TODAY(),"EXPIRED",
IF(E98&lt;=TODAY()+30,"&lt;30 DAYS",
IF(E98&lt;=TODAY()+60,"&lt;60 DAYS",IF(E98=0,"","")))))</f>
        <v/>
      </c>
      <c r="H98">
        <f>SUMIF(Purchases[Product ID],A98,Purchases[Quantity])</f>
        <v>0</v>
      </c>
      <c r="I98">
        <f>SUMIF(Sales[Product Name],Inventory[[#This Row],[Product Name]],Sales[Quantity Sold])</f>
        <v>0</v>
      </c>
      <c r="J98">
        <f t="shared" si="3"/>
        <v>0</v>
      </c>
      <c r="N98">
        <f t="shared" si="4"/>
        <v>0</v>
      </c>
    </row>
    <row r="99" spans="4:14" ht="15">
      <c r="D99" s="26"/>
      <c r="E99" s="26"/>
      <c r="F99" t="str">
        <f ca="1">IF(Inventory[[#This Row],[Product Category]]="","",IF(E99&lt;TODAY(),"EXPIRED",
IF(E99&lt;=TODAY()+30,"&lt;30 DAYS",
IF(E99&lt;=TODAY()+60,"&lt;60 DAYS",IF(E99=0,"","")))))</f>
        <v/>
      </c>
      <c r="H99">
        <f>SUMIF(Purchases[Product ID],A99,Purchases[Quantity])</f>
        <v>0</v>
      </c>
      <c r="I99">
        <f>SUMIF(Sales[Product Name],Inventory[[#This Row],[Product Name]],Sales[Quantity Sold])</f>
        <v>0</v>
      </c>
      <c r="J99">
        <f t="shared" si="3"/>
        <v>0</v>
      </c>
      <c r="N99">
        <f t="shared" si="4"/>
        <v>0</v>
      </c>
    </row>
    <row r="100" spans="4:14" ht="15">
      <c r="D100" s="26"/>
      <c r="E100" s="26"/>
      <c r="F100" t="str">
        <f ca="1">IF(Inventory[[#This Row],[Product Category]]="","",IF(E100&lt;TODAY(),"EXPIRED",
IF(E100&lt;=TODAY()+30,"&lt;30 DAYS",
IF(E100&lt;=TODAY()+60,"&lt;60 DAYS",IF(E100=0,"","")))))</f>
        <v/>
      </c>
      <c r="H100">
        <f>SUMIF(Purchases[Product ID],A100,Purchases[Quantity])</f>
        <v>0</v>
      </c>
      <c r="I100">
        <f>SUMIF(Sales[Product Name],Inventory[[#This Row],[Product Name]],Sales[Quantity Sold])</f>
        <v>0</v>
      </c>
      <c r="J100">
        <f t="shared" si="3"/>
        <v>0</v>
      </c>
      <c r="N100">
        <f t="shared" si="4"/>
        <v>0</v>
      </c>
    </row>
    <row r="101" spans="4:14" ht="15">
      <c r="D101" s="26"/>
      <c r="E101" s="26"/>
      <c r="F101" t="str">
        <f ca="1">IF(Inventory[[#This Row],[Product Category]]="","",IF(E101&lt;TODAY(),"EXPIRED",
IF(E101&lt;=TODAY()+30,"&lt;30 DAYS",
IF(E101&lt;=TODAY()+60,"&lt;60 DAYS",IF(E101=0,"","")))))</f>
        <v/>
      </c>
      <c r="H101">
        <f>SUMIF(Purchases[Product ID],A101,Purchases[Quantity])</f>
        <v>0</v>
      </c>
      <c r="I101">
        <f>SUMIF(Sales[Product Name],Inventory[[#This Row],[Product Name]],Sales[Quantity Sold])</f>
        <v>0</v>
      </c>
      <c r="J101">
        <f t="shared" si="3"/>
        <v>0</v>
      </c>
      <c r="N101">
        <f t="shared" si="4"/>
        <v>0</v>
      </c>
    </row>
    <row r="102" spans="4:14" ht="15">
      <c r="D102" s="26"/>
      <c r="E102" s="26"/>
      <c r="F102" t="str">
        <f ca="1">IF(Inventory[[#This Row],[Product Category]]="","",IF(E102&lt;TODAY(),"EXPIRED",
IF(E102&lt;=TODAY()+30,"&lt;30 DAYS",
IF(E102&lt;=TODAY()+60,"&lt;60 DAYS",IF(E102=0,"","")))))</f>
        <v/>
      </c>
      <c r="H102">
        <f>SUMIF(Purchases[Product ID],A102,Purchases[Quantity])</f>
        <v>0</v>
      </c>
      <c r="I102">
        <f>SUMIF(Sales[Product Name],Inventory[[#This Row],[Product Name]],Sales[Quantity Sold])</f>
        <v>0</v>
      </c>
      <c r="J102">
        <f t="shared" si="3"/>
        <v>0</v>
      </c>
      <c r="N102">
        <f t="shared" si="4"/>
        <v>0</v>
      </c>
    </row>
    <row r="103" spans="4:14" ht="15">
      <c r="D103" s="26"/>
      <c r="E103" s="26"/>
      <c r="F103" t="str">
        <f ca="1">IF(Inventory[[#This Row],[Product Category]]="","",IF(E103&lt;TODAY(),"EXPIRED",
IF(E103&lt;=TODAY()+30,"&lt;30 DAYS",
IF(E103&lt;=TODAY()+60,"&lt;60 DAYS",IF(E103=0,"","")))))</f>
        <v/>
      </c>
      <c r="H103">
        <f>SUMIF(Purchases[Product ID],A103,Purchases[Quantity])</f>
        <v>0</v>
      </c>
      <c r="I103">
        <f>SUMIF(Sales[Product Name],Inventory[[#This Row],[Product Name]],Sales[Quantity Sold])</f>
        <v>0</v>
      </c>
      <c r="J103">
        <f t="shared" si="3"/>
        <v>0</v>
      </c>
      <c r="N103">
        <f t="shared" si="4"/>
        <v>0</v>
      </c>
    </row>
    <row r="104" spans="4:14" ht="15">
      <c r="D104" s="26"/>
      <c r="E104" s="26"/>
      <c r="F104" t="str">
        <f ca="1">IF(Inventory[[#This Row],[Product Category]]="","",IF(E104&lt;TODAY(),"EXPIRED",
IF(E104&lt;=TODAY()+30,"&lt;30 DAYS",
IF(E104&lt;=TODAY()+60,"&lt;60 DAYS",IF(E104=0,"","")))))</f>
        <v/>
      </c>
      <c r="H104">
        <f>SUMIF(Purchases[Product ID],A104,Purchases[Quantity])</f>
        <v>0</v>
      </c>
      <c r="I104">
        <f>SUMIF(Sales[Product Name],Inventory[[#This Row],[Product Name]],Sales[Quantity Sold])</f>
        <v>0</v>
      </c>
      <c r="J104">
        <f t="shared" si="3"/>
        <v>0</v>
      </c>
      <c r="N104">
        <f t="shared" si="4"/>
        <v>0</v>
      </c>
    </row>
    <row r="105" spans="4:14" ht="15">
      <c r="D105" s="26"/>
      <c r="E105" s="26"/>
      <c r="F105" t="str">
        <f ca="1">IF(Inventory[[#This Row],[Product Category]]="","",IF(E105&lt;TODAY(),"EXPIRED",
IF(E105&lt;=TODAY()+30,"&lt;30 DAYS",
IF(E105&lt;=TODAY()+60,"&lt;60 DAYS",IF(E105=0,"","")))))</f>
        <v/>
      </c>
      <c r="H105">
        <f>SUMIF(Purchases[Product ID],A105,Purchases[Quantity])</f>
        <v>0</v>
      </c>
      <c r="I105">
        <f>SUMIF(Sales[Product Name],Inventory[[#This Row],[Product Name]],Sales[Quantity Sold])</f>
        <v>0</v>
      </c>
      <c r="J105">
        <f t="shared" si="3"/>
        <v>0</v>
      </c>
      <c r="N105">
        <f t="shared" si="4"/>
        <v>0</v>
      </c>
    </row>
    <row r="106" spans="4:14" ht="15">
      <c r="D106" s="26"/>
      <c r="E106" s="26"/>
      <c r="F106" t="str">
        <f ca="1">IF(Inventory[[#This Row],[Product Category]]="","",IF(E106&lt;TODAY(),"EXPIRED",
IF(E106&lt;=TODAY()+30,"&lt;30 DAYS",
IF(E106&lt;=TODAY()+60,"&lt;60 DAYS",IF(E106=0,"","")))))</f>
        <v/>
      </c>
      <c r="H106">
        <f>SUMIF(Purchases[Product ID],A106,Purchases[Quantity])</f>
        <v>0</v>
      </c>
      <c r="I106">
        <f>SUMIF(Sales[Product Name],Inventory[[#This Row],[Product Name]],Sales[Quantity Sold])</f>
        <v>0</v>
      </c>
      <c r="J106">
        <f t="shared" si="3"/>
        <v>0</v>
      </c>
      <c r="N106">
        <f t="shared" si="4"/>
        <v>0</v>
      </c>
    </row>
    <row r="107" spans="4:14" ht="15">
      <c r="D107" s="26"/>
      <c r="E107" s="26"/>
      <c r="F107" t="str">
        <f ca="1">IF(Inventory[[#This Row],[Product Category]]="","",IF(E107&lt;TODAY(),"EXPIRED",
IF(E107&lt;=TODAY()+30,"&lt;30 DAYS",
IF(E107&lt;=TODAY()+60,"&lt;60 DAYS",IF(E107=0,"","")))))</f>
        <v/>
      </c>
      <c r="H107">
        <f>SUMIF(Purchases[Product ID],A107,Purchases[Quantity])</f>
        <v>0</v>
      </c>
      <c r="I107">
        <f>SUMIF(Sales[Product Name],Inventory[[#This Row],[Product Name]],Sales[Quantity Sold])</f>
        <v>0</v>
      </c>
      <c r="J107">
        <f t="shared" si="3"/>
        <v>0</v>
      </c>
      <c r="N107">
        <f t="shared" si="4"/>
        <v>0</v>
      </c>
    </row>
    <row r="108" spans="4:14" ht="15">
      <c r="D108" s="26"/>
      <c r="E108" s="26"/>
      <c r="F108" t="str">
        <f ca="1">IF(Inventory[[#This Row],[Product Category]]="","",IF(E108&lt;TODAY(),"EXPIRED",
IF(E108&lt;=TODAY()+30,"&lt;30 DAYS",
IF(E108&lt;=TODAY()+60,"&lt;60 DAYS",IF(E108=0,"","")))))</f>
        <v/>
      </c>
      <c r="H108">
        <f>SUMIF(Purchases[Product ID],A108,Purchases[Quantity])</f>
        <v>0</v>
      </c>
      <c r="I108">
        <f>SUMIF(Sales[Product Name],Inventory[[#This Row],[Product Name]],Sales[Quantity Sold])</f>
        <v>0</v>
      </c>
      <c r="J108">
        <f t="shared" si="3"/>
        <v>0</v>
      </c>
      <c r="N108">
        <f t="shared" si="4"/>
        <v>0</v>
      </c>
    </row>
    <row r="109" spans="4:14" ht="15">
      <c r="D109" s="26"/>
      <c r="E109" s="26"/>
      <c r="F109" t="str">
        <f ca="1">IF(Inventory[[#This Row],[Product Category]]="","",IF(E109&lt;TODAY(),"EXPIRED",
IF(E109&lt;=TODAY()+30,"&lt;30 DAYS",
IF(E109&lt;=TODAY()+60,"&lt;60 DAYS",IF(E109=0,"","")))))</f>
        <v/>
      </c>
      <c r="H109">
        <f>SUMIF(Purchases[Product ID],A109,Purchases[Quantity])</f>
        <v>0</v>
      </c>
      <c r="I109">
        <f>SUMIF(Sales[Product Name],Inventory[[#This Row],[Product Name]],Sales[Quantity Sold])</f>
        <v>0</v>
      </c>
      <c r="J109">
        <f t="shared" si="3"/>
        <v>0</v>
      </c>
      <c r="N109">
        <f t="shared" si="4"/>
        <v>0</v>
      </c>
    </row>
    <row r="110" spans="4:14" ht="15">
      <c r="D110" s="26"/>
      <c r="E110" s="26"/>
      <c r="F110" t="str">
        <f ca="1">IF(Inventory[[#This Row],[Product Category]]="","",IF(E110&lt;TODAY(),"EXPIRED",
IF(E110&lt;=TODAY()+30,"&lt;30 DAYS",
IF(E110&lt;=TODAY()+60,"&lt;60 DAYS",IF(E110=0,"","")))))</f>
        <v/>
      </c>
      <c r="H110">
        <f>SUMIF(Purchases[Product ID],A110,Purchases[Quantity])</f>
        <v>0</v>
      </c>
      <c r="I110">
        <f>SUMIF(Sales[Product Name],Inventory[[#This Row],[Product Name]],Sales[Quantity Sold])</f>
        <v>0</v>
      </c>
      <c r="J110">
        <f t="shared" si="3"/>
        <v>0</v>
      </c>
      <c r="N110">
        <f t="shared" si="4"/>
        <v>0</v>
      </c>
    </row>
    <row r="111" spans="4:14" ht="15">
      <c r="D111" s="26"/>
      <c r="E111" s="26"/>
      <c r="F111" t="str">
        <f ca="1">IF(Inventory[[#This Row],[Product Category]]="","",IF(E111&lt;TODAY(),"EXPIRED",
IF(E111&lt;=TODAY()+30,"&lt;30 DAYS",
IF(E111&lt;=TODAY()+60,"&lt;60 DAYS",IF(E111=0,"","")))))</f>
        <v/>
      </c>
      <c r="H111">
        <f>SUMIF(Purchases[Product ID],A111,Purchases[Quantity])</f>
        <v>0</v>
      </c>
      <c r="I111">
        <f>SUMIF(Sales[Product Name],Inventory[[#This Row],[Product Name]],Sales[Quantity Sold])</f>
        <v>0</v>
      </c>
      <c r="J111">
        <f t="shared" si="3"/>
        <v>0</v>
      </c>
      <c r="N111">
        <f t="shared" si="4"/>
        <v>0</v>
      </c>
    </row>
    <row r="112" spans="4:14" ht="15">
      <c r="D112" s="26"/>
      <c r="E112" s="26"/>
      <c r="F112" t="str">
        <f ca="1">IF(Inventory[[#This Row],[Product Category]]="","",IF(E112&lt;TODAY(),"EXPIRED",
IF(E112&lt;=TODAY()+30,"&lt;30 DAYS",
IF(E112&lt;=TODAY()+60,"&lt;60 DAYS",IF(E112=0,"","")))))</f>
        <v/>
      </c>
      <c r="H112">
        <f>SUMIF(Purchases[Product ID],A112,Purchases[Quantity])</f>
        <v>0</v>
      </c>
      <c r="I112">
        <f>SUMIF(Sales[Product Name],Inventory[[#This Row],[Product Name]],Sales[Quantity Sold])</f>
        <v>0</v>
      </c>
      <c r="J112">
        <f t="shared" si="3"/>
        <v>0</v>
      </c>
      <c r="N112">
        <f t="shared" si="4"/>
        <v>0</v>
      </c>
    </row>
    <row r="113" spans="4:14" ht="15">
      <c r="D113" s="26"/>
      <c r="E113" s="26"/>
      <c r="F113" t="str">
        <f ca="1">IF(Inventory[[#This Row],[Product Category]]="","",IF(E113&lt;TODAY(),"EXPIRED",
IF(E113&lt;=TODAY()+30,"&lt;30 DAYS",
IF(E113&lt;=TODAY()+60,"&lt;60 DAYS",IF(E113=0,"","")))))</f>
        <v/>
      </c>
      <c r="H113">
        <f>SUMIF(Purchases[Product ID],A113,Purchases[Quantity])</f>
        <v>0</v>
      </c>
      <c r="I113">
        <f>SUMIF(Sales[Product Name],Inventory[[#This Row],[Product Name]],Sales[Quantity Sold])</f>
        <v>0</v>
      </c>
      <c r="J113">
        <f t="shared" si="3"/>
        <v>0</v>
      </c>
      <c r="N113">
        <f t="shared" si="4"/>
        <v>0</v>
      </c>
    </row>
    <row r="114" spans="4:14" ht="15">
      <c r="D114" s="26"/>
      <c r="E114" s="26"/>
      <c r="F114" t="str">
        <f ca="1">IF(Inventory[[#This Row],[Product Category]]="","",IF(E114&lt;TODAY(),"EXPIRED",
IF(E114&lt;=TODAY()+30,"&lt;30 DAYS",
IF(E114&lt;=TODAY()+60,"&lt;60 DAYS",IF(E114=0,"","")))))</f>
        <v/>
      </c>
      <c r="H114">
        <f>SUMIF(Purchases[Product ID],A114,Purchases[Quantity])</f>
        <v>0</v>
      </c>
      <c r="I114">
        <f>SUMIF(Sales[Product Name],Inventory[[#This Row],[Product Name]],Sales[Quantity Sold])</f>
        <v>0</v>
      </c>
      <c r="J114">
        <f t="shared" si="3"/>
        <v>0</v>
      </c>
      <c r="N114">
        <f t="shared" si="4"/>
        <v>0</v>
      </c>
    </row>
    <row r="115" spans="4:14" ht="15">
      <c r="D115" s="26"/>
      <c r="E115" s="26"/>
      <c r="F115" t="str">
        <f ca="1">IF(Inventory[[#This Row],[Product Category]]="","",IF(E115&lt;TODAY(),"EXPIRED",
IF(E115&lt;=TODAY()+30,"&lt;30 DAYS",
IF(E115&lt;=TODAY()+60,"&lt;60 DAYS",IF(E115=0,"","")))))</f>
        <v/>
      </c>
      <c r="H115">
        <f>SUMIF(Purchases[Product ID],A115,Purchases[Quantity])</f>
        <v>0</v>
      </c>
      <c r="I115">
        <f>SUMIF(Sales[Product Name],Inventory[[#This Row],[Product Name]],Sales[Quantity Sold])</f>
        <v>0</v>
      </c>
      <c r="J115">
        <f t="shared" si="3"/>
        <v>0</v>
      </c>
      <c r="N115">
        <f t="shared" si="4"/>
        <v>0</v>
      </c>
    </row>
    <row r="116" spans="4:14" ht="15">
      <c r="D116" s="26"/>
      <c r="E116" s="26"/>
      <c r="F116" t="str">
        <f ca="1">IF(Inventory[[#This Row],[Product Category]]="","",IF(E116&lt;TODAY(),"EXPIRED",
IF(E116&lt;=TODAY()+30,"&lt;30 DAYS",
IF(E116&lt;=TODAY()+60,"&lt;60 DAYS",IF(E116=0,"","")))))</f>
        <v/>
      </c>
      <c r="H116">
        <f>SUMIF(Purchases[Product ID],A116,Purchases[Quantity])</f>
        <v>0</v>
      </c>
      <c r="I116">
        <f>SUMIF(Sales[Product Name],Inventory[[#This Row],[Product Name]],Sales[Quantity Sold])</f>
        <v>0</v>
      </c>
      <c r="J116">
        <f t="shared" si="3"/>
        <v>0</v>
      </c>
      <c r="N116">
        <f t="shared" si="4"/>
        <v>0</v>
      </c>
    </row>
    <row r="117" spans="4:14" ht="15">
      <c r="D117" s="26"/>
      <c r="E117" s="26"/>
      <c r="F117" t="str">
        <f ca="1">IF(Inventory[[#This Row],[Product Category]]="","",IF(E117&lt;TODAY(),"EXPIRED",
IF(E117&lt;=TODAY()+30,"&lt;30 DAYS",
IF(E117&lt;=TODAY()+60,"&lt;60 DAYS",IF(E117=0,"","")))))</f>
        <v/>
      </c>
      <c r="H117">
        <f>SUMIF(Purchases[Product ID],A117,Purchases[Quantity])</f>
        <v>0</v>
      </c>
      <c r="I117">
        <f>SUMIF(Sales[Product Name],Inventory[[#This Row],[Product Name]],Sales[Quantity Sold])</f>
        <v>0</v>
      </c>
      <c r="J117">
        <f t="shared" si="3"/>
        <v>0</v>
      </c>
      <c r="N117">
        <f t="shared" si="4"/>
        <v>0</v>
      </c>
    </row>
    <row r="118" spans="4:14" ht="15">
      <c r="D118" s="26"/>
      <c r="E118" s="26"/>
      <c r="F118" t="str">
        <f ca="1">IF(Inventory[[#This Row],[Product Category]]="","",IF(E118&lt;TODAY(),"EXPIRED",
IF(E118&lt;=TODAY()+30,"&lt;30 DAYS",
IF(E118&lt;=TODAY()+60,"&lt;60 DAYS",IF(E118=0,"","")))))</f>
        <v/>
      </c>
      <c r="H118">
        <f>SUMIF(Purchases[Product ID],A118,Purchases[Quantity])</f>
        <v>0</v>
      </c>
      <c r="I118">
        <f>SUMIF(Sales[Product Name],Inventory[[#This Row],[Product Name]],Sales[Quantity Sold])</f>
        <v>0</v>
      </c>
      <c r="J118">
        <f t="shared" si="3"/>
        <v>0</v>
      </c>
      <c r="N118">
        <f t="shared" si="4"/>
        <v>0</v>
      </c>
    </row>
    <row r="119" spans="4:14" ht="15">
      <c r="D119" s="26"/>
      <c r="E119" s="26"/>
      <c r="F119" t="str">
        <f ca="1">IF(Inventory[[#This Row],[Product Category]]="","",IF(E119&lt;TODAY(),"EXPIRED",
IF(E119&lt;=TODAY()+30,"&lt;30 DAYS",
IF(E119&lt;=TODAY()+60,"&lt;60 DAYS",IF(E119=0,"","")))))</f>
        <v/>
      </c>
      <c r="H119">
        <f>SUMIF(Purchases[Product ID],A119,Purchases[Quantity])</f>
        <v>0</v>
      </c>
      <c r="I119">
        <f>SUMIF(Sales[Product Name],Inventory[[#This Row],[Product Name]],Sales[Quantity Sold])</f>
        <v>0</v>
      </c>
      <c r="J119">
        <f t="shared" si="3"/>
        <v>0</v>
      </c>
      <c r="N119">
        <f t="shared" si="4"/>
        <v>0</v>
      </c>
    </row>
    <row r="120" spans="4:14" ht="15">
      <c r="D120" s="26"/>
      <c r="E120" s="26"/>
      <c r="F120" t="str">
        <f ca="1">IF(Inventory[[#This Row],[Product Category]]="","",IF(E120&lt;TODAY(),"EXPIRED",
IF(E120&lt;=TODAY()+30,"&lt;30 DAYS",
IF(E120&lt;=TODAY()+60,"&lt;60 DAYS",IF(E120=0,"","")))))</f>
        <v/>
      </c>
      <c r="H120">
        <f>SUMIF(Purchases[Product ID],A120,Purchases[Quantity])</f>
        <v>0</v>
      </c>
      <c r="I120">
        <f>SUMIF(Sales[Product Name],Inventory[[#This Row],[Product Name]],Sales[Quantity Sold])</f>
        <v>0</v>
      </c>
      <c r="J120">
        <f t="shared" si="3"/>
        <v>0</v>
      </c>
      <c r="N120">
        <f t="shared" si="4"/>
        <v>0</v>
      </c>
    </row>
    <row r="121" spans="4:14" ht="15">
      <c r="D121" s="26"/>
      <c r="E121" s="26"/>
      <c r="F121" t="str">
        <f ca="1">IF(Inventory[[#This Row],[Product Category]]="","",IF(E121&lt;TODAY(),"EXPIRED",
IF(E121&lt;=TODAY()+30,"&lt;30 DAYS",
IF(E121&lt;=TODAY()+60,"&lt;60 DAYS",IF(E121=0,"","")))))</f>
        <v/>
      </c>
      <c r="H121">
        <f>SUMIF(Purchases[Product ID],A121,Purchases[Quantity])</f>
        <v>0</v>
      </c>
      <c r="I121">
        <f>SUMIF(Sales[Product Name],Inventory[[#This Row],[Product Name]],Sales[Quantity Sold])</f>
        <v>0</v>
      </c>
      <c r="J121">
        <f t="shared" si="3"/>
        <v>0</v>
      </c>
      <c r="N121">
        <f t="shared" si="4"/>
        <v>0</v>
      </c>
    </row>
    <row r="122" spans="4:14" ht="15">
      <c r="D122" s="26"/>
      <c r="E122" s="26"/>
      <c r="F122" t="str">
        <f ca="1">IF(Inventory[[#This Row],[Product Category]]="","",IF(E122&lt;TODAY(),"EXPIRED",
IF(E122&lt;=TODAY()+30,"&lt;30 DAYS",
IF(E122&lt;=TODAY()+60,"&lt;60 DAYS",IF(E122=0,"","")))))</f>
        <v/>
      </c>
      <c r="H122">
        <f>SUMIF(Purchases[Product ID],A122,Purchases[Quantity])</f>
        <v>0</v>
      </c>
      <c r="I122">
        <f>SUMIF(Sales[Product Name],Inventory[[#This Row],[Product Name]],Sales[Quantity Sold])</f>
        <v>0</v>
      </c>
      <c r="J122">
        <f t="shared" si="3"/>
        <v>0</v>
      </c>
      <c r="N122">
        <f t="shared" si="4"/>
        <v>0</v>
      </c>
    </row>
    <row r="123" spans="4:14" ht="15">
      <c r="D123" s="26"/>
      <c r="E123" s="26"/>
      <c r="F123" t="str">
        <f ca="1">IF(Inventory[[#This Row],[Product Category]]="","",IF(E123&lt;TODAY(),"EXPIRED",
IF(E123&lt;=TODAY()+30,"&lt;30 DAYS",
IF(E123&lt;=TODAY()+60,"&lt;60 DAYS",IF(E123=0,"","")))))</f>
        <v/>
      </c>
      <c r="H123">
        <f>SUMIF(Purchases[Product ID],A123,Purchases[Quantity])</f>
        <v>0</v>
      </c>
      <c r="I123">
        <f>SUMIF(Sales[Product Name],Inventory[[#This Row],[Product Name]],Sales[Quantity Sold])</f>
        <v>0</v>
      </c>
      <c r="J123">
        <f t="shared" si="3"/>
        <v>0</v>
      </c>
      <c r="N123">
        <f t="shared" si="4"/>
        <v>0</v>
      </c>
    </row>
    <row r="124" spans="4:14" ht="15">
      <c r="D124" s="26"/>
      <c r="E124" s="26"/>
      <c r="F124" t="str">
        <f ca="1">IF(Inventory[[#This Row],[Product Category]]="","",IF(E124&lt;TODAY(),"EXPIRED",
IF(E124&lt;=TODAY()+30,"&lt;30 DAYS",
IF(E124&lt;=TODAY()+60,"&lt;60 DAYS",IF(E124=0,"","")))))</f>
        <v/>
      </c>
      <c r="H124">
        <f>SUMIF(Purchases[Product ID],A124,Purchases[Quantity])</f>
        <v>0</v>
      </c>
      <c r="I124">
        <f>SUMIF(Sales[Product Name],Inventory[[#This Row],[Product Name]],Sales[Quantity Sold])</f>
        <v>0</v>
      </c>
      <c r="J124">
        <f t="shared" si="3"/>
        <v>0</v>
      </c>
      <c r="N124">
        <f t="shared" si="4"/>
        <v>0</v>
      </c>
    </row>
    <row r="125" spans="4:14" ht="15">
      <c r="D125" s="26"/>
      <c r="E125" s="26"/>
      <c r="F125" t="str">
        <f ca="1">IF(Inventory[[#This Row],[Product Category]]="","",IF(E125&lt;TODAY(),"EXPIRED",
IF(E125&lt;=TODAY()+30,"&lt;30 DAYS",
IF(E125&lt;=TODAY()+60,"&lt;60 DAYS",IF(E125=0,"","")))))</f>
        <v/>
      </c>
      <c r="H125">
        <f>SUMIF(Purchases[Product ID],A125,Purchases[Quantity])</f>
        <v>0</v>
      </c>
      <c r="I125">
        <f>SUMIF(Sales[Product Name],Inventory[[#This Row],[Product Name]],Sales[Quantity Sold])</f>
        <v>0</v>
      </c>
      <c r="J125">
        <f t="shared" si="3"/>
        <v>0</v>
      </c>
      <c r="N125">
        <f t="shared" si="4"/>
        <v>0</v>
      </c>
    </row>
    <row r="126" spans="4:14" ht="15">
      <c r="D126" s="26"/>
      <c r="E126" s="26"/>
      <c r="F126" t="str">
        <f ca="1">IF(Inventory[[#This Row],[Product Category]]="","",IF(E126&lt;TODAY(),"EXPIRED",
IF(E126&lt;=TODAY()+30,"&lt;30 DAYS",
IF(E126&lt;=TODAY()+60,"&lt;60 DAYS",IF(E126=0,"","")))))</f>
        <v/>
      </c>
      <c r="H126">
        <f>SUMIF(Purchases[Product ID],A126,Purchases[Quantity])</f>
        <v>0</v>
      </c>
      <c r="I126">
        <f>SUMIF(Sales[Product Name],Inventory[[#This Row],[Product Name]],Sales[Quantity Sold])</f>
        <v>0</v>
      </c>
      <c r="J126">
        <f t="shared" si="3"/>
        <v>0</v>
      </c>
      <c r="N126">
        <f t="shared" si="4"/>
        <v>0</v>
      </c>
    </row>
    <row r="127" spans="4:14" ht="15">
      <c r="D127" s="26"/>
      <c r="E127" s="26"/>
      <c r="F127" t="str">
        <f ca="1">IF(Inventory[[#This Row],[Product Category]]="","",IF(E127&lt;TODAY(),"EXPIRED",
IF(E127&lt;=TODAY()+30,"&lt;30 DAYS",
IF(E127&lt;=TODAY()+60,"&lt;60 DAYS",IF(E127=0,"","")))))</f>
        <v/>
      </c>
      <c r="H127">
        <f>SUMIF(Purchases[Product ID],A127,Purchases[Quantity])</f>
        <v>0</v>
      </c>
      <c r="I127">
        <f>SUMIF(Sales[Product Name],Inventory[[#This Row],[Product Name]],Sales[Quantity Sold])</f>
        <v>0</v>
      </c>
      <c r="J127">
        <f t="shared" si="3"/>
        <v>0</v>
      </c>
      <c r="N127">
        <f t="shared" si="4"/>
        <v>0</v>
      </c>
    </row>
    <row r="128" spans="4:14" ht="15">
      <c r="D128" s="26"/>
      <c r="E128" s="26"/>
      <c r="F128" t="str">
        <f ca="1">IF(Inventory[[#This Row],[Product Category]]="","",IF(E128&lt;TODAY(),"EXPIRED",
IF(E128&lt;=TODAY()+30,"&lt;30 DAYS",
IF(E128&lt;=TODAY()+60,"&lt;60 DAYS",IF(E128=0,"","")))))</f>
        <v/>
      </c>
      <c r="H128">
        <f>SUMIF(Purchases[Product ID],A128,Purchases[Quantity])</f>
        <v>0</v>
      </c>
      <c r="I128">
        <f>SUMIF(Sales[Product Name],Inventory[[#This Row],[Product Name]],Sales[Quantity Sold])</f>
        <v>0</v>
      </c>
      <c r="J128">
        <f t="shared" si="3"/>
        <v>0</v>
      </c>
      <c r="N128">
        <f t="shared" si="4"/>
        <v>0</v>
      </c>
    </row>
    <row r="129" spans="4:14" ht="15">
      <c r="D129" s="26"/>
      <c r="E129" s="26"/>
      <c r="F129" t="str">
        <f ca="1">IF(Inventory[[#This Row],[Product Category]]="","",IF(E129&lt;TODAY(),"EXPIRED",
IF(E129&lt;=TODAY()+30,"&lt;30 DAYS",
IF(E129&lt;=TODAY()+60,"&lt;60 DAYS",IF(E129=0,"","")))))</f>
        <v/>
      </c>
      <c r="H129">
        <f>SUMIF(Purchases[Product ID],A129,Purchases[Quantity])</f>
        <v>0</v>
      </c>
      <c r="I129">
        <f>SUMIF(Sales[Product Name],Inventory[[#This Row],[Product Name]],Sales[Quantity Sold])</f>
        <v>0</v>
      </c>
      <c r="J129">
        <f t="shared" si="3"/>
        <v>0</v>
      </c>
      <c r="N129">
        <f t="shared" si="4"/>
        <v>0</v>
      </c>
    </row>
    <row r="130" spans="4:14" ht="15">
      <c r="D130" s="26"/>
      <c r="E130" s="26"/>
      <c r="F130" t="str">
        <f ca="1">IF(Inventory[[#This Row],[Product Category]]="","",IF(E130&lt;TODAY(),"EXPIRED",
IF(E130&lt;=TODAY()+30,"&lt;30 DAYS",
IF(E130&lt;=TODAY()+60,"&lt;60 DAYS",IF(E130=0,"","")))))</f>
        <v/>
      </c>
      <c r="H130">
        <f>SUMIF(Purchases[Product ID],A130,Purchases[Quantity])</f>
        <v>0</v>
      </c>
      <c r="I130">
        <f>SUMIF(Sales[Product Name],Inventory[[#This Row],[Product Name]],Sales[Quantity Sold])</f>
        <v>0</v>
      </c>
      <c r="J130">
        <f t="shared" si="3"/>
        <v>0</v>
      </c>
      <c r="N130">
        <f t="shared" si="4"/>
        <v>0</v>
      </c>
    </row>
    <row r="131" spans="4:14" ht="15">
      <c r="D131" s="26"/>
      <c r="E131" s="26"/>
      <c r="F131" t="str">
        <f ca="1">IF(Inventory[[#This Row],[Product Category]]="","",IF(E131&lt;TODAY(),"EXPIRED",
IF(E131&lt;=TODAY()+30,"&lt;30 DAYS",
IF(E131&lt;=TODAY()+60,"&lt;60 DAYS",IF(E131=0,"","")))))</f>
        <v/>
      </c>
      <c r="H131">
        <f>SUMIF(Purchases[Product ID],A131,Purchases[Quantity])</f>
        <v>0</v>
      </c>
      <c r="I131">
        <f>SUMIF(Sales[Product Name],Inventory[[#This Row],[Product Name]],Sales[Quantity Sold])</f>
        <v>0</v>
      </c>
      <c r="J131">
        <f t="shared" si="3"/>
        <v>0</v>
      </c>
      <c r="N131">
        <f t="shared" si="4"/>
        <v>0</v>
      </c>
    </row>
    <row r="132" spans="4:14" ht="15">
      <c r="D132" s="26"/>
      <c r="E132" s="26"/>
      <c r="F132" t="str">
        <f ca="1">IF(Inventory[[#This Row],[Product Category]]="","",IF(E132&lt;TODAY(),"EXPIRED",
IF(E132&lt;=TODAY()+30,"&lt;30 DAYS",
IF(E132&lt;=TODAY()+60,"&lt;60 DAYS",IF(E132=0,"","")))))</f>
        <v/>
      </c>
      <c r="H132">
        <f>SUMIF(Purchases[Product ID],A132,Purchases[Quantity])</f>
        <v>0</v>
      </c>
      <c r="I132">
        <f>SUMIF(Sales[Product Name],Inventory[[#This Row],[Product Name]],Sales[Quantity Sold])</f>
        <v>0</v>
      </c>
      <c r="J132">
        <f t="shared" si="3"/>
        <v>0</v>
      </c>
      <c r="N132">
        <f t="shared" si="4"/>
        <v>0</v>
      </c>
    </row>
    <row r="133" spans="4:14" ht="15">
      <c r="D133" s="26"/>
      <c r="E133" s="26"/>
      <c r="F133" t="str">
        <f ca="1">IF(Inventory[[#This Row],[Product Category]]="","",IF(E133&lt;TODAY(),"EXPIRED",
IF(E133&lt;=TODAY()+30,"&lt;30 DAYS",
IF(E133&lt;=TODAY()+60,"&lt;60 DAYS",IF(E133=0,"","")))))</f>
        <v/>
      </c>
      <c r="H133">
        <f>SUMIF(Purchases[Product ID],A133,Purchases[Quantity])</f>
        <v>0</v>
      </c>
      <c r="I133">
        <f>SUMIF(Sales[Product Name],Inventory[[#This Row],[Product Name]],Sales[Quantity Sold])</f>
        <v>0</v>
      </c>
      <c r="J133">
        <f t="shared" si="3"/>
        <v>0</v>
      </c>
      <c r="N133">
        <f t="shared" si="4"/>
        <v>0</v>
      </c>
    </row>
    <row r="134" spans="4:14" ht="15">
      <c r="D134" s="26"/>
      <c r="E134" s="26"/>
      <c r="F134" t="str">
        <f ca="1">IF(Inventory[[#This Row],[Product Category]]="","",IF(E134&lt;TODAY(),"EXPIRED",
IF(E134&lt;=TODAY()+30,"&lt;30 DAYS",
IF(E134&lt;=TODAY()+60,"&lt;60 DAYS",IF(E134=0,"","")))))</f>
        <v/>
      </c>
      <c r="H134">
        <f>SUMIF(Purchases[Product ID],A134,Purchases[Quantity])</f>
        <v>0</v>
      </c>
      <c r="I134">
        <f>SUMIF(Sales[Product Name],Inventory[[#This Row],[Product Name]],Sales[Quantity Sold])</f>
        <v>0</v>
      </c>
      <c r="J134">
        <f t="shared" si="3"/>
        <v>0</v>
      </c>
      <c r="N134">
        <f t="shared" si="4"/>
        <v>0</v>
      </c>
    </row>
    <row r="135" spans="4:14" ht="15">
      <c r="D135" s="26"/>
      <c r="E135" s="26"/>
      <c r="F135" t="str">
        <f ca="1">IF(Inventory[[#This Row],[Product Category]]="","",IF(E135&lt;TODAY(),"EXPIRED",
IF(E135&lt;=TODAY()+30,"&lt;30 DAYS",
IF(E135&lt;=TODAY()+60,"&lt;60 DAYS",IF(E135=0,"","")))))</f>
        <v/>
      </c>
      <c r="H135">
        <f>SUMIF(Purchases[Product ID],A135,Purchases[Quantity])</f>
        <v>0</v>
      </c>
      <c r="I135">
        <f>SUMIF(Sales[Product Name],Inventory[[#This Row],[Product Name]],Sales[Quantity Sold])</f>
        <v>0</v>
      </c>
      <c r="J135">
        <f t="shared" si="3"/>
        <v>0</v>
      </c>
      <c r="N135">
        <f t="shared" si="4"/>
        <v>0</v>
      </c>
    </row>
    <row r="136" spans="4:14" ht="15">
      <c r="D136" s="26"/>
      <c r="E136" s="26"/>
      <c r="F136" t="str">
        <f ca="1">IF(Inventory[[#This Row],[Product Category]]="","",IF(E136&lt;TODAY(),"EXPIRED",
IF(E136&lt;=TODAY()+30,"&lt;30 DAYS",
IF(E136&lt;=TODAY()+60,"&lt;60 DAYS",IF(E136=0,"","")))))</f>
        <v/>
      </c>
      <c r="H136">
        <f>SUMIF(Purchases[Product ID],A136,Purchases[Quantity])</f>
        <v>0</v>
      </c>
      <c r="I136">
        <f>SUMIF(Sales[Product Name],Inventory[[#This Row],[Product Name]],Sales[Quantity Sold])</f>
        <v>0</v>
      </c>
      <c r="J136">
        <f t="shared" ref="J136:J199" si="5">G136+H136-I136</f>
        <v>0</v>
      </c>
      <c r="N136">
        <f t="shared" ref="N136:N199" si="6">J136*L136</f>
        <v>0</v>
      </c>
    </row>
    <row r="137" spans="4:14" ht="15">
      <c r="D137" s="26"/>
      <c r="E137" s="26"/>
      <c r="F137" t="str">
        <f ca="1">IF(Inventory[[#This Row],[Product Category]]="","",IF(E137&lt;TODAY(),"EXPIRED",
IF(E137&lt;=TODAY()+30,"&lt;30 DAYS",
IF(E137&lt;=TODAY()+60,"&lt;60 DAYS",IF(E137=0,"","")))))</f>
        <v/>
      </c>
      <c r="H137">
        <f>SUMIF(Purchases[Product ID],A137,Purchases[Quantity])</f>
        <v>0</v>
      </c>
      <c r="I137">
        <f>SUMIF(Sales[Product Name],Inventory[[#This Row],[Product Name]],Sales[Quantity Sold])</f>
        <v>0</v>
      </c>
      <c r="J137">
        <f t="shared" si="5"/>
        <v>0</v>
      </c>
      <c r="N137">
        <f t="shared" si="6"/>
        <v>0</v>
      </c>
    </row>
    <row r="138" spans="4:14" ht="15">
      <c r="D138" s="26"/>
      <c r="E138" s="26"/>
      <c r="F138" t="str">
        <f ca="1">IF(Inventory[[#This Row],[Product Category]]="","",IF(E138&lt;TODAY(),"EXPIRED",
IF(E138&lt;=TODAY()+30,"&lt;30 DAYS",
IF(E138&lt;=TODAY()+60,"&lt;60 DAYS",IF(E138=0,"","")))))</f>
        <v/>
      </c>
      <c r="H138">
        <f>SUMIF(Purchases[Product ID],A138,Purchases[Quantity])</f>
        <v>0</v>
      </c>
      <c r="I138">
        <f>SUMIF(Sales[Product Name],Inventory[[#This Row],[Product Name]],Sales[Quantity Sold])</f>
        <v>0</v>
      </c>
      <c r="J138">
        <f t="shared" si="5"/>
        <v>0</v>
      </c>
      <c r="N138">
        <f t="shared" si="6"/>
        <v>0</v>
      </c>
    </row>
    <row r="139" spans="4:14" ht="15">
      <c r="D139" s="26"/>
      <c r="E139" s="26"/>
      <c r="F139" t="str">
        <f ca="1">IF(Inventory[[#This Row],[Product Category]]="","",IF(E139&lt;TODAY(),"EXPIRED",
IF(E139&lt;=TODAY()+30,"&lt;30 DAYS",
IF(E139&lt;=TODAY()+60,"&lt;60 DAYS",IF(E139=0,"","")))))</f>
        <v/>
      </c>
      <c r="H139">
        <f>SUMIF(Purchases[Product ID],A139,Purchases[Quantity])</f>
        <v>0</v>
      </c>
      <c r="I139">
        <f>SUMIF(Sales[Product Name],Inventory[[#This Row],[Product Name]],Sales[Quantity Sold])</f>
        <v>0</v>
      </c>
      <c r="J139">
        <f t="shared" si="5"/>
        <v>0</v>
      </c>
      <c r="N139">
        <f t="shared" si="6"/>
        <v>0</v>
      </c>
    </row>
    <row r="140" spans="4:14" ht="15">
      <c r="D140" s="26"/>
      <c r="E140" s="26"/>
      <c r="F140" t="str">
        <f ca="1">IF(Inventory[[#This Row],[Product Category]]="","",IF(E140&lt;TODAY(),"EXPIRED",
IF(E140&lt;=TODAY()+30,"&lt;30 DAYS",
IF(E140&lt;=TODAY()+60,"&lt;60 DAYS",IF(E140=0,"","")))))</f>
        <v/>
      </c>
      <c r="H140">
        <f>SUMIF(Purchases[Product ID],A140,Purchases[Quantity])</f>
        <v>0</v>
      </c>
      <c r="I140">
        <f>SUMIF(Sales[Product Name],Inventory[[#This Row],[Product Name]],Sales[Quantity Sold])</f>
        <v>0</v>
      </c>
      <c r="J140">
        <f t="shared" si="5"/>
        <v>0</v>
      </c>
      <c r="N140">
        <f t="shared" si="6"/>
        <v>0</v>
      </c>
    </row>
    <row r="141" spans="4:14" ht="15">
      <c r="D141" s="26"/>
      <c r="E141" s="26"/>
      <c r="F141" t="str">
        <f ca="1">IF(Inventory[[#This Row],[Product Category]]="","",IF(E141&lt;TODAY(),"EXPIRED",
IF(E141&lt;=TODAY()+30,"&lt;30 DAYS",
IF(E141&lt;=TODAY()+60,"&lt;60 DAYS",IF(E141=0,"","")))))</f>
        <v/>
      </c>
      <c r="H141">
        <f>SUMIF(Purchases[Product ID],A141,Purchases[Quantity])</f>
        <v>0</v>
      </c>
      <c r="I141">
        <f>SUMIF(Sales[Product Name],Inventory[[#This Row],[Product Name]],Sales[Quantity Sold])</f>
        <v>0</v>
      </c>
      <c r="J141">
        <f t="shared" si="5"/>
        <v>0</v>
      </c>
      <c r="N141">
        <f t="shared" si="6"/>
        <v>0</v>
      </c>
    </row>
    <row r="142" spans="4:14" ht="15">
      <c r="D142" s="26"/>
      <c r="E142" s="26"/>
      <c r="F142" t="str">
        <f ca="1">IF(Inventory[[#This Row],[Product Category]]="","",IF(E142&lt;TODAY(),"EXPIRED",
IF(E142&lt;=TODAY()+30,"&lt;30 DAYS",
IF(E142&lt;=TODAY()+60,"&lt;60 DAYS",IF(E142=0,"","")))))</f>
        <v/>
      </c>
      <c r="H142">
        <f>SUMIF(Purchases[Product ID],A142,Purchases[Quantity])</f>
        <v>0</v>
      </c>
      <c r="I142">
        <f>SUMIF(Sales[Product Name],Inventory[[#This Row],[Product Name]],Sales[Quantity Sold])</f>
        <v>0</v>
      </c>
      <c r="J142">
        <f t="shared" si="5"/>
        <v>0</v>
      </c>
      <c r="N142">
        <f t="shared" si="6"/>
        <v>0</v>
      </c>
    </row>
    <row r="143" spans="4:14" ht="15">
      <c r="D143" s="26"/>
      <c r="E143" s="26"/>
      <c r="F143" t="str">
        <f ca="1">IF(Inventory[[#This Row],[Product Category]]="","",IF(E143&lt;TODAY(),"EXPIRED",
IF(E143&lt;=TODAY()+30,"&lt;30 DAYS",
IF(E143&lt;=TODAY()+60,"&lt;60 DAYS",IF(E143=0,"","")))))</f>
        <v/>
      </c>
      <c r="H143">
        <f>SUMIF(Purchases[Product ID],A143,Purchases[Quantity])</f>
        <v>0</v>
      </c>
      <c r="I143">
        <f>SUMIF(Sales[Product Name],Inventory[[#This Row],[Product Name]],Sales[Quantity Sold])</f>
        <v>0</v>
      </c>
      <c r="J143">
        <f t="shared" si="5"/>
        <v>0</v>
      </c>
      <c r="N143">
        <f t="shared" si="6"/>
        <v>0</v>
      </c>
    </row>
    <row r="144" spans="4:14" ht="15">
      <c r="D144" s="26"/>
      <c r="E144" s="26"/>
      <c r="F144" t="str">
        <f ca="1">IF(Inventory[[#This Row],[Product Category]]="","",IF(E144&lt;TODAY(),"EXPIRED",
IF(E144&lt;=TODAY()+30,"&lt;30 DAYS",
IF(E144&lt;=TODAY()+60,"&lt;60 DAYS",IF(E144=0,"","")))))</f>
        <v/>
      </c>
      <c r="H144">
        <f>SUMIF(Purchases[Product ID],A144,Purchases[Quantity])</f>
        <v>0</v>
      </c>
      <c r="I144">
        <f>SUMIF(Sales[Product Name],Inventory[[#This Row],[Product Name]],Sales[Quantity Sold])</f>
        <v>0</v>
      </c>
      <c r="J144">
        <f t="shared" si="5"/>
        <v>0</v>
      </c>
      <c r="N144">
        <f t="shared" si="6"/>
        <v>0</v>
      </c>
    </row>
    <row r="145" spans="4:14" ht="15">
      <c r="D145" s="26"/>
      <c r="E145" s="26"/>
      <c r="F145" t="str">
        <f ca="1">IF(Inventory[[#This Row],[Product Category]]="","",IF(E145&lt;TODAY(),"EXPIRED",
IF(E145&lt;=TODAY()+30,"&lt;30 DAYS",
IF(E145&lt;=TODAY()+60,"&lt;60 DAYS",IF(E145=0,"","")))))</f>
        <v/>
      </c>
      <c r="H145">
        <f>SUMIF(Purchases[Product ID],A145,Purchases[Quantity])</f>
        <v>0</v>
      </c>
      <c r="I145">
        <f>SUMIF(Sales[Product Name],Inventory[[#This Row],[Product Name]],Sales[Quantity Sold])</f>
        <v>0</v>
      </c>
      <c r="J145">
        <f t="shared" si="5"/>
        <v>0</v>
      </c>
      <c r="N145">
        <f t="shared" si="6"/>
        <v>0</v>
      </c>
    </row>
    <row r="146" spans="4:14" ht="15">
      <c r="D146" s="26"/>
      <c r="E146" s="26"/>
      <c r="F146" t="str">
        <f ca="1">IF(Inventory[[#This Row],[Product Category]]="","",IF(E146&lt;TODAY(),"EXPIRED",
IF(E146&lt;=TODAY()+30,"&lt;30 DAYS",
IF(E146&lt;=TODAY()+60,"&lt;60 DAYS",IF(E146=0,"","")))))</f>
        <v/>
      </c>
      <c r="H146">
        <f>SUMIF(Purchases[Product ID],A146,Purchases[Quantity])</f>
        <v>0</v>
      </c>
      <c r="I146">
        <f>SUMIF(Sales[Product Name],Inventory[[#This Row],[Product Name]],Sales[Quantity Sold])</f>
        <v>0</v>
      </c>
      <c r="J146">
        <f t="shared" si="5"/>
        <v>0</v>
      </c>
      <c r="N146">
        <f t="shared" si="6"/>
        <v>0</v>
      </c>
    </row>
    <row r="147" spans="4:14" ht="15">
      <c r="D147" s="26"/>
      <c r="E147" s="26"/>
      <c r="F147" t="str">
        <f ca="1">IF(Inventory[[#This Row],[Product Category]]="","",IF(E147&lt;TODAY(),"EXPIRED",
IF(E147&lt;=TODAY()+30,"&lt;30 DAYS",
IF(E147&lt;=TODAY()+60,"&lt;60 DAYS",IF(E147=0,"","")))))</f>
        <v/>
      </c>
      <c r="H147">
        <f>SUMIF(Purchases[Product ID],A147,Purchases[Quantity])</f>
        <v>0</v>
      </c>
      <c r="I147">
        <f>SUMIF(Sales[Product Name],Inventory[[#This Row],[Product Name]],Sales[Quantity Sold])</f>
        <v>0</v>
      </c>
      <c r="J147">
        <f t="shared" si="5"/>
        <v>0</v>
      </c>
      <c r="N147">
        <f t="shared" si="6"/>
        <v>0</v>
      </c>
    </row>
    <row r="148" spans="4:14" ht="15">
      <c r="D148" s="26"/>
      <c r="E148" s="26"/>
      <c r="F148" t="str">
        <f ca="1">IF(Inventory[[#This Row],[Product Category]]="","",IF(E148&lt;TODAY(),"EXPIRED",
IF(E148&lt;=TODAY()+30,"&lt;30 DAYS",
IF(E148&lt;=TODAY()+60,"&lt;60 DAYS",IF(E148=0,"","")))))</f>
        <v/>
      </c>
      <c r="H148">
        <f>SUMIF(Purchases[Product ID],A148,Purchases[Quantity])</f>
        <v>0</v>
      </c>
      <c r="I148">
        <f>SUMIF(Sales[Product Name],Inventory[[#This Row],[Product Name]],Sales[Quantity Sold])</f>
        <v>0</v>
      </c>
      <c r="J148">
        <f t="shared" si="5"/>
        <v>0</v>
      </c>
      <c r="N148">
        <f t="shared" si="6"/>
        <v>0</v>
      </c>
    </row>
    <row r="149" spans="4:14" ht="15">
      <c r="D149" s="26"/>
      <c r="E149" s="26"/>
      <c r="F149" t="str">
        <f ca="1">IF(Inventory[[#This Row],[Product Category]]="","",IF(E149&lt;TODAY(),"EXPIRED",
IF(E149&lt;=TODAY()+30,"&lt;30 DAYS",
IF(E149&lt;=TODAY()+60,"&lt;60 DAYS",IF(E149=0,"","")))))</f>
        <v/>
      </c>
      <c r="H149">
        <f>SUMIF(Purchases[Product ID],A149,Purchases[Quantity])</f>
        <v>0</v>
      </c>
      <c r="I149">
        <f>SUMIF(Sales[Product Name],Inventory[[#This Row],[Product Name]],Sales[Quantity Sold])</f>
        <v>0</v>
      </c>
      <c r="J149">
        <f t="shared" si="5"/>
        <v>0</v>
      </c>
      <c r="N149">
        <f t="shared" si="6"/>
        <v>0</v>
      </c>
    </row>
    <row r="150" spans="4:14" ht="15">
      <c r="D150" s="26"/>
      <c r="E150" s="26"/>
      <c r="F150" t="str">
        <f ca="1">IF(Inventory[[#This Row],[Product Category]]="","",IF(E150&lt;TODAY(),"EXPIRED",
IF(E150&lt;=TODAY()+30,"&lt;30 DAYS",
IF(E150&lt;=TODAY()+60,"&lt;60 DAYS",IF(E150=0,"","")))))</f>
        <v/>
      </c>
      <c r="H150">
        <f>SUMIF(Purchases[Product ID],A150,Purchases[Quantity])</f>
        <v>0</v>
      </c>
      <c r="I150">
        <f>SUMIF(Sales[Product Name],Inventory[[#This Row],[Product Name]],Sales[Quantity Sold])</f>
        <v>0</v>
      </c>
      <c r="J150">
        <f t="shared" si="5"/>
        <v>0</v>
      </c>
      <c r="N150">
        <f t="shared" si="6"/>
        <v>0</v>
      </c>
    </row>
    <row r="151" spans="4:14" ht="15">
      <c r="D151" s="26"/>
      <c r="E151" s="26"/>
      <c r="F151" t="str">
        <f ca="1">IF(Inventory[[#This Row],[Product Category]]="","",IF(E151&lt;TODAY(),"EXPIRED",
IF(E151&lt;=TODAY()+30,"&lt;30 DAYS",
IF(E151&lt;=TODAY()+60,"&lt;60 DAYS",IF(E151=0,"","")))))</f>
        <v/>
      </c>
      <c r="H151">
        <f>SUMIF(Purchases[Product ID],A151,Purchases[Quantity])</f>
        <v>0</v>
      </c>
      <c r="I151">
        <f>SUMIF(Sales[Product Name],Inventory[[#This Row],[Product Name]],Sales[Quantity Sold])</f>
        <v>0</v>
      </c>
      <c r="J151">
        <f t="shared" si="5"/>
        <v>0</v>
      </c>
      <c r="N151">
        <f t="shared" si="6"/>
        <v>0</v>
      </c>
    </row>
    <row r="152" spans="4:14" ht="15">
      <c r="D152" s="26"/>
      <c r="E152" s="26"/>
      <c r="F152" t="str">
        <f ca="1">IF(Inventory[[#This Row],[Product Category]]="","",IF(E152&lt;TODAY(),"EXPIRED",
IF(E152&lt;=TODAY()+30,"&lt;30 DAYS",
IF(E152&lt;=TODAY()+60,"&lt;60 DAYS",IF(E152=0,"","")))))</f>
        <v/>
      </c>
      <c r="H152">
        <f>SUMIF(Purchases[Product ID],A152,Purchases[Quantity])</f>
        <v>0</v>
      </c>
      <c r="I152">
        <f>SUMIF(Sales[Product Name],Inventory[[#This Row],[Product Name]],Sales[Quantity Sold])</f>
        <v>0</v>
      </c>
      <c r="J152">
        <f t="shared" si="5"/>
        <v>0</v>
      </c>
      <c r="N152">
        <f t="shared" si="6"/>
        <v>0</v>
      </c>
    </row>
    <row r="153" spans="4:14" ht="15">
      <c r="D153" s="26"/>
      <c r="E153" s="26"/>
      <c r="F153" t="str">
        <f ca="1">IF(Inventory[[#This Row],[Product Category]]="","",IF(E153&lt;TODAY(),"EXPIRED",
IF(E153&lt;=TODAY()+30,"&lt;30 DAYS",
IF(E153&lt;=TODAY()+60,"&lt;60 DAYS",IF(E153=0,"","")))))</f>
        <v/>
      </c>
      <c r="H153">
        <f>SUMIF(Purchases[Product ID],A153,Purchases[Quantity])</f>
        <v>0</v>
      </c>
      <c r="I153">
        <f>SUMIF(Sales[Product Name],Inventory[[#This Row],[Product Name]],Sales[Quantity Sold])</f>
        <v>0</v>
      </c>
      <c r="J153">
        <f t="shared" si="5"/>
        <v>0</v>
      </c>
      <c r="N153">
        <f t="shared" si="6"/>
        <v>0</v>
      </c>
    </row>
    <row r="154" spans="4:14" ht="15">
      <c r="D154" s="26"/>
      <c r="E154" s="26"/>
      <c r="F154" t="str">
        <f ca="1">IF(Inventory[[#This Row],[Product Category]]="","",IF(E154&lt;TODAY(),"EXPIRED",
IF(E154&lt;=TODAY()+30,"&lt;30 DAYS",
IF(E154&lt;=TODAY()+60,"&lt;60 DAYS",IF(E154=0,"","")))))</f>
        <v/>
      </c>
      <c r="H154">
        <f>SUMIF(Purchases[Product ID],A154,Purchases[Quantity])</f>
        <v>0</v>
      </c>
      <c r="I154">
        <f>SUMIF(Sales[Product Name],Inventory[[#This Row],[Product Name]],Sales[Quantity Sold])</f>
        <v>0</v>
      </c>
      <c r="J154">
        <f t="shared" si="5"/>
        <v>0</v>
      </c>
      <c r="N154">
        <f t="shared" si="6"/>
        <v>0</v>
      </c>
    </row>
    <row r="155" spans="4:14" ht="15">
      <c r="D155" s="26"/>
      <c r="E155" s="26"/>
      <c r="F155" t="str">
        <f ca="1">IF(Inventory[[#This Row],[Product Category]]="","",IF(E155&lt;TODAY(),"EXPIRED",
IF(E155&lt;=TODAY()+30,"&lt;30 DAYS",
IF(E155&lt;=TODAY()+60,"&lt;60 DAYS",IF(E155=0,"","")))))</f>
        <v/>
      </c>
      <c r="H155">
        <f>SUMIF(Purchases[Product ID],A155,Purchases[Quantity])</f>
        <v>0</v>
      </c>
      <c r="I155">
        <f>SUMIF(Sales[Product Name],Inventory[[#This Row],[Product Name]],Sales[Quantity Sold])</f>
        <v>0</v>
      </c>
      <c r="J155">
        <f t="shared" si="5"/>
        <v>0</v>
      </c>
      <c r="N155">
        <f t="shared" si="6"/>
        <v>0</v>
      </c>
    </row>
    <row r="156" spans="4:14" ht="15">
      <c r="D156" s="26"/>
      <c r="E156" s="26"/>
      <c r="F156" t="str">
        <f ca="1">IF(Inventory[[#This Row],[Product Category]]="","",IF(E156&lt;TODAY(),"EXPIRED",
IF(E156&lt;=TODAY()+30,"&lt;30 DAYS",
IF(E156&lt;=TODAY()+60,"&lt;60 DAYS",IF(E156=0,"","")))))</f>
        <v/>
      </c>
      <c r="H156">
        <f>SUMIF(Purchases[Product ID],A156,Purchases[Quantity])</f>
        <v>0</v>
      </c>
      <c r="I156">
        <f>SUMIF(Sales[Product Name],Inventory[[#This Row],[Product Name]],Sales[Quantity Sold])</f>
        <v>0</v>
      </c>
      <c r="J156">
        <f t="shared" si="5"/>
        <v>0</v>
      </c>
      <c r="N156">
        <f t="shared" si="6"/>
        <v>0</v>
      </c>
    </row>
    <row r="157" spans="4:14" ht="15">
      <c r="D157" s="26"/>
      <c r="E157" s="26"/>
      <c r="F157" t="str">
        <f ca="1">IF(Inventory[[#This Row],[Product Category]]="","",IF(E157&lt;TODAY(),"EXPIRED",
IF(E157&lt;=TODAY()+30,"&lt;30 DAYS",
IF(E157&lt;=TODAY()+60,"&lt;60 DAYS",IF(E157=0,"","")))))</f>
        <v/>
      </c>
      <c r="H157">
        <f>SUMIF(Purchases[Product ID],A157,Purchases[Quantity])</f>
        <v>0</v>
      </c>
      <c r="I157">
        <f>SUMIF(Sales[Product Name],Inventory[[#This Row],[Product Name]],Sales[Quantity Sold])</f>
        <v>0</v>
      </c>
      <c r="J157">
        <f t="shared" si="5"/>
        <v>0</v>
      </c>
      <c r="N157">
        <f t="shared" si="6"/>
        <v>0</v>
      </c>
    </row>
    <row r="158" spans="4:14" ht="15">
      <c r="D158" s="26"/>
      <c r="E158" s="26"/>
      <c r="F158" t="str">
        <f ca="1">IF(Inventory[[#This Row],[Product Category]]="","",IF(E158&lt;TODAY(),"EXPIRED",
IF(E158&lt;=TODAY()+30,"&lt;30 DAYS",
IF(E158&lt;=TODAY()+60,"&lt;60 DAYS",IF(E158=0,"","")))))</f>
        <v/>
      </c>
      <c r="H158">
        <f>SUMIF(Purchases[Product ID],A158,Purchases[Quantity])</f>
        <v>0</v>
      </c>
      <c r="I158">
        <f>SUMIF(Sales[Product Name],Inventory[[#This Row],[Product Name]],Sales[Quantity Sold])</f>
        <v>0</v>
      </c>
      <c r="J158">
        <f t="shared" si="5"/>
        <v>0</v>
      </c>
      <c r="N158">
        <f t="shared" si="6"/>
        <v>0</v>
      </c>
    </row>
    <row r="159" spans="4:14" ht="15">
      <c r="D159" s="26"/>
      <c r="E159" s="26"/>
      <c r="F159" t="str">
        <f ca="1">IF(Inventory[[#This Row],[Product Category]]="","",IF(E159&lt;TODAY(),"EXPIRED",
IF(E159&lt;=TODAY()+30,"&lt;30 DAYS",
IF(E159&lt;=TODAY()+60,"&lt;60 DAYS",IF(E159=0,"","")))))</f>
        <v/>
      </c>
      <c r="H159">
        <f>SUMIF(Purchases[Product ID],A159,Purchases[Quantity])</f>
        <v>0</v>
      </c>
      <c r="I159">
        <f>SUMIF(Sales[Product Name],Inventory[[#This Row],[Product Name]],Sales[Quantity Sold])</f>
        <v>0</v>
      </c>
      <c r="J159">
        <f t="shared" si="5"/>
        <v>0</v>
      </c>
      <c r="N159">
        <f t="shared" si="6"/>
        <v>0</v>
      </c>
    </row>
    <row r="160" spans="4:14" ht="15">
      <c r="D160" s="26"/>
      <c r="E160" s="26"/>
      <c r="F160" t="str">
        <f ca="1">IF(Inventory[[#This Row],[Product Category]]="","",IF(E160&lt;TODAY(),"EXPIRED",
IF(E160&lt;=TODAY()+30,"&lt;30 DAYS",
IF(E160&lt;=TODAY()+60,"&lt;60 DAYS",IF(E160=0,"","")))))</f>
        <v/>
      </c>
      <c r="H160">
        <f>SUMIF(Purchases[Product ID],A160,Purchases[Quantity])</f>
        <v>0</v>
      </c>
      <c r="I160">
        <f>SUMIF(Sales[Product Name],Inventory[[#This Row],[Product Name]],Sales[Quantity Sold])</f>
        <v>0</v>
      </c>
      <c r="J160">
        <f t="shared" si="5"/>
        <v>0</v>
      </c>
      <c r="N160">
        <f t="shared" si="6"/>
        <v>0</v>
      </c>
    </row>
    <row r="161" spans="4:14" ht="15">
      <c r="D161" s="26"/>
      <c r="E161" s="26"/>
      <c r="F161" t="str">
        <f ca="1">IF(Inventory[[#This Row],[Product Category]]="","",IF(E161&lt;TODAY(),"EXPIRED",
IF(E161&lt;=TODAY()+30,"&lt;30 DAYS",
IF(E161&lt;=TODAY()+60,"&lt;60 DAYS",IF(E161=0,"","")))))</f>
        <v/>
      </c>
      <c r="H161">
        <f>SUMIF(Purchases[Product ID],A161,Purchases[Quantity])</f>
        <v>0</v>
      </c>
      <c r="I161">
        <f>SUMIF(Sales[Product Name],Inventory[[#This Row],[Product Name]],Sales[Quantity Sold])</f>
        <v>0</v>
      </c>
      <c r="J161">
        <f t="shared" si="5"/>
        <v>0</v>
      </c>
      <c r="N161">
        <f t="shared" si="6"/>
        <v>0</v>
      </c>
    </row>
    <row r="162" spans="4:14" ht="15">
      <c r="D162" s="26"/>
      <c r="E162" s="26"/>
      <c r="F162" t="str">
        <f ca="1">IF(Inventory[[#This Row],[Product Category]]="","",IF(E162&lt;TODAY(),"EXPIRED",
IF(E162&lt;=TODAY()+30,"&lt;30 DAYS",
IF(E162&lt;=TODAY()+60,"&lt;60 DAYS",IF(E162=0,"","")))))</f>
        <v/>
      </c>
      <c r="H162">
        <f>SUMIF(Purchases[Product ID],A162,Purchases[Quantity])</f>
        <v>0</v>
      </c>
      <c r="I162">
        <f>SUMIF(Sales[Product Name],Inventory[[#This Row],[Product Name]],Sales[Quantity Sold])</f>
        <v>0</v>
      </c>
      <c r="J162">
        <f t="shared" si="5"/>
        <v>0</v>
      </c>
      <c r="N162">
        <f t="shared" si="6"/>
        <v>0</v>
      </c>
    </row>
    <row r="163" spans="4:14" ht="15">
      <c r="D163" s="26"/>
      <c r="E163" s="26"/>
      <c r="F163" t="str">
        <f ca="1">IF(Inventory[[#This Row],[Product Category]]="","",IF(E163&lt;TODAY(),"EXPIRED",
IF(E163&lt;=TODAY()+30,"&lt;30 DAYS",
IF(E163&lt;=TODAY()+60,"&lt;60 DAYS",IF(E163=0,"","")))))</f>
        <v/>
      </c>
      <c r="H163">
        <f>SUMIF(Purchases[Product ID],A163,Purchases[Quantity])</f>
        <v>0</v>
      </c>
      <c r="I163">
        <f>SUMIF(Sales[Product Name],Inventory[[#This Row],[Product Name]],Sales[Quantity Sold])</f>
        <v>0</v>
      </c>
      <c r="J163">
        <f t="shared" si="5"/>
        <v>0</v>
      </c>
      <c r="N163">
        <f t="shared" si="6"/>
        <v>0</v>
      </c>
    </row>
    <row r="164" spans="4:14" ht="15">
      <c r="D164" s="26"/>
      <c r="E164" s="26"/>
      <c r="F164" t="str">
        <f ca="1">IF(Inventory[[#This Row],[Product Category]]="","",IF(E164&lt;TODAY(),"EXPIRED",
IF(E164&lt;=TODAY()+30,"&lt;30 DAYS",
IF(E164&lt;=TODAY()+60,"&lt;60 DAYS",IF(E164=0,"","")))))</f>
        <v/>
      </c>
      <c r="H164">
        <f>SUMIF(Purchases[Product ID],A164,Purchases[Quantity])</f>
        <v>0</v>
      </c>
      <c r="I164">
        <f>SUMIF(Sales[Product Name],Inventory[[#This Row],[Product Name]],Sales[Quantity Sold])</f>
        <v>0</v>
      </c>
      <c r="J164">
        <f t="shared" si="5"/>
        <v>0</v>
      </c>
      <c r="N164">
        <f t="shared" si="6"/>
        <v>0</v>
      </c>
    </row>
    <row r="165" spans="4:14" ht="15">
      <c r="D165" s="26"/>
      <c r="E165" s="26"/>
      <c r="F165" t="str">
        <f ca="1">IF(Inventory[[#This Row],[Product Category]]="","",IF(E165&lt;TODAY(),"EXPIRED",
IF(E165&lt;=TODAY()+30,"&lt;30 DAYS",
IF(E165&lt;=TODAY()+60,"&lt;60 DAYS",IF(E165=0,"","")))))</f>
        <v/>
      </c>
      <c r="H165">
        <f>SUMIF(Purchases[Product ID],A165,Purchases[Quantity])</f>
        <v>0</v>
      </c>
      <c r="I165">
        <f>SUMIF(Sales[Product Name],Inventory[[#This Row],[Product Name]],Sales[Quantity Sold])</f>
        <v>0</v>
      </c>
      <c r="J165">
        <f t="shared" si="5"/>
        <v>0</v>
      </c>
      <c r="N165">
        <f t="shared" si="6"/>
        <v>0</v>
      </c>
    </row>
    <row r="166" spans="4:14" ht="15">
      <c r="D166" s="26"/>
      <c r="E166" s="26"/>
      <c r="F166" t="str">
        <f ca="1">IF(Inventory[[#This Row],[Product Category]]="","",IF(E166&lt;TODAY(),"EXPIRED",
IF(E166&lt;=TODAY()+30,"&lt;30 DAYS",
IF(E166&lt;=TODAY()+60,"&lt;60 DAYS",IF(E166=0,"","")))))</f>
        <v/>
      </c>
      <c r="H166">
        <f>SUMIF(Purchases[Product ID],A166,Purchases[Quantity])</f>
        <v>0</v>
      </c>
      <c r="I166">
        <f>SUMIF(Sales[Product Name],Inventory[[#This Row],[Product Name]],Sales[Quantity Sold])</f>
        <v>0</v>
      </c>
      <c r="J166">
        <f t="shared" si="5"/>
        <v>0</v>
      </c>
      <c r="N166">
        <f t="shared" si="6"/>
        <v>0</v>
      </c>
    </row>
    <row r="167" spans="4:14" ht="15">
      <c r="D167" s="26"/>
      <c r="E167" s="26"/>
      <c r="F167" t="str">
        <f ca="1">IF(Inventory[[#This Row],[Product Category]]="","",IF(E167&lt;TODAY(),"EXPIRED",
IF(E167&lt;=TODAY()+30,"&lt;30 DAYS",
IF(E167&lt;=TODAY()+60,"&lt;60 DAYS",IF(E167=0,"","")))))</f>
        <v/>
      </c>
      <c r="H167">
        <f>SUMIF(Purchases[Product ID],A167,Purchases[Quantity])</f>
        <v>0</v>
      </c>
      <c r="I167">
        <f>SUMIF(Sales[Product Name],Inventory[[#This Row],[Product Name]],Sales[Quantity Sold])</f>
        <v>0</v>
      </c>
      <c r="J167">
        <f t="shared" si="5"/>
        <v>0</v>
      </c>
      <c r="N167">
        <f t="shared" si="6"/>
        <v>0</v>
      </c>
    </row>
    <row r="168" spans="4:14" ht="15">
      <c r="D168" s="26"/>
      <c r="E168" s="26"/>
      <c r="F168" t="str">
        <f ca="1">IF(Inventory[[#This Row],[Product Category]]="","",IF(E168&lt;TODAY(),"EXPIRED",
IF(E168&lt;=TODAY()+30,"&lt;30 DAYS",
IF(E168&lt;=TODAY()+60,"&lt;60 DAYS",IF(E168=0,"","")))))</f>
        <v/>
      </c>
      <c r="H168">
        <f>SUMIF(Purchases[Product ID],A168,Purchases[Quantity])</f>
        <v>0</v>
      </c>
      <c r="I168">
        <f>SUMIF(Sales[Product Name],Inventory[[#This Row],[Product Name]],Sales[Quantity Sold])</f>
        <v>0</v>
      </c>
      <c r="J168">
        <f t="shared" si="5"/>
        <v>0</v>
      </c>
      <c r="N168">
        <f t="shared" si="6"/>
        <v>0</v>
      </c>
    </row>
    <row r="169" spans="4:14" ht="15">
      <c r="D169" s="26"/>
      <c r="E169" s="26"/>
      <c r="F169" t="str">
        <f ca="1">IF(Inventory[[#This Row],[Product Category]]="","",IF(E169&lt;TODAY(),"EXPIRED",
IF(E169&lt;=TODAY()+30,"&lt;30 DAYS",
IF(E169&lt;=TODAY()+60,"&lt;60 DAYS",IF(E169=0,"","")))))</f>
        <v/>
      </c>
      <c r="H169">
        <f>SUMIF(Purchases[Product ID],A169,Purchases[Quantity])</f>
        <v>0</v>
      </c>
      <c r="I169">
        <f>SUMIF(Sales[Product Name],Inventory[[#This Row],[Product Name]],Sales[Quantity Sold])</f>
        <v>0</v>
      </c>
      <c r="J169">
        <f t="shared" si="5"/>
        <v>0</v>
      </c>
      <c r="N169">
        <f t="shared" si="6"/>
        <v>0</v>
      </c>
    </row>
    <row r="170" spans="4:14" ht="15">
      <c r="D170" s="26"/>
      <c r="E170" s="26"/>
      <c r="F170" t="str">
        <f ca="1">IF(Inventory[[#This Row],[Product Category]]="","",IF(E170&lt;TODAY(),"EXPIRED",
IF(E170&lt;=TODAY()+30,"&lt;30 DAYS",
IF(E170&lt;=TODAY()+60,"&lt;60 DAYS",IF(E170=0,"","")))))</f>
        <v/>
      </c>
      <c r="H170">
        <f>SUMIF(Purchases[Product ID],A170,Purchases[Quantity])</f>
        <v>0</v>
      </c>
      <c r="I170">
        <f>SUMIF(Sales[Product Name],Inventory[[#This Row],[Product Name]],Sales[Quantity Sold])</f>
        <v>0</v>
      </c>
      <c r="J170">
        <f t="shared" si="5"/>
        <v>0</v>
      </c>
      <c r="N170">
        <f t="shared" si="6"/>
        <v>0</v>
      </c>
    </row>
    <row r="171" spans="4:14" ht="15">
      <c r="D171" s="26"/>
      <c r="E171" s="26"/>
      <c r="F171" t="str">
        <f ca="1">IF(Inventory[[#This Row],[Product Category]]="","",IF(E171&lt;TODAY(),"EXPIRED",
IF(E171&lt;=TODAY()+30,"&lt;30 DAYS",
IF(E171&lt;=TODAY()+60,"&lt;60 DAYS",IF(E171=0,"","")))))</f>
        <v/>
      </c>
      <c r="H171">
        <f>SUMIF(Purchases[Product ID],A171,Purchases[Quantity])</f>
        <v>0</v>
      </c>
      <c r="I171">
        <f>SUMIF(Sales[Product Name],Inventory[[#This Row],[Product Name]],Sales[Quantity Sold])</f>
        <v>0</v>
      </c>
      <c r="J171">
        <f t="shared" si="5"/>
        <v>0</v>
      </c>
      <c r="N171">
        <f t="shared" si="6"/>
        <v>0</v>
      </c>
    </row>
    <row r="172" spans="4:14" ht="15">
      <c r="D172" s="26"/>
      <c r="E172" s="26"/>
      <c r="F172" t="str">
        <f ca="1">IF(Inventory[[#This Row],[Product Category]]="","",IF(E172&lt;TODAY(),"EXPIRED",
IF(E172&lt;=TODAY()+30,"&lt;30 DAYS",
IF(E172&lt;=TODAY()+60,"&lt;60 DAYS",IF(E172=0,"","")))))</f>
        <v/>
      </c>
      <c r="H172">
        <f>SUMIF(Purchases[Product ID],A172,Purchases[Quantity])</f>
        <v>0</v>
      </c>
      <c r="I172">
        <f>SUMIF(Sales[Product Name],Inventory[[#This Row],[Product Name]],Sales[Quantity Sold])</f>
        <v>0</v>
      </c>
      <c r="J172">
        <f t="shared" si="5"/>
        <v>0</v>
      </c>
      <c r="N172">
        <f t="shared" si="6"/>
        <v>0</v>
      </c>
    </row>
    <row r="173" spans="4:14" ht="15">
      <c r="D173" s="26"/>
      <c r="E173" s="26"/>
      <c r="F173" t="str">
        <f ca="1">IF(Inventory[[#This Row],[Product Category]]="","",IF(E173&lt;TODAY(),"EXPIRED",
IF(E173&lt;=TODAY()+30,"&lt;30 DAYS",
IF(E173&lt;=TODAY()+60,"&lt;60 DAYS",IF(E173=0,"","")))))</f>
        <v/>
      </c>
      <c r="H173">
        <f>SUMIF(Purchases[Product ID],A173,Purchases[Quantity])</f>
        <v>0</v>
      </c>
      <c r="I173">
        <f>SUMIF(Sales[Product Name],Inventory[[#This Row],[Product Name]],Sales[Quantity Sold])</f>
        <v>0</v>
      </c>
      <c r="J173">
        <f t="shared" si="5"/>
        <v>0</v>
      </c>
      <c r="N173">
        <f t="shared" si="6"/>
        <v>0</v>
      </c>
    </row>
    <row r="174" spans="4:14" ht="15">
      <c r="D174" s="26"/>
      <c r="E174" s="26"/>
      <c r="F174" t="str">
        <f ca="1">IF(Inventory[[#This Row],[Product Category]]="","",IF(E174&lt;TODAY(),"EXPIRED",
IF(E174&lt;=TODAY()+30,"&lt;30 DAYS",
IF(E174&lt;=TODAY()+60,"&lt;60 DAYS",IF(E174=0,"","")))))</f>
        <v/>
      </c>
      <c r="H174">
        <f>SUMIF(Purchases[Product ID],A174,Purchases[Quantity])</f>
        <v>0</v>
      </c>
      <c r="I174">
        <f>SUMIF(Sales[Product Name],Inventory[[#This Row],[Product Name]],Sales[Quantity Sold])</f>
        <v>0</v>
      </c>
      <c r="J174">
        <f t="shared" si="5"/>
        <v>0</v>
      </c>
      <c r="N174">
        <f t="shared" si="6"/>
        <v>0</v>
      </c>
    </row>
    <row r="175" spans="4:14" ht="15">
      <c r="D175" s="26"/>
      <c r="E175" s="26"/>
      <c r="F175" t="str">
        <f ca="1">IF(Inventory[[#This Row],[Product Category]]="","",IF(E175&lt;TODAY(),"EXPIRED",
IF(E175&lt;=TODAY()+30,"&lt;30 DAYS",
IF(E175&lt;=TODAY()+60,"&lt;60 DAYS",IF(E175=0,"","")))))</f>
        <v/>
      </c>
      <c r="H175">
        <f>SUMIF(Purchases[Product ID],A175,Purchases[Quantity])</f>
        <v>0</v>
      </c>
      <c r="I175">
        <f>SUMIF(Sales[Product Name],Inventory[[#This Row],[Product Name]],Sales[Quantity Sold])</f>
        <v>0</v>
      </c>
      <c r="J175">
        <f t="shared" si="5"/>
        <v>0</v>
      </c>
      <c r="N175">
        <f t="shared" si="6"/>
        <v>0</v>
      </c>
    </row>
    <row r="176" spans="4:14" ht="15">
      <c r="D176" s="26"/>
      <c r="E176" s="26"/>
      <c r="F176" t="str">
        <f ca="1">IF(Inventory[[#This Row],[Product Category]]="","",IF(E176&lt;TODAY(),"EXPIRED",
IF(E176&lt;=TODAY()+30,"&lt;30 DAYS",
IF(E176&lt;=TODAY()+60,"&lt;60 DAYS",IF(E176=0,"","")))))</f>
        <v/>
      </c>
      <c r="H176">
        <f>SUMIF(Purchases[Product ID],A176,Purchases[Quantity])</f>
        <v>0</v>
      </c>
      <c r="I176">
        <f>SUMIF(Sales[Product Name],Inventory[[#This Row],[Product Name]],Sales[Quantity Sold])</f>
        <v>0</v>
      </c>
      <c r="J176">
        <f t="shared" si="5"/>
        <v>0</v>
      </c>
      <c r="N176">
        <f t="shared" si="6"/>
        <v>0</v>
      </c>
    </row>
    <row r="177" spans="4:14" ht="15">
      <c r="D177" s="26"/>
      <c r="E177" s="26"/>
      <c r="F177" t="str">
        <f ca="1">IF(Inventory[[#This Row],[Product Category]]="","",IF(E177&lt;TODAY(),"EXPIRED",
IF(E177&lt;=TODAY()+30,"&lt;30 DAYS",
IF(E177&lt;=TODAY()+60,"&lt;60 DAYS",IF(E177=0,"","")))))</f>
        <v/>
      </c>
      <c r="H177">
        <f>SUMIF(Purchases[Product ID],A177,Purchases[Quantity])</f>
        <v>0</v>
      </c>
      <c r="I177">
        <f>SUMIF(Sales[Product Name],Inventory[[#This Row],[Product Name]],Sales[Quantity Sold])</f>
        <v>0</v>
      </c>
      <c r="J177">
        <f t="shared" si="5"/>
        <v>0</v>
      </c>
      <c r="N177">
        <f t="shared" si="6"/>
        <v>0</v>
      </c>
    </row>
    <row r="178" spans="4:14" ht="15">
      <c r="D178" s="26"/>
      <c r="E178" s="26"/>
      <c r="F178" t="str">
        <f ca="1">IF(Inventory[[#This Row],[Product Category]]="","",IF(E178&lt;TODAY(),"EXPIRED",
IF(E178&lt;=TODAY()+30,"&lt;30 DAYS",
IF(E178&lt;=TODAY()+60,"&lt;60 DAYS",IF(E178=0,"","")))))</f>
        <v/>
      </c>
      <c r="H178">
        <f>SUMIF(Purchases[Product ID],A178,Purchases[Quantity])</f>
        <v>0</v>
      </c>
      <c r="I178">
        <f>SUMIF(Sales[Product Name],Inventory[[#This Row],[Product Name]],Sales[Quantity Sold])</f>
        <v>0</v>
      </c>
      <c r="J178">
        <f t="shared" si="5"/>
        <v>0</v>
      </c>
      <c r="N178">
        <f t="shared" si="6"/>
        <v>0</v>
      </c>
    </row>
    <row r="179" spans="4:14" ht="15">
      <c r="D179" s="26"/>
      <c r="E179" s="26"/>
      <c r="F179" t="str">
        <f ca="1">IF(Inventory[[#This Row],[Product Category]]="","",IF(E179&lt;TODAY(),"EXPIRED",
IF(E179&lt;=TODAY()+30,"&lt;30 DAYS",
IF(E179&lt;=TODAY()+60,"&lt;60 DAYS",IF(E179=0,"","")))))</f>
        <v/>
      </c>
      <c r="H179">
        <f>SUMIF(Purchases[Product ID],A179,Purchases[Quantity])</f>
        <v>0</v>
      </c>
      <c r="I179">
        <f>SUMIF(Sales[Product Name],Inventory[[#This Row],[Product Name]],Sales[Quantity Sold])</f>
        <v>0</v>
      </c>
      <c r="J179">
        <f t="shared" si="5"/>
        <v>0</v>
      </c>
      <c r="N179">
        <f t="shared" si="6"/>
        <v>0</v>
      </c>
    </row>
    <row r="180" spans="4:14" ht="15">
      <c r="D180" s="26"/>
      <c r="E180" s="26"/>
      <c r="F180" t="str">
        <f ca="1">IF(Inventory[[#This Row],[Product Category]]="","",IF(E180&lt;TODAY(),"EXPIRED",
IF(E180&lt;=TODAY()+30,"&lt;30 DAYS",
IF(E180&lt;=TODAY()+60,"&lt;60 DAYS",IF(E180=0,"","")))))</f>
        <v/>
      </c>
      <c r="H180">
        <f>SUMIF(Purchases[Product ID],A180,Purchases[Quantity])</f>
        <v>0</v>
      </c>
      <c r="I180">
        <f>SUMIF(Sales[Product Name],Inventory[[#This Row],[Product Name]],Sales[Quantity Sold])</f>
        <v>0</v>
      </c>
      <c r="J180">
        <f t="shared" si="5"/>
        <v>0</v>
      </c>
      <c r="N180">
        <f t="shared" si="6"/>
        <v>0</v>
      </c>
    </row>
    <row r="181" spans="4:14" ht="15">
      <c r="D181" s="26"/>
      <c r="E181" s="26"/>
      <c r="F181" t="str">
        <f ca="1">IF(Inventory[[#This Row],[Product Category]]="","",IF(E181&lt;TODAY(),"EXPIRED",
IF(E181&lt;=TODAY()+30,"&lt;30 DAYS",
IF(E181&lt;=TODAY()+60,"&lt;60 DAYS",IF(E181=0,"","")))))</f>
        <v/>
      </c>
      <c r="H181">
        <f>SUMIF(Purchases[Product ID],A181,Purchases[Quantity])</f>
        <v>0</v>
      </c>
      <c r="I181">
        <f>SUMIF(Sales[Product Name],Inventory[[#This Row],[Product Name]],Sales[Quantity Sold])</f>
        <v>0</v>
      </c>
      <c r="J181">
        <f t="shared" si="5"/>
        <v>0</v>
      </c>
      <c r="N181">
        <f t="shared" si="6"/>
        <v>0</v>
      </c>
    </row>
    <row r="182" spans="4:14" ht="15">
      <c r="D182" s="26"/>
      <c r="E182" s="26"/>
      <c r="F182" t="str">
        <f ca="1">IF(Inventory[[#This Row],[Product Category]]="","",IF(E182&lt;TODAY(),"EXPIRED",
IF(E182&lt;=TODAY()+30,"&lt;30 DAYS",
IF(E182&lt;=TODAY()+60,"&lt;60 DAYS",IF(E182=0,"","")))))</f>
        <v/>
      </c>
      <c r="H182">
        <f>SUMIF(Purchases[Product ID],A182,Purchases[Quantity])</f>
        <v>0</v>
      </c>
      <c r="I182">
        <f>SUMIF(Sales[Product Name],Inventory[[#This Row],[Product Name]],Sales[Quantity Sold])</f>
        <v>0</v>
      </c>
      <c r="J182">
        <f t="shared" si="5"/>
        <v>0</v>
      </c>
      <c r="N182">
        <f t="shared" si="6"/>
        <v>0</v>
      </c>
    </row>
    <row r="183" spans="4:14" ht="15">
      <c r="D183" s="26"/>
      <c r="E183" s="26"/>
      <c r="F183" t="str">
        <f ca="1">IF(Inventory[[#This Row],[Product Category]]="","",IF(E183&lt;TODAY(),"EXPIRED",
IF(E183&lt;=TODAY()+30,"&lt;30 DAYS",
IF(E183&lt;=TODAY()+60,"&lt;60 DAYS",IF(E183=0,"","")))))</f>
        <v/>
      </c>
      <c r="H183">
        <f>SUMIF(Purchases[Product ID],A183,Purchases[Quantity])</f>
        <v>0</v>
      </c>
      <c r="I183">
        <f>SUMIF(Sales[Product Name],Inventory[[#This Row],[Product Name]],Sales[Quantity Sold])</f>
        <v>0</v>
      </c>
      <c r="J183">
        <f t="shared" si="5"/>
        <v>0</v>
      </c>
      <c r="N183">
        <f t="shared" si="6"/>
        <v>0</v>
      </c>
    </row>
    <row r="184" spans="4:14" ht="15">
      <c r="D184" s="26"/>
      <c r="E184" s="26"/>
      <c r="F184" t="str">
        <f ca="1">IF(Inventory[[#This Row],[Product Category]]="","",IF(E184&lt;TODAY(),"EXPIRED",
IF(E184&lt;=TODAY()+30,"&lt;30 DAYS",
IF(E184&lt;=TODAY()+60,"&lt;60 DAYS",IF(E184=0,"","")))))</f>
        <v/>
      </c>
      <c r="H184">
        <f>SUMIF(Purchases[Product ID],A184,Purchases[Quantity])</f>
        <v>0</v>
      </c>
      <c r="I184">
        <f>SUMIF(Sales[Product Name],Inventory[[#This Row],[Product Name]],Sales[Quantity Sold])</f>
        <v>0</v>
      </c>
      <c r="J184">
        <f t="shared" si="5"/>
        <v>0</v>
      </c>
      <c r="N184">
        <f t="shared" si="6"/>
        <v>0</v>
      </c>
    </row>
    <row r="185" spans="4:14" ht="15">
      <c r="D185" s="26"/>
      <c r="E185" s="26"/>
      <c r="F185" t="str">
        <f ca="1">IF(Inventory[[#This Row],[Product Category]]="","",IF(E185&lt;TODAY(),"EXPIRED",
IF(E185&lt;=TODAY()+30,"&lt;30 DAYS",
IF(E185&lt;=TODAY()+60,"&lt;60 DAYS",IF(E185=0,"","")))))</f>
        <v/>
      </c>
      <c r="H185">
        <f>SUMIF(Purchases[Product ID],A185,Purchases[Quantity])</f>
        <v>0</v>
      </c>
      <c r="I185">
        <f>SUMIF(Sales[Product Name],Inventory[[#This Row],[Product Name]],Sales[Quantity Sold])</f>
        <v>0</v>
      </c>
      <c r="J185">
        <f t="shared" si="5"/>
        <v>0</v>
      </c>
      <c r="N185">
        <f t="shared" si="6"/>
        <v>0</v>
      </c>
    </row>
    <row r="186" spans="4:14" ht="15">
      <c r="D186" s="26"/>
      <c r="E186" s="26"/>
      <c r="F186" t="str">
        <f ca="1">IF(Inventory[[#This Row],[Product Category]]="","",IF(E186&lt;TODAY(),"EXPIRED",
IF(E186&lt;=TODAY()+30,"&lt;30 DAYS",
IF(E186&lt;=TODAY()+60,"&lt;60 DAYS",IF(E186=0,"","")))))</f>
        <v/>
      </c>
      <c r="H186">
        <f>SUMIF(Purchases[Product ID],A186,Purchases[Quantity])</f>
        <v>0</v>
      </c>
      <c r="I186">
        <f>SUMIF(Sales[Product Name],Inventory[[#This Row],[Product Name]],Sales[Quantity Sold])</f>
        <v>0</v>
      </c>
      <c r="J186">
        <f t="shared" si="5"/>
        <v>0</v>
      </c>
      <c r="N186">
        <f t="shared" si="6"/>
        <v>0</v>
      </c>
    </row>
    <row r="187" spans="4:14" ht="15">
      <c r="D187" s="26"/>
      <c r="E187" s="26"/>
      <c r="F187" t="str">
        <f ca="1">IF(Inventory[[#This Row],[Product Category]]="","",IF(E187&lt;TODAY(),"EXPIRED",
IF(E187&lt;=TODAY()+30,"&lt;30 DAYS",
IF(E187&lt;=TODAY()+60,"&lt;60 DAYS",IF(E187=0,"","")))))</f>
        <v/>
      </c>
      <c r="H187">
        <f>SUMIF(Purchases[Product ID],A187,Purchases[Quantity])</f>
        <v>0</v>
      </c>
      <c r="I187">
        <f>SUMIF(Sales[Product Name],Inventory[[#This Row],[Product Name]],Sales[Quantity Sold])</f>
        <v>0</v>
      </c>
      <c r="J187">
        <f t="shared" si="5"/>
        <v>0</v>
      </c>
      <c r="N187">
        <f t="shared" si="6"/>
        <v>0</v>
      </c>
    </row>
    <row r="188" spans="4:14" ht="15">
      <c r="D188" s="26"/>
      <c r="E188" s="26"/>
      <c r="F188" t="str">
        <f ca="1">IF(Inventory[[#This Row],[Product Category]]="","",IF(E188&lt;TODAY(),"EXPIRED",
IF(E188&lt;=TODAY()+30,"&lt;30 DAYS",
IF(E188&lt;=TODAY()+60,"&lt;60 DAYS",IF(E188=0,"","")))))</f>
        <v/>
      </c>
      <c r="H188">
        <f>SUMIF(Purchases[Product ID],A188,Purchases[Quantity])</f>
        <v>0</v>
      </c>
      <c r="I188">
        <f>SUMIF(Sales[Product Name],Inventory[[#This Row],[Product Name]],Sales[Quantity Sold])</f>
        <v>0</v>
      </c>
      <c r="J188">
        <f t="shared" si="5"/>
        <v>0</v>
      </c>
      <c r="N188">
        <f t="shared" si="6"/>
        <v>0</v>
      </c>
    </row>
    <row r="189" spans="4:14" ht="15">
      <c r="D189" s="26"/>
      <c r="E189" s="26"/>
      <c r="F189" t="str">
        <f ca="1">IF(Inventory[[#This Row],[Product Category]]="","",IF(E189&lt;TODAY(),"EXPIRED",
IF(E189&lt;=TODAY()+30,"&lt;30 DAYS",
IF(E189&lt;=TODAY()+60,"&lt;60 DAYS",IF(E189=0,"","")))))</f>
        <v/>
      </c>
      <c r="H189">
        <f>SUMIF(Purchases[Product ID],A189,Purchases[Quantity])</f>
        <v>0</v>
      </c>
      <c r="I189">
        <f>SUMIF(Sales[Product Name],Inventory[[#This Row],[Product Name]],Sales[Quantity Sold])</f>
        <v>0</v>
      </c>
      <c r="J189">
        <f t="shared" si="5"/>
        <v>0</v>
      </c>
      <c r="N189">
        <f t="shared" si="6"/>
        <v>0</v>
      </c>
    </row>
    <row r="190" spans="4:14" ht="15">
      <c r="D190" s="26"/>
      <c r="E190" s="26"/>
      <c r="F190" t="str">
        <f ca="1">IF(Inventory[[#This Row],[Product Category]]="","",IF(E190&lt;TODAY(),"EXPIRED",
IF(E190&lt;=TODAY()+30,"&lt;30 DAYS",
IF(E190&lt;=TODAY()+60,"&lt;60 DAYS",IF(E190=0,"","")))))</f>
        <v/>
      </c>
      <c r="H190">
        <f>SUMIF(Purchases[Product ID],A190,Purchases[Quantity])</f>
        <v>0</v>
      </c>
      <c r="I190">
        <f>SUMIF(Sales[Product Name],Inventory[[#This Row],[Product Name]],Sales[Quantity Sold])</f>
        <v>0</v>
      </c>
      <c r="J190">
        <f t="shared" si="5"/>
        <v>0</v>
      </c>
      <c r="N190">
        <f t="shared" si="6"/>
        <v>0</v>
      </c>
    </row>
    <row r="191" spans="4:14" ht="15">
      <c r="D191" s="26"/>
      <c r="E191" s="26"/>
      <c r="F191" t="str">
        <f ca="1">IF(Inventory[[#This Row],[Product Category]]="","",IF(E191&lt;TODAY(),"EXPIRED",
IF(E191&lt;=TODAY()+30,"&lt;30 DAYS",
IF(E191&lt;=TODAY()+60,"&lt;60 DAYS",IF(E191=0,"","")))))</f>
        <v/>
      </c>
      <c r="H191">
        <f>SUMIF(Purchases[Product ID],A191,Purchases[Quantity])</f>
        <v>0</v>
      </c>
      <c r="I191">
        <f>SUMIF(Sales[Product Name],Inventory[[#This Row],[Product Name]],Sales[Quantity Sold])</f>
        <v>0</v>
      </c>
      <c r="J191">
        <f t="shared" si="5"/>
        <v>0</v>
      </c>
      <c r="N191">
        <f t="shared" si="6"/>
        <v>0</v>
      </c>
    </row>
    <row r="192" spans="4:14" ht="15">
      <c r="D192" s="26"/>
      <c r="E192" s="26"/>
      <c r="F192" t="str">
        <f ca="1">IF(Inventory[[#This Row],[Product Category]]="","",IF(E192&lt;TODAY(),"EXPIRED",
IF(E192&lt;=TODAY()+30,"&lt;30 DAYS",
IF(E192&lt;=TODAY()+60,"&lt;60 DAYS",IF(E192=0,"","")))))</f>
        <v/>
      </c>
      <c r="H192">
        <f>SUMIF(Purchases[Product ID],A192,Purchases[Quantity])</f>
        <v>0</v>
      </c>
      <c r="I192">
        <f>SUMIF(Sales[Product Name],Inventory[[#This Row],[Product Name]],Sales[Quantity Sold])</f>
        <v>0</v>
      </c>
      <c r="J192">
        <f t="shared" si="5"/>
        <v>0</v>
      </c>
      <c r="N192">
        <f t="shared" si="6"/>
        <v>0</v>
      </c>
    </row>
    <row r="193" spans="4:14" ht="15">
      <c r="D193" s="26"/>
      <c r="E193" s="26"/>
      <c r="F193" t="str">
        <f ca="1">IF(Inventory[[#This Row],[Product Category]]="","",IF(E193&lt;TODAY(),"EXPIRED",
IF(E193&lt;=TODAY()+30,"&lt;30 DAYS",
IF(E193&lt;=TODAY()+60,"&lt;60 DAYS",IF(E193=0,"","")))))</f>
        <v/>
      </c>
      <c r="H193">
        <f>SUMIF(Purchases[Product ID],A193,Purchases[Quantity])</f>
        <v>0</v>
      </c>
      <c r="I193">
        <f>SUMIF(Sales[Product Name],Inventory[[#This Row],[Product Name]],Sales[Quantity Sold])</f>
        <v>0</v>
      </c>
      <c r="J193">
        <f t="shared" si="5"/>
        <v>0</v>
      </c>
      <c r="N193">
        <f t="shared" si="6"/>
        <v>0</v>
      </c>
    </row>
    <row r="194" spans="4:14" ht="15">
      <c r="D194" s="26"/>
      <c r="E194" s="26"/>
      <c r="F194" t="str">
        <f ca="1">IF(Inventory[[#This Row],[Product Category]]="","",IF(E194&lt;TODAY(),"EXPIRED",
IF(E194&lt;=TODAY()+30,"&lt;30 DAYS",
IF(E194&lt;=TODAY()+60,"&lt;60 DAYS",IF(E194=0,"","")))))</f>
        <v/>
      </c>
      <c r="H194">
        <f>SUMIF(Purchases[Product ID],A194,Purchases[Quantity])</f>
        <v>0</v>
      </c>
      <c r="I194">
        <f>SUMIF(Sales[Product Name],Inventory[[#This Row],[Product Name]],Sales[Quantity Sold])</f>
        <v>0</v>
      </c>
      <c r="J194">
        <f t="shared" si="5"/>
        <v>0</v>
      </c>
      <c r="N194">
        <f t="shared" si="6"/>
        <v>0</v>
      </c>
    </row>
    <row r="195" spans="4:14" ht="15">
      <c r="D195" s="26"/>
      <c r="E195" s="26"/>
      <c r="F195" t="str">
        <f ca="1">IF(Inventory[[#This Row],[Product Category]]="","",IF(E195&lt;TODAY(),"EXPIRED",
IF(E195&lt;=TODAY()+30,"&lt;30 DAYS",
IF(E195&lt;=TODAY()+60,"&lt;60 DAYS",IF(E195=0,"","")))))</f>
        <v/>
      </c>
      <c r="H195">
        <f>SUMIF(Purchases[Product ID],A195,Purchases[Quantity])</f>
        <v>0</v>
      </c>
      <c r="I195">
        <f>SUMIF(Sales[Product Name],Inventory[[#This Row],[Product Name]],Sales[Quantity Sold])</f>
        <v>0</v>
      </c>
      <c r="J195">
        <f t="shared" si="5"/>
        <v>0</v>
      </c>
      <c r="N195">
        <f t="shared" si="6"/>
        <v>0</v>
      </c>
    </row>
    <row r="196" spans="4:14" ht="15">
      <c r="D196" s="26"/>
      <c r="E196" s="26"/>
      <c r="F196" t="str">
        <f ca="1">IF(Inventory[[#This Row],[Product Category]]="","",IF(E196&lt;TODAY(),"EXPIRED",
IF(E196&lt;=TODAY()+30,"&lt;30 DAYS",
IF(E196&lt;=TODAY()+60,"&lt;60 DAYS",IF(E196=0,"","")))))</f>
        <v/>
      </c>
      <c r="H196">
        <f>SUMIF(Purchases[Product ID],A196,Purchases[Quantity])</f>
        <v>0</v>
      </c>
      <c r="I196">
        <f>SUMIF(Sales[Product Name],Inventory[[#This Row],[Product Name]],Sales[Quantity Sold])</f>
        <v>0</v>
      </c>
      <c r="J196">
        <f t="shared" si="5"/>
        <v>0</v>
      </c>
      <c r="N196">
        <f t="shared" si="6"/>
        <v>0</v>
      </c>
    </row>
    <row r="197" spans="4:14" ht="15">
      <c r="D197" s="26"/>
      <c r="E197" s="26"/>
      <c r="F197" t="str">
        <f ca="1">IF(Inventory[[#This Row],[Product Category]]="","",IF(E197&lt;TODAY(),"EXPIRED",
IF(E197&lt;=TODAY()+30,"&lt;30 DAYS",
IF(E197&lt;=TODAY()+60,"&lt;60 DAYS",IF(E197=0,"","")))))</f>
        <v/>
      </c>
      <c r="H197">
        <f>SUMIF(Purchases[Product ID],A197,Purchases[Quantity])</f>
        <v>0</v>
      </c>
      <c r="I197">
        <f>SUMIF(Sales[Product Name],Inventory[[#This Row],[Product Name]],Sales[Quantity Sold])</f>
        <v>0</v>
      </c>
      <c r="J197">
        <f t="shared" si="5"/>
        <v>0</v>
      </c>
      <c r="N197">
        <f t="shared" si="6"/>
        <v>0</v>
      </c>
    </row>
    <row r="198" spans="4:14" ht="15">
      <c r="D198" s="26"/>
      <c r="E198" s="26"/>
      <c r="F198" t="str">
        <f ca="1">IF(Inventory[[#This Row],[Product Category]]="","",IF(E198&lt;TODAY(),"EXPIRED",
IF(E198&lt;=TODAY()+30,"&lt;30 DAYS",
IF(E198&lt;=TODAY()+60,"&lt;60 DAYS",IF(E198=0,"","")))))</f>
        <v/>
      </c>
      <c r="H198">
        <f>SUMIF(Purchases[Product ID],A198,Purchases[Quantity])</f>
        <v>0</v>
      </c>
      <c r="I198">
        <f>SUMIF(Sales[Product Name],Inventory[[#This Row],[Product Name]],Sales[Quantity Sold])</f>
        <v>0</v>
      </c>
      <c r="J198">
        <f t="shared" si="5"/>
        <v>0</v>
      </c>
      <c r="N198">
        <f t="shared" si="6"/>
        <v>0</v>
      </c>
    </row>
    <row r="199" spans="4:14" ht="15">
      <c r="D199" s="26"/>
      <c r="E199" s="26"/>
      <c r="F199" t="str">
        <f ca="1">IF(Inventory[[#This Row],[Product Category]]="","",IF(E199&lt;TODAY(),"EXPIRED",
IF(E199&lt;=TODAY()+30,"&lt;30 DAYS",
IF(E199&lt;=TODAY()+60,"&lt;60 DAYS",IF(E199=0,"","")))))</f>
        <v/>
      </c>
      <c r="H199">
        <f>SUMIF(Purchases[Product ID],A199,Purchases[Quantity])</f>
        <v>0</v>
      </c>
      <c r="I199">
        <f>SUMIF(Sales[Product Name],Inventory[[#This Row],[Product Name]],Sales[Quantity Sold])</f>
        <v>0</v>
      </c>
      <c r="J199">
        <f t="shared" si="5"/>
        <v>0</v>
      </c>
      <c r="N199">
        <f t="shared" si="6"/>
        <v>0</v>
      </c>
    </row>
    <row r="200" spans="4:14" ht="15">
      <c r="D200" s="26"/>
      <c r="E200" s="26"/>
      <c r="F200" t="str">
        <f ca="1">IF(Inventory[[#This Row],[Product Category]]="","",IF(E200&lt;TODAY(),"EXPIRED",
IF(E200&lt;=TODAY()+30,"&lt;30 DAYS",
IF(E200&lt;=TODAY()+60,"&lt;60 DAYS",IF(E200=0,"","")))))</f>
        <v/>
      </c>
      <c r="H200">
        <f>SUMIF(Purchases[Product ID],A200,Purchases[Quantity])</f>
        <v>0</v>
      </c>
      <c r="I200">
        <f>SUMIF(Sales[Product Name],Inventory[[#This Row],[Product Name]],Sales[Quantity Sold])</f>
        <v>0</v>
      </c>
      <c r="J200">
        <f t="shared" ref="J200:J263" si="7">G200+H200-I200</f>
        <v>0</v>
      </c>
      <c r="N200">
        <f t="shared" ref="N200:N263" si="8">J200*L200</f>
        <v>0</v>
      </c>
    </row>
    <row r="201" spans="4:14" ht="15">
      <c r="D201" s="26"/>
      <c r="E201" s="26"/>
      <c r="F201" t="str">
        <f ca="1">IF(Inventory[[#This Row],[Product Category]]="","",IF(E201&lt;TODAY(),"EXPIRED",
IF(E201&lt;=TODAY()+30,"&lt;30 DAYS",
IF(E201&lt;=TODAY()+60,"&lt;60 DAYS",IF(E201=0,"","")))))</f>
        <v/>
      </c>
      <c r="H201">
        <f>SUMIF(Purchases[Product ID],A201,Purchases[Quantity])</f>
        <v>0</v>
      </c>
      <c r="I201">
        <f>SUMIF(Sales[Product Name],Inventory[[#This Row],[Product Name]],Sales[Quantity Sold])</f>
        <v>0</v>
      </c>
      <c r="J201">
        <f t="shared" si="7"/>
        <v>0</v>
      </c>
      <c r="N201">
        <f t="shared" si="8"/>
        <v>0</v>
      </c>
    </row>
    <row r="202" spans="4:14" ht="15">
      <c r="D202" s="26"/>
      <c r="E202" s="26"/>
      <c r="F202" t="str">
        <f ca="1">IF(Inventory[[#This Row],[Product Category]]="","",IF(E202&lt;TODAY(),"EXPIRED",
IF(E202&lt;=TODAY()+30,"&lt;30 DAYS",
IF(E202&lt;=TODAY()+60,"&lt;60 DAYS",IF(E202=0,"","")))))</f>
        <v/>
      </c>
      <c r="H202">
        <f>SUMIF(Purchases[Product ID],A202,Purchases[Quantity])</f>
        <v>0</v>
      </c>
      <c r="I202">
        <f>SUMIF(Sales[Product Name],Inventory[[#This Row],[Product Name]],Sales[Quantity Sold])</f>
        <v>0</v>
      </c>
      <c r="J202">
        <f t="shared" si="7"/>
        <v>0</v>
      </c>
      <c r="N202">
        <f t="shared" si="8"/>
        <v>0</v>
      </c>
    </row>
    <row r="203" spans="4:14" ht="15">
      <c r="D203" s="26"/>
      <c r="E203" s="26"/>
      <c r="F203" t="str">
        <f ca="1">IF(Inventory[[#This Row],[Product Category]]="","",IF(E203&lt;TODAY(),"EXPIRED",
IF(E203&lt;=TODAY()+30,"&lt;30 DAYS",
IF(E203&lt;=TODAY()+60,"&lt;60 DAYS",IF(E203=0,"","")))))</f>
        <v/>
      </c>
      <c r="H203">
        <f>SUMIF(Purchases[Product ID],A203,Purchases[Quantity])</f>
        <v>0</v>
      </c>
      <c r="I203">
        <f>SUMIF(Sales[Product Name],Inventory[[#This Row],[Product Name]],Sales[Quantity Sold])</f>
        <v>0</v>
      </c>
      <c r="J203">
        <f t="shared" si="7"/>
        <v>0</v>
      </c>
      <c r="N203">
        <f t="shared" si="8"/>
        <v>0</v>
      </c>
    </row>
    <row r="204" spans="4:14" ht="15">
      <c r="D204" s="26"/>
      <c r="E204" s="26"/>
      <c r="F204" t="str">
        <f ca="1">IF(Inventory[[#This Row],[Product Category]]="","",IF(E204&lt;TODAY(),"EXPIRED",
IF(E204&lt;=TODAY()+30,"&lt;30 DAYS",
IF(E204&lt;=TODAY()+60,"&lt;60 DAYS",IF(E204=0,"","")))))</f>
        <v/>
      </c>
      <c r="H204">
        <f>SUMIF(Purchases[Product ID],A204,Purchases[Quantity])</f>
        <v>0</v>
      </c>
      <c r="I204">
        <f>SUMIF(Sales[Product Name],Inventory[[#This Row],[Product Name]],Sales[Quantity Sold])</f>
        <v>0</v>
      </c>
      <c r="J204">
        <f t="shared" si="7"/>
        <v>0</v>
      </c>
      <c r="N204">
        <f t="shared" si="8"/>
        <v>0</v>
      </c>
    </row>
    <row r="205" spans="4:14" ht="15">
      <c r="D205" s="26"/>
      <c r="E205" s="26"/>
      <c r="F205" t="str">
        <f ca="1">IF(Inventory[[#This Row],[Product Category]]="","",IF(E205&lt;TODAY(),"EXPIRED",
IF(E205&lt;=TODAY()+30,"&lt;30 DAYS",
IF(E205&lt;=TODAY()+60,"&lt;60 DAYS",IF(E205=0,"","")))))</f>
        <v/>
      </c>
      <c r="H205">
        <f>SUMIF(Purchases[Product ID],A205,Purchases[Quantity])</f>
        <v>0</v>
      </c>
      <c r="I205">
        <f>SUMIF(Sales[Product Name],Inventory[[#This Row],[Product Name]],Sales[Quantity Sold])</f>
        <v>0</v>
      </c>
      <c r="J205">
        <f t="shared" si="7"/>
        <v>0</v>
      </c>
      <c r="N205">
        <f t="shared" si="8"/>
        <v>0</v>
      </c>
    </row>
    <row r="206" spans="4:14" ht="15">
      <c r="D206" s="26"/>
      <c r="E206" s="26"/>
      <c r="F206" t="str">
        <f ca="1">IF(Inventory[[#This Row],[Product Category]]="","",IF(E206&lt;TODAY(),"EXPIRED",
IF(E206&lt;=TODAY()+30,"&lt;30 DAYS",
IF(E206&lt;=TODAY()+60,"&lt;60 DAYS",IF(E206=0,"","")))))</f>
        <v/>
      </c>
      <c r="H206">
        <f>SUMIF(Purchases[Product ID],A206,Purchases[Quantity])</f>
        <v>0</v>
      </c>
      <c r="I206">
        <f>SUMIF(Sales[Product Name],Inventory[[#This Row],[Product Name]],Sales[Quantity Sold])</f>
        <v>0</v>
      </c>
      <c r="J206">
        <f t="shared" si="7"/>
        <v>0</v>
      </c>
      <c r="N206">
        <f t="shared" si="8"/>
        <v>0</v>
      </c>
    </row>
    <row r="207" spans="4:14" ht="15">
      <c r="D207" s="26"/>
      <c r="E207" s="26"/>
      <c r="F207" t="str">
        <f ca="1">IF(Inventory[[#This Row],[Product Category]]="","",IF(E207&lt;TODAY(),"EXPIRED",
IF(E207&lt;=TODAY()+30,"&lt;30 DAYS",
IF(E207&lt;=TODAY()+60,"&lt;60 DAYS",IF(E207=0,"","")))))</f>
        <v/>
      </c>
      <c r="H207">
        <f>SUMIF(Purchases[Product ID],A207,Purchases[Quantity])</f>
        <v>0</v>
      </c>
      <c r="I207">
        <f>SUMIF(Sales[Product Name],Inventory[[#This Row],[Product Name]],Sales[Quantity Sold])</f>
        <v>0</v>
      </c>
      <c r="J207">
        <f t="shared" si="7"/>
        <v>0</v>
      </c>
      <c r="N207">
        <f t="shared" si="8"/>
        <v>0</v>
      </c>
    </row>
    <row r="208" spans="4:14" ht="15">
      <c r="D208" s="26"/>
      <c r="E208" s="26"/>
      <c r="F208" t="str">
        <f ca="1">IF(Inventory[[#This Row],[Product Category]]="","",IF(E208&lt;TODAY(),"EXPIRED",
IF(E208&lt;=TODAY()+30,"&lt;30 DAYS",
IF(E208&lt;=TODAY()+60,"&lt;60 DAYS",IF(E208=0,"","")))))</f>
        <v/>
      </c>
      <c r="H208">
        <f>SUMIF(Purchases[Product ID],A208,Purchases[Quantity])</f>
        <v>0</v>
      </c>
      <c r="I208">
        <f>SUMIF(Sales[Product Name],Inventory[[#This Row],[Product Name]],Sales[Quantity Sold])</f>
        <v>0</v>
      </c>
      <c r="J208">
        <f t="shared" si="7"/>
        <v>0</v>
      </c>
      <c r="N208">
        <f t="shared" si="8"/>
        <v>0</v>
      </c>
    </row>
    <row r="209" spans="4:14" ht="15">
      <c r="D209" s="26"/>
      <c r="E209" s="26"/>
      <c r="F209" t="str">
        <f ca="1">IF(Inventory[[#This Row],[Product Category]]="","",IF(E209&lt;TODAY(),"EXPIRED",
IF(E209&lt;=TODAY()+30,"&lt;30 DAYS",
IF(E209&lt;=TODAY()+60,"&lt;60 DAYS",IF(E209=0,"","")))))</f>
        <v/>
      </c>
      <c r="H209">
        <f>SUMIF(Purchases[Product ID],A209,Purchases[Quantity])</f>
        <v>0</v>
      </c>
      <c r="I209">
        <f>SUMIF(Sales[Product Name],Inventory[[#This Row],[Product Name]],Sales[Quantity Sold])</f>
        <v>0</v>
      </c>
      <c r="J209">
        <f t="shared" si="7"/>
        <v>0</v>
      </c>
      <c r="N209">
        <f t="shared" si="8"/>
        <v>0</v>
      </c>
    </row>
    <row r="210" spans="4:14" ht="15">
      <c r="D210" s="26"/>
      <c r="E210" s="26"/>
      <c r="F210" t="str">
        <f ca="1">IF(Inventory[[#This Row],[Product Category]]="","",IF(E210&lt;TODAY(),"EXPIRED",
IF(E210&lt;=TODAY()+30,"&lt;30 DAYS",
IF(E210&lt;=TODAY()+60,"&lt;60 DAYS",IF(E210=0,"","")))))</f>
        <v/>
      </c>
      <c r="H210">
        <f>SUMIF(Purchases[Product ID],A210,Purchases[Quantity])</f>
        <v>0</v>
      </c>
      <c r="I210">
        <f>SUMIF(Sales[Product Name],Inventory[[#This Row],[Product Name]],Sales[Quantity Sold])</f>
        <v>0</v>
      </c>
      <c r="J210">
        <f t="shared" si="7"/>
        <v>0</v>
      </c>
      <c r="N210">
        <f t="shared" si="8"/>
        <v>0</v>
      </c>
    </row>
    <row r="211" spans="4:14" ht="15">
      <c r="D211" s="26"/>
      <c r="E211" s="26"/>
      <c r="F211" t="str">
        <f ca="1">IF(Inventory[[#This Row],[Product Category]]="","",IF(E211&lt;TODAY(),"EXPIRED",
IF(E211&lt;=TODAY()+30,"&lt;30 DAYS",
IF(E211&lt;=TODAY()+60,"&lt;60 DAYS",IF(E211=0,"","")))))</f>
        <v/>
      </c>
      <c r="H211">
        <f>SUMIF(Purchases[Product ID],A211,Purchases[Quantity])</f>
        <v>0</v>
      </c>
      <c r="I211">
        <f>SUMIF(Sales[Product Name],Inventory[[#This Row],[Product Name]],Sales[Quantity Sold])</f>
        <v>0</v>
      </c>
      <c r="J211">
        <f t="shared" si="7"/>
        <v>0</v>
      </c>
      <c r="N211">
        <f t="shared" si="8"/>
        <v>0</v>
      </c>
    </row>
    <row r="212" spans="4:14" ht="15">
      <c r="D212" s="26"/>
      <c r="E212" s="26"/>
      <c r="F212" t="str">
        <f ca="1">IF(Inventory[[#This Row],[Product Category]]="","",IF(E212&lt;TODAY(),"EXPIRED",
IF(E212&lt;=TODAY()+30,"&lt;30 DAYS",
IF(E212&lt;=TODAY()+60,"&lt;60 DAYS",IF(E212=0,"","")))))</f>
        <v/>
      </c>
      <c r="H212">
        <f>SUMIF(Purchases[Product ID],A212,Purchases[Quantity])</f>
        <v>0</v>
      </c>
      <c r="I212">
        <f>SUMIF(Sales[Product Name],Inventory[[#This Row],[Product Name]],Sales[Quantity Sold])</f>
        <v>0</v>
      </c>
      <c r="J212">
        <f t="shared" si="7"/>
        <v>0</v>
      </c>
      <c r="N212">
        <f t="shared" si="8"/>
        <v>0</v>
      </c>
    </row>
    <row r="213" spans="4:14" ht="15">
      <c r="D213" s="26"/>
      <c r="E213" s="26"/>
      <c r="F213" t="str">
        <f ca="1">IF(Inventory[[#This Row],[Product Category]]="","",IF(E213&lt;TODAY(),"EXPIRED",
IF(E213&lt;=TODAY()+30,"&lt;30 DAYS",
IF(E213&lt;=TODAY()+60,"&lt;60 DAYS",IF(E213=0,"","")))))</f>
        <v/>
      </c>
      <c r="H213">
        <f>SUMIF(Purchases[Product ID],A213,Purchases[Quantity])</f>
        <v>0</v>
      </c>
      <c r="I213">
        <f>SUMIF(Sales[Product Name],Inventory[[#This Row],[Product Name]],Sales[Quantity Sold])</f>
        <v>0</v>
      </c>
      <c r="J213">
        <f t="shared" si="7"/>
        <v>0</v>
      </c>
      <c r="N213">
        <f t="shared" si="8"/>
        <v>0</v>
      </c>
    </row>
    <row r="214" spans="4:14" ht="15">
      <c r="D214" s="26"/>
      <c r="E214" s="26"/>
      <c r="F214" t="str">
        <f ca="1">IF(Inventory[[#This Row],[Product Category]]="","",IF(E214&lt;TODAY(),"EXPIRED",
IF(E214&lt;=TODAY()+30,"&lt;30 DAYS",
IF(E214&lt;=TODAY()+60,"&lt;60 DAYS",IF(E214=0,"","")))))</f>
        <v/>
      </c>
      <c r="H214">
        <f>SUMIF(Purchases[Product ID],A214,Purchases[Quantity])</f>
        <v>0</v>
      </c>
      <c r="I214">
        <f>SUMIF(Sales[Product Name],Inventory[[#This Row],[Product Name]],Sales[Quantity Sold])</f>
        <v>0</v>
      </c>
      <c r="J214">
        <f t="shared" si="7"/>
        <v>0</v>
      </c>
      <c r="N214">
        <f t="shared" si="8"/>
        <v>0</v>
      </c>
    </row>
    <row r="215" spans="4:14" ht="15">
      <c r="D215" s="26"/>
      <c r="E215" s="26"/>
      <c r="F215" t="str">
        <f ca="1">IF(Inventory[[#This Row],[Product Category]]="","",IF(E215&lt;TODAY(),"EXPIRED",
IF(E215&lt;=TODAY()+30,"&lt;30 DAYS",
IF(E215&lt;=TODAY()+60,"&lt;60 DAYS",IF(E215=0,"","")))))</f>
        <v/>
      </c>
      <c r="H215">
        <f>SUMIF(Purchases[Product ID],A215,Purchases[Quantity])</f>
        <v>0</v>
      </c>
      <c r="I215">
        <f>SUMIF(Sales[Product Name],Inventory[[#This Row],[Product Name]],Sales[Quantity Sold])</f>
        <v>0</v>
      </c>
      <c r="J215">
        <f t="shared" si="7"/>
        <v>0</v>
      </c>
      <c r="N215">
        <f t="shared" si="8"/>
        <v>0</v>
      </c>
    </row>
    <row r="216" spans="4:14" ht="15">
      <c r="D216" s="26"/>
      <c r="E216" s="26"/>
      <c r="F216" t="str">
        <f ca="1">IF(Inventory[[#This Row],[Product Category]]="","",IF(E216&lt;TODAY(),"EXPIRED",
IF(E216&lt;=TODAY()+30,"&lt;30 DAYS",
IF(E216&lt;=TODAY()+60,"&lt;60 DAYS",IF(E216=0,"","")))))</f>
        <v/>
      </c>
      <c r="H216">
        <f>SUMIF(Purchases[Product ID],A216,Purchases[Quantity])</f>
        <v>0</v>
      </c>
      <c r="I216">
        <f>SUMIF(Sales[Product Name],Inventory[[#This Row],[Product Name]],Sales[Quantity Sold])</f>
        <v>0</v>
      </c>
      <c r="J216">
        <f t="shared" si="7"/>
        <v>0</v>
      </c>
      <c r="N216">
        <f t="shared" si="8"/>
        <v>0</v>
      </c>
    </row>
    <row r="217" spans="4:14" ht="15">
      <c r="D217" s="26"/>
      <c r="E217" s="26"/>
      <c r="F217" t="str">
        <f ca="1">IF(Inventory[[#This Row],[Product Category]]="","",IF(E217&lt;TODAY(),"EXPIRED",
IF(E217&lt;=TODAY()+30,"&lt;30 DAYS",
IF(E217&lt;=TODAY()+60,"&lt;60 DAYS",IF(E217=0,"","")))))</f>
        <v/>
      </c>
      <c r="H217">
        <f>SUMIF(Purchases[Product ID],A217,Purchases[Quantity])</f>
        <v>0</v>
      </c>
      <c r="I217">
        <f>SUMIF(Sales[Product Name],Inventory[[#This Row],[Product Name]],Sales[Quantity Sold])</f>
        <v>0</v>
      </c>
      <c r="J217">
        <f t="shared" si="7"/>
        <v>0</v>
      </c>
      <c r="N217">
        <f t="shared" si="8"/>
        <v>0</v>
      </c>
    </row>
    <row r="218" spans="4:14" ht="15">
      <c r="D218" s="26"/>
      <c r="E218" s="26"/>
      <c r="F218" t="str">
        <f ca="1">IF(Inventory[[#This Row],[Product Category]]="","",IF(E218&lt;TODAY(),"EXPIRED",
IF(E218&lt;=TODAY()+30,"&lt;30 DAYS",
IF(E218&lt;=TODAY()+60,"&lt;60 DAYS",IF(E218=0,"","")))))</f>
        <v/>
      </c>
      <c r="H218">
        <f>SUMIF(Purchases[Product ID],A218,Purchases[Quantity])</f>
        <v>0</v>
      </c>
      <c r="I218">
        <f>SUMIF(Sales[Product Name],Inventory[[#This Row],[Product Name]],Sales[Quantity Sold])</f>
        <v>0</v>
      </c>
      <c r="J218">
        <f t="shared" si="7"/>
        <v>0</v>
      </c>
      <c r="N218">
        <f t="shared" si="8"/>
        <v>0</v>
      </c>
    </row>
    <row r="219" spans="4:14" ht="15">
      <c r="D219" s="26"/>
      <c r="E219" s="26"/>
      <c r="F219" t="str">
        <f ca="1">IF(Inventory[[#This Row],[Product Category]]="","",IF(E219&lt;TODAY(),"EXPIRED",
IF(E219&lt;=TODAY()+30,"&lt;30 DAYS",
IF(E219&lt;=TODAY()+60,"&lt;60 DAYS",IF(E219=0,"","")))))</f>
        <v/>
      </c>
      <c r="H219">
        <f>SUMIF(Purchases[Product ID],A219,Purchases[Quantity])</f>
        <v>0</v>
      </c>
      <c r="I219">
        <f>SUMIF(Sales[Product Name],Inventory[[#This Row],[Product Name]],Sales[Quantity Sold])</f>
        <v>0</v>
      </c>
      <c r="J219">
        <f t="shared" si="7"/>
        <v>0</v>
      </c>
      <c r="N219">
        <f t="shared" si="8"/>
        <v>0</v>
      </c>
    </row>
    <row r="220" spans="4:14" ht="15">
      <c r="D220" s="26"/>
      <c r="E220" s="26"/>
      <c r="F220" t="str">
        <f ca="1">IF(Inventory[[#This Row],[Product Category]]="","",IF(E220&lt;TODAY(),"EXPIRED",
IF(E220&lt;=TODAY()+30,"&lt;30 DAYS",
IF(E220&lt;=TODAY()+60,"&lt;60 DAYS",IF(E220=0,"","")))))</f>
        <v/>
      </c>
      <c r="H220">
        <f>SUMIF(Purchases[Product ID],A220,Purchases[Quantity])</f>
        <v>0</v>
      </c>
      <c r="I220">
        <f>SUMIF(Sales[Product Name],Inventory[[#This Row],[Product Name]],Sales[Quantity Sold])</f>
        <v>0</v>
      </c>
      <c r="J220">
        <f t="shared" si="7"/>
        <v>0</v>
      </c>
      <c r="N220">
        <f t="shared" si="8"/>
        <v>0</v>
      </c>
    </row>
    <row r="221" spans="4:14" ht="15">
      <c r="D221" s="26"/>
      <c r="E221" s="26"/>
      <c r="F221" t="str">
        <f ca="1">IF(Inventory[[#This Row],[Product Category]]="","",IF(E221&lt;TODAY(),"EXPIRED",
IF(E221&lt;=TODAY()+30,"&lt;30 DAYS",
IF(E221&lt;=TODAY()+60,"&lt;60 DAYS",IF(E221=0,"","")))))</f>
        <v/>
      </c>
      <c r="H221">
        <f>SUMIF(Purchases[Product ID],A221,Purchases[Quantity])</f>
        <v>0</v>
      </c>
      <c r="I221">
        <f>SUMIF(Sales[Product Name],Inventory[[#This Row],[Product Name]],Sales[Quantity Sold])</f>
        <v>0</v>
      </c>
      <c r="J221">
        <f t="shared" si="7"/>
        <v>0</v>
      </c>
      <c r="N221">
        <f t="shared" si="8"/>
        <v>0</v>
      </c>
    </row>
    <row r="222" spans="4:14" ht="15">
      <c r="D222" s="26"/>
      <c r="E222" s="26"/>
      <c r="F222" t="str">
        <f ca="1">IF(Inventory[[#This Row],[Product Category]]="","",IF(E222&lt;TODAY(),"EXPIRED",
IF(E222&lt;=TODAY()+30,"&lt;30 DAYS",
IF(E222&lt;=TODAY()+60,"&lt;60 DAYS",IF(E222=0,"","")))))</f>
        <v/>
      </c>
      <c r="H222">
        <f>SUMIF(Purchases[Product ID],A222,Purchases[Quantity])</f>
        <v>0</v>
      </c>
      <c r="I222">
        <f>SUMIF(Sales[Product Name],Inventory[[#This Row],[Product Name]],Sales[Quantity Sold])</f>
        <v>0</v>
      </c>
      <c r="J222">
        <f t="shared" si="7"/>
        <v>0</v>
      </c>
      <c r="N222">
        <f t="shared" si="8"/>
        <v>0</v>
      </c>
    </row>
    <row r="223" spans="4:14" ht="15">
      <c r="D223" s="26"/>
      <c r="E223" s="26"/>
      <c r="F223" t="str">
        <f ca="1">IF(Inventory[[#This Row],[Product Category]]="","",IF(E223&lt;TODAY(),"EXPIRED",
IF(E223&lt;=TODAY()+30,"&lt;30 DAYS",
IF(E223&lt;=TODAY()+60,"&lt;60 DAYS",IF(E223=0,"","")))))</f>
        <v/>
      </c>
      <c r="H223">
        <f>SUMIF(Purchases[Product ID],A223,Purchases[Quantity])</f>
        <v>0</v>
      </c>
      <c r="I223">
        <f>SUMIF(Sales[Product Name],Inventory[[#This Row],[Product Name]],Sales[Quantity Sold])</f>
        <v>0</v>
      </c>
      <c r="J223">
        <f t="shared" si="7"/>
        <v>0</v>
      </c>
      <c r="N223">
        <f t="shared" si="8"/>
        <v>0</v>
      </c>
    </row>
    <row r="224" spans="4:14" ht="15">
      <c r="D224" s="26"/>
      <c r="E224" s="26"/>
      <c r="F224" t="str">
        <f ca="1">IF(Inventory[[#This Row],[Product Category]]="","",IF(E224&lt;TODAY(),"EXPIRED",
IF(E224&lt;=TODAY()+30,"&lt;30 DAYS",
IF(E224&lt;=TODAY()+60,"&lt;60 DAYS",IF(E224=0,"","")))))</f>
        <v/>
      </c>
      <c r="H224">
        <f>SUMIF(Purchases[Product ID],A224,Purchases[Quantity])</f>
        <v>0</v>
      </c>
      <c r="I224">
        <f>SUMIF(Sales[Product Name],Inventory[[#This Row],[Product Name]],Sales[Quantity Sold])</f>
        <v>0</v>
      </c>
      <c r="J224">
        <f t="shared" si="7"/>
        <v>0</v>
      </c>
      <c r="N224">
        <f t="shared" si="8"/>
        <v>0</v>
      </c>
    </row>
    <row r="225" spans="4:14" ht="15">
      <c r="D225" s="26"/>
      <c r="E225" s="26"/>
      <c r="F225" t="str">
        <f ca="1">IF(Inventory[[#This Row],[Product Category]]="","",IF(E225&lt;TODAY(),"EXPIRED",
IF(E225&lt;=TODAY()+30,"&lt;30 DAYS",
IF(E225&lt;=TODAY()+60,"&lt;60 DAYS",IF(E225=0,"","")))))</f>
        <v/>
      </c>
      <c r="H225">
        <f>SUMIF(Purchases[Product ID],A225,Purchases[Quantity])</f>
        <v>0</v>
      </c>
      <c r="I225">
        <f>SUMIF(Sales[Product Name],Inventory[[#This Row],[Product Name]],Sales[Quantity Sold])</f>
        <v>0</v>
      </c>
      <c r="J225">
        <f t="shared" si="7"/>
        <v>0</v>
      </c>
      <c r="N225">
        <f t="shared" si="8"/>
        <v>0</v>
      </c>
    </row>
    <row r="226" spans="4:14" ht="15">
      <c r="D226" s="26"/>
      <c r="E226" s="26"/>
      <c r="F226" t="str">
        <f ca="1">IF(Inventory[[#This Row],[Product Category]]="","",IF(E226&lt;TODAY(),"EXPIRED",
IF(E226&lt;=TODAY()+30,"&lt;30 DAYS",
IF(E226&lt;=TODAY()+60,"&lt;60 DAYS",IF(E226=0,"","")))))</f>
        <v/>
      </c>
      <c r="H226">
        <f>SUMIF(Purchases[Product ID],A226,Purchases[Quantity])</f>
        <v>0</v>
      </c>
      <c r="I226">
        <f>SUMIF(Sales[Product Name],Inventory[[#This Row],[Product Name]],Sales[Quantity Sold])</f>
        <v>0</v>
      </c>
      <c r="J226">
        <f t="shared" si="7"/>
        <v>0</v>
      </c>
      <c r="N226">
        <f t="shared" si="8"/>
        <v>0</v>
      </c>
    </row>
    <row r="227" spans="4:14" ht="15">
      <c r="D227" s="26"/>
      <c r="E227" s="26"/>
      <c r="F227" t="str">
        <f ca="1">IF(Inventory[[#This Row],[Product Category]]="","",IF(E227&lt;TODAY(),"EXPIRED",
IF(E227&lt;=TODAY()+30,"&lt;30 DAYS",
IF(E227&lt;=TODAY()+60,"&lt;60 DAYS",IF(E227=0,"","")))))</f>
        <v/>
      </c>
      <c r="H227">
        <f>SUMIF(Purchases[Product ID],A227,Purchases[Quantity])</f>
        <v>0</v>
      </c>
      <c r="I227">
        <f>SUMIF(Sales[Product Name],Inventory[[#This Row],[Product Name]],Sales[Quantity Sold])</f>
        <v>0</v>
      </c>
      <c r="J227">
        <f t="shared" si="7"/>
        <v>0</v>
      </c>
      <c r="N227">
        <f t="shared" si="8"/>
        <v>0</v>
      </c>
    </row>
    <row r="228" spans="4:14" ht="15">
      <c r="D228" s="26"/>
      <c r="E228" s="26"/>
      <c r="F228" t="str">
        <f ca="1">IF(Inventory[[#This Row],[Product Category]]="","",IF(E228&lt;TODAY(),"EXPIRED",
IF(E228&lt;=TODAY()+30,"&lt;30 DAYS",
IF(E228&lt;=TODAY()+60,"&lt;60 DAYS",IF(E228=0,"","")))))</f>
        <v/>
      </c>
      <c r="H228">
        <f>SUMIF(Purchases[Product ID],A228,Purchases[Quantity])</f>
        <v>0</v>
      </c>
      <c r="I228">
        <f>SUMIF(Sales[Product Name],Inventory[[#This Row],[Product Name]],Sales[Quantity Sold])</f>
        <v>0</v>
      </c>
      <c r="J228">
        <f t="shared" si="7"/>
        <v>0</v>
      </c>
      <c r="N228">
        <f t="shared" si="8"/>
        <v>0</v>
      </c>
    </row>
    <row r="229" spans="4:14" ht="15">
      <c r="D229" s="26"/>
      <c r="E229" s="26"/>
      <c r="F229" t="str">
        <f ca="1">IF(Inventory[[#This Row],[Product Category]]="","",IF(E229&lt;TODAY(),"EXPIRED",
IF(E229&lt;=TODAY()+30,"&lt;30 DAYS",
IF(E229&lt;=TODAY()+60,"&lt;60 DAYS",IF(E229=0,"","")))))</f>
        <v/>
      </c>
      <c r="H229">
        <f>SUMIF(Purchases[Product ID],A229,Purchases[Quantity])</f>
        <v>0</v>
      </c>
      <c r="I229">
        <f>SUMIF(Sales[Product Name],Inventory[[#This Row],[Product Name]],Sales[Quantity Sold])</f>
        <v>0</v>
      </c>
      <c r="J229">
        <f t="shared" si="7"/>
        <v>0</v>
      </c>
      <c r="N229">
        <f t="shared" si="8"/>
        <v>0</v>
      </c>
    </row>
    <row r="230" spans="4:14" ht="15">
      <c r="D230" s="26"/>
      <c r="E230" s="26"/>
      <c r="F230" t="str">
        <f ca="1">IF(Inventory[[#This Row],[Product Category]]="","",IF(E230&lt;TODAY(),"EXPIRED",
IF(E230&lt;=TODAY()+30,"&lt;30 DAYS",
IF(E230&lt;=TODAY()+60,"&lt;60 DAYS",IF(E230=0,"","")))))</f>
        <v/>
      </c>
      <c r="H230">
        <f>SUMIF(Purchases[Product ID],A230,Purchases[Quantity])</f>
        <v>0</v>
      </c>
      <c r="I230">
        <f>SUMIF(Sales[Product Name],Inventory[[#This Row],[Product Name]],Sales[Quantity Sold])</f>
        <v>0</v>
      </c>
      <c r="J230">
        <f t="shared" si="7"/>
        <v>0</v>
      </c>
      <c r="N230">
        <f t="shared" si="8"/>
        <v>0</v>
      </c>
    </row>
    <row r="231" spans="4:14" ht="15">
      <c r="D231" s="26"/>
      <c r="E231" s="26"/>
      <c r="F231" t="str">
        <f ca="1">IF(Inventory[[#This Row],[Product Category]]="","",IF(E231&lt;TODAY(),"EXPIRED",
IF(E231&lt;=TODAY()+30,"&lt;30 DAYS",
IF(E231&lt;=TODAY()+60,"&lt;60 DAYS",IF(E231=0,"","")))))</f>
        <v/>
      </c>
      <c r="H231">
        <f>SUMIF(Purchases[Product ID],A231,Purchases[Quantity])</f>
        <v>0</v>
      </c>
      <c r="I231">
        <f>SUMIF(Sales[Product Name],Inventory[[#This Row],[Product Name]],Sales[Quantity Sold])</f>
        <v>0</v>
      </c>
      <c r="J231">
        <f t="shared" si="7"/>
        <v>0</v>
      </c>
      <c r="N231">
        <f t="shared" si="8"/>
        <v>0</v>
      </c>
    </row>
    <row r="232" spans="4:14" ht="15">
      <c r="D232" s="26"/>
      <c r="E232" s="26"/>
      <c r="F232" t="str">
        <f ca="1">IF(Inventory[[#This Row],[Product Category]]="","",IF(E232&lt;TODAY(),"EXPIRED",
IF(E232&lt;=TODAY()+30,"&lt;30 DAYS",
IF(E232&lt;=TODAY()+60,"&lt;60 DAYS",IF(E232=0,"","")))))</f>
        <v/>
      </c>
      <c r="H232">
        <f>SUMIF(Purchases[Product ID],A232,Purchases[Quantity])</f>
        <v>0</v>
      </c>
      <c r="I232">
        <f>SUMIF(Sales[Product Name],Inventory[[#This Row],[Product Name]],Sales[Quantity Sold])</f>
        <v>0</v>
      </c>
      <c r="J232">
        <f t="shared" si="7"/>
        <v>0</v>
      </c>
      <c r="N232">
        <f t="shared" si="8"/>
        <v>0</v>
      </c>
    </row>
    <row r="233" spans="4:14" ht="15">
      <c r="D233" s="26"/>
      <c r="E233" s="26"/>
      <c r="F233" t="str">
        <f ca="1">IF(Inventory[[#This Row],[Product Category]]="","",IF(E233&lt;TODAY(),"EXPIRED",
IF(E233&lt;=TODAY()+30,"&lt;30 DAYS",
IF(E233&lt;=TODAY()+60,"&lt;60 DAYS",IF(E233=0,"","")))))</f>
        <v/>
      </c>
      <c r="H233">
        <f>SUMIF(Purchases[Product ID],A233,Purchases[Quantity])</f>
        <v>0</v>
      </c>
      <c r="I233">
        <f>SUMIF(Sales[Product Name],Inventory[[#This Row],[Product Name]],Sales[Quantity Sold])</f>
        <v>0</v>
      </c>
      <c r="J233">
        <f t="shared" si="7"/>
        <v>0</v>
      </c>
      <c r="N233">
        <f t="shared" si="8"/>
        <v>0</v>
      </c>
    </row>
    <row r="234" spans="4:14" ht="15">
      <c r="D234" s="26"/>
      <c r="E234" s="26"/>
      <c r="F234" t="str">
        <f ca="1">IF(Inventory[[#This Row],[Product Category]]="","",IF(E234&lt;TODAY(),"EXPIRED",
IF(E234&lt;=TODAY()+30,"&lt;30 DAYS",
IF(E234&lt;=TODAY()+60,"&lt;60 DAYS",IF(E234=0,"","")))))</f>
        <v/>
      </c>
      <c r="H234">
        <f>SUMIF(Purchases[Product ID],A234,Purchases[Quantity])</f>
        <v>0</v>
      </c>
      <c r="I234">
        <f>SUMIF(Sales[Product Name],Inventory[[#This Row],[Product Name]],Sales[Quantity Sold])</f>
        <v>0</v>
      </c>
      <c r="J234">
        <f t="shared" si="7"/>
        <v>0</v>
      </c>
      <c r="N234">
        <f t="shared" si="8"/>
        <v>0</v>
      </c>
    </row>
    <row r="235" spans="4:14" ht="15">
      <c r="D235" s="26"/>
      <c r="E235" s="26"/>
      <c r="F235" t="str">
        <f ca="1">IF(Inventory[[#This Row],[Product Category]]="","",IF(E235&lt;TODAY(),"EXPIRED",
IF(E235&lt;=TODAY()+30,"&lt;30 DAYS",
IF(E235&lt;=TODAY()+60,"&lt;60 DAYS",IF(E235=0,"","")))))</f>
        <v/>
      </c>
      <c r="H235">
        <f>SUMIF(Purchases[Product ID],A235,Purchases[Quantity])</f>
        <v>0</v>
      </c>
      <c r="I235">
        <f>SUMIF(Sales[Product Name],Inventory[[#This Row],[Product Name]],Sales[Quantity Sold])</f>
        <v>0</v>
      </c>
      <c r="J235">
        <f t="shared" si="7"/>
        <v>0</v>
      </c>
      <c r="N235">
        <f t="shared" si="8"/>
        <v>0</v>
      </c>
    </row>
    <row r="236" spans="4:14" ht="15">
      <c r="D236" s="26"/>
      <c r="E236" s="26"/>
      <c r="F236" t="str">
        <f ca="1">IF(Inventory[[#This Row],[Product Category]]="","",IF(E236&lt;TODAY(),"EXPIRED",
IF(E236&lt;=TODAY()+30,"&lt;30 DAYS",
IF(E236&lt;=TODAY()+60,"&lt;60 DAYS",IF(E236=0,"","")))))</f>
        <v/>
      </c>
      <c r="H236">
        <f>SUMIF(Purchases[Product ID],A236,Purchases[Quantity])</f>
        <v>0</v>
      </c>
      <c r="I236">
        <f>SUMIF(Sales[Product Name],Inventory[[#This Row],[Product Name]],Sales[Quantity Sold])</f>
        <v>0</v>
      </c>
      <c r="J236">
        <f t="shared" si="7"/>
        <v>0</v>
      </c>
      <c r="N236">
        <f t="shared" si="8"/>
        <v>0</v>
      </c>
    </row>
    <row r="237" spans="4:14" ht="15">
      <c r="D237" s="26"/>
      <c r="E237" s="26"/>
      <c r="F237" t="str">
        <f ca="1">IF(Inventory[[#This Row],[Product Category]]="","",IF(E237&lt;TODAY(),"EXPIRED",
IF(E237&lt;=TODAY()+30,"&lt;30 DAYS",
IF(E237&lt;=TODAY()+60,"&lt;60 DAYS",IF(E237=0,"","")))))</f>
        <v/>
      </c>
      <c r="H237">
        <f>SUMIF(Purchases[Product ID],A237,Purchases[Quantity])</f>
        <v>0</v>
      </c>
      <c r="I237">
        <f>SUMIF(Sales[Product Name],Inventory[[#This Row],[Product Name]],Sales[Quantity Sold])</f>
        <v>0</v>
      </c>
      <c r="J237">
        <f t="shared" si="7"/>
        <v>0</v>
      </c>
      <c r="N237">
        <f t="shared" si="8"/>
        <v>0</v>
      </c>
    </row>
    <row r="238" spans="4:14" ht="15">
      <c r="D238" s="26"/>
      <c r="E238" s="26"/>
      <c r="F238" t="str">
        <f ca="1">IF(Inventory[[#This Row],[Product Category]]="","",IF(E238&lt;TODAY(),"EXPIRED",
IF(E238&lt;=TODAY()+30,"&lt;30 DAYS",
IF(E238&lt;=TODAY()+60,"&lt;60 DAYS",IF(E238=0,"","")))))</f>
        <v/>
      </c>
      <c r="H238">
        <f>SUMIF(Purchases[Product ID],A238,Purchases[Quantity])</f>
        <v>0</v>
      </c>
      <c r="I238">
        <f>SUMIF(Sales[Product Name],Inventory[[#This Row],[Product Name]],Sales[Quantity Sold])</f>
        <v>0</v>
      </c>
      <c r="J238">
        <f t="shared" si="7"/>
        <v>0</v>
      </c>
      <c r="N238">
        <f t="shared" si="8"/>
        <v>0</v>
      </c>
    </row>
    <row r="239" spans="4:14" ht="15">
      <c r="D239" s="26"/>
      <c r="E239" s="26"/>
      <c r="F239" t="str">
        <f ca="1">IF(Inventory[[#This Row],[Product Category]]="","",IF(E239&lt;TODAY(),"EXPIRED",
IF(E239&lt;=TODAY()+30,"&lt;30 DAYS",
IF(E239&lt;=TODAY()+60,"&lt;60 DAYS",IF(E239=0,"","")))))</f>
        <v/>
      </c>
      <c r="H239">
        <f>SUMIF(Purchases[Product ID],A239,Purchases[Quantity])</f>
        <v>0</v>
      </c>
      <c r="I239">
        <f>SUMIF(Sales[Product Name],Inventory[[#This Row],[Product Name]],Sales[Quantity Sold])</f>
        <v>0</v>
      </c>
      <c r="J239">
        <f t="shared" si="7"/>
        <v>0</v>
      </c>
      <c r="N239">
        <f t="shared" si="8"/>
        <v>0</v>
      </c>
    </row>
    <row r="240" spans="4:14" ht="15">
      <c r="D240" s="26"/>
      <c r="E240" s="26"/>
      <c r="F240" t="str">
        <f ca="1">IF(Inventory[[#This Row],[Product Category]]="","",IF(E240&lt;TODAY(),"EXPIRED",
IF(E240&lt;=TODAY()+30,"&lt;30 DAYS",
IF(E240&lt;=TODAY()+60,"&lt;60 DAYS",IF(E240=0,"","")))))</f>
        <v/>
      </c>
      <c r="H240">
        <f>SUMIF(Purchases[Product ID],A240,Purchases[Quantity])</f>
        <v>0</v>
      </c>
      <c r="I240">
        <f>SUMIF(Sales[Product Name],Inventory[[#This Row],[Product Name]],Sales[Quantity Sold])</f>
        <v>0</v>
      </c>
      <c r="J240">
        <f t="shared" si="7"/>
        <v>0</v>
      </c>
      <c r="N240">
        <f t="shared" si="8"/>
        <v>0</v>
      </c>
    </row>
    <row r="241" spans="4:14" ht="15">
      <c r="D241" s="26"/>
      <c r="E241" s="26"/>
      <c r="F241" t="str">
        <f ca="1">IF(Inventory[[#This Row],[Product Category]]="","",IF(E241&lt;TODAY(),"EXPIRED",
IF(E241&lt;=TODAY()+30,"&lt;30 DAYS",
IF(E241&lt;=TODAY()+60,"&lt;60 DAYS",IF(E241=0,"","")))))</f>
        <v/>
      </c>
      <c r="H241">
        <f>SUMIF(Purchases[Product ID],A241,Purchases[Quantity])</f>
        <v>0</v>
      </c>
      <c r="I241">
        <f>SUMIF(Sales[Product Name],Inventory[[#This Row],[Product Name]],Sales[Quantity Sold])</f>
        <v>0</v>
      </c>
      <c r="J241">
        <f t="shared" si="7"/>
        <v>0</v>
      </c>
      <c r="N241">
        <f t="shared" si="8"/>
        <v>0</v>
      </c>
    </row>
    <row r="242" spans="4:14" ht="15">
      <c r="D242" s="26"/>
      <c r="E242" s="26"/>
      <c r="F242" t="str">
        <f ca="1">IF(Inventory[[#This Row],[Product Category]]="","",IF(E242&lt;TODAY(),"EXPIRED",
IF(E242&lt;=TODAY()+30,"&lt;30 DAYS",
IF(E242&lt;=TODAY()+60,"&lt;60 DAYS",IF(E242=0,"","")))))</f>
        <v/>
      </c>
      <c r="H242">
        <f>SUMIF(Purchases[Product ID],A242,Purchases[Quantity])</f>
        <v>0</v>
      </c>
      <c r="I242">
        <f>SUMIF(Sales[Product Name],Inventory[[#This Row],[Product Name]],Sales[Quantity Sold])</f>
        <v>0</v>
      </c>
      <c r="J242">
        <f t="shared" si="7"/>
        <v>0</v>
      </c>
      <c r="N242">
        <f t="shared" si="8"/>
        <v>0</v>
      </c>
    </row>
    <row r="243" spans="4:14" ht="15">
      <c r="D243" s="26"/>
      <c r="E243" s="26"/>
      <c r="F243" t="str">
        <f ca="1">IF(Inventory[[#This Row],[Product Category]]="","",IF(E243&lt;TODAY(),"EXPIRED",
IF(E243&lt;=TODAY()+30,"&lt;30 DAYS",
IF(E243&lt;=TODAY()+60,"&lt;60 DAYS",IF(E243=0,"","")))))</f>
        <v/>
      </c>
      <c r="H243">
        <f>SUMIF(Purchases[Product ID],A243,Purchases[Quantity])</f>
        <v>0</v>
      </c>
      <c r="I243">
        <f>SUMIF(Sales[Product Name],Inventory[[#This Row],[Product Name]],Sales[Quantity Sold])</f>
        <v>0</v>
      </c>
      <c r="J243">
        <f t="shared" si="7"/>
        <v>0</v>
      </c>
      <c r="N243">
        <f t="shared" si="8"/>
        <v>0</v>
      </c>
    </row>
    <row r="244" spans="4:14" ht="15">
      <c r="D244" s="26"/>
      <c r="E244" s="26"/>
      <c r="F244" t="str">
        <f ca="1">IF(Inventory[[#This Row],[Product Category]]="","",IF(E244&lt;TODAY(),"EXPIRED",
IF(E244&lt;=TODAY()+30,"&lt;30 DAYS",
IF(E244&lt;=TODAY()+60,"&lt;60 DAYS",IF(E244=0,"","")))))</f>
        <v/>
      </c>
      <c r="H244">
        <f>SUMIF(Purchases[Product ID],A244,Purchases[Quantity])</f>
        <v>0</v>
      </c>
      <c r="I244">
        <f>SUMIF(Sales[Product Name],Inventory[[#This Row],[Product Name]],Sales[Quantity Sold])</f>
        <v>0</v>
      </c>
      <c r="J244">
        <f t="shared" si="7"/>
        <v>0</v>
      </c>
      <c r="N244">
        <f t="shared" si="8"/>
        <v>0</v>
      </c>
    </row>
    <row r="245" spans="4:14" ht="15">
      <c r="D245" s="26"/>
      <c r="E245" s="26"/>
      <c r="F245" t="str">
        <f ca="1">IF(Inventory[[#This Row],[Product Category]]="","",IF(E245&lt;TODAY(),"EXPIRED",
IF(E245&lt;=TODAY()+30,"&lt;30 DAYS",
IF(E245&lt;=TODAY()+60,"&lt;60 DAYS",IF(E245=0,"","")))))</f>
        <v/>
      </c>
      <c r="H245">
        <f>SUMIF(Purchases[Product ID],A245,Purchases[Quantity])</f>
        <v>0</v>
      </c>
      <c r="I245">
        <f>SUMIF(Sales[Product Name],Inventory[[#This Row],[Product Name]],Sales[Quantity Sold])</f>
        <v>0</v>
      </c>
      <c r="J245">
        <f t="shared" si="7"/>
        <v>0</v>
      </c>
      <c r="N245">
        <f t="shared" si="8"/>
        <v>0</v>
      </c>
    </row>
    <row r="246" spans="4:14" ht="15">
      <c r="D246" s="26"/>
      <c r="E246" s="26"/>
      <c r="F246" t="str">
        <f ca="1">IF(Inventory[[#This Row],[Product Category]]="","",IF(E246&lt;TODAY(),"EXPIRED",
IF(E246&lt;=TODAY()+30,"&lt;30 DAYS",
IF(E246&lt;=TODAY()+60,"&lt;60 DAYS",IF(E246=0,"","")))))</f>
        <v/>
      </c>
      <c r="H246">
        <f>SUMIF(Purchases[Product ID],A246,Purchases[Quantity])</f>
        <v>0</v>
      </c>
      <c r="I246">
        <f>SUMIF(Sales[Product Name],Inventory[[#This Row],[Product Name]],Sales[Quantity Sold])</f>
        <v>0</v>
      </c>
      <c r="J246">
        <f t="shared" si="7"/>
        <v>0</v>
      </c>
      <c r="N246">
        <f t="shared" si="8"/>
        <v>0</v>
      </c>
    </row>
    <row r="247" spans="4:14" ht="15">
      <c r="D247" s="26"/>
      <c r="E247" s="26"/>
      <c r="F247" t="str">
        <f ca="1">IF(Inventory[[#This Row],[Product Category]]="","",IF(E247&lt;TODAY(),"EXPIRED",
IF(E247&lt;=TODAY()+30,"&lt;30 DAYS",
IF(E247&lt;=TODAY()+60,"&lt;60 DAYS",IF(E247=0,"","")))))</f>
        <v/>
      </c>
      <c r="H247">
        <f>SUMIF(Purchases[Product ID],A247,Purchases[Quantity])</f>
        <v>0</v>
      </c>
      <c r="I247">
        <f>SUMIF(Sales[Product Name],Inventory[[#This Row],[Product Name]],Sales[Quantity Sold])</f>
        <v>0</v>
      </c>
      <c r="J247">
        <f t="shared" si="7"/>
        <v>0</v>
      </c>
      <c r="N247">
        <f t="shared" si="8"/>
        <v>0</v>
      </c>
    </row>
    <row r="248" spans="4:14" ht="15">
      <c r="D248" s="26"/>
      <c r="E248" s="26"/>
      <c r="F248" t="str">
        <f ca="1">IF(Inventory[[#This Row],[Product Category]]="","",IF(E248&lt;TODAY(),"EXPIRED",
IF(E248&lt;=TODAY()+30,"&lt;30 DAYS",
IF(E248&lt;=TODAY()+60,"&lt;60 DAYS",IF(E248=0,"","")))))</f>
        <v/>
      </c>
      <c r="H248">
        <f>SUMIF(Purchases[Product ID],A248,Purchases[Quantity])</f>
        <v>0</v>
      </c>
      <c r="I248">
        <f>SUMIF(Sales[Product Name],Inventory[[#This Row],[Product Name]],Sales[Quantity Sold])</f>
        <v>0</v>
      </c>
      <c r="J248">
        <f t="shared" si="7"/>
        <v>0</v>
      </c>
      <c r="N248">
        <f t="shared" si="8"/>
        <v>0</v>
      </c>
    </row>
    <row r="249" spans="4:14" ht="15">
      <c r="D249" s="26"/>
      <c r="E249" s="26"/>
      <c r="F249" t="str">
        <f ca="1">IF(Inventory[[#This Row],[Product Category]]="","",IF(E249&lt;TODAY(),"EXPIRED",
IF(E249&lt;=TODAY()+30,"&lt;30 DAYS",
IF(E249&lt;=TODAY()+60,"&lt;60 DAYS",IF(E249=0,"","")))))</f>
        <v/>
      </c>
      <c r="H249">
        <f>SUMIF(Purchases[Product ID],A249,Purchases[Quantity])</f>
        <v>0</v>
      </c>
      <c r="I249">
        <f>SUMIF(Sales[Product Name],Inventory[[#This Row],[Product Name]],Sales[Quantity Sold])</f>
        <v>0</v>
      </c>
      <c r="J249">
        <f t="shared" si="7"/>
        <v>0</v>
      </c>
      <c r="N249">
        <f t="shared" si="8"/>
        <v>0</v>
      </c>
    </row>
    <row r="250" spans="4:14" ht="15">
      <c r="D250" s="26"/>
      <c r="E250" s="26"/>
      <c r="F250" t="str">
        <f ca="1">IF(Inventory[[#This Row],[Product Category]]="","",IF(E250&lt;TODAY(),"EXPIRED",
IF(E250&lt;=TODAY()+30,"&lt;30 DAYS",
IF(E250&lt;=TODAY()+60,"&lt;60 DAYS",IF(E250=0,"","")))))</f>
        <v/>
      </c>
      <c r="H250">
        <f>SUMIF(Purchases[Product ID],A250,Purchases[Quantity])</f>
        <v>0</v>
      </c>
      <c r="I250">
        <f>SUMIF(Sales[Product Name],Inventory[[#This Row],[Product Name]],Sales[Quantity Sold])</f>
        <v>0</v>
      </c>
      <c r="J250">
        <f t="shared" si="7"/>
        <v>0</v>
      </c>
      <c r="N250">
        <f t="shared" si="8"/>
        <v>0</v>
      </c>
    </row>
    <row r="251" spans="4:14" ht="15">
      <c r="D251" s="26"/>
      <c r="E251" s="26"/>
      <c r="F251" t="str">
        <f ca="1">IF(Inventory[[#This Row],[Product Category]]="","",IF(E251&lt;TODAY(),"EXPIRED",
IF(E251&lt;=TODAY()+30,"&lt;30 DAYS",
IF(E251&lt;=TODAY()+60,"&lt;60 DAYS",IF(E251=0,"","")))))</f>
        <v/>
      </c>
      <c r="H251">
        <f>SUMIF(Purchases[Product ID],A251,Purchases[Quantity])</f>
        <v>0</v>
      </c>
      <c r="I251">
        <f>SUMIF(Sales[Product Name],Inventory[[#This Row],[Product Name]],Sales[Quantity Sold])</f>
        <v>0</v>
      </c>
      <c r="J251">
        <f t="shared" si="7"/>
        <v>0</v>
      </c>
      <c r="N251">
        <f t="shared" si="8"/>
        <v>0</v>
      </c>
    </row>
    <row r="252" spans="4:14" ht="15">
      <c r="D252" s="26"/>
      <c r="E252" s="26"/>
      <c r="F252" t="str">
        <f ca="1">IF(Inventory[[#This Row],[Product Category]]="","",IF(E252&lt;TODAY(),"EXPIRED",
IF(E252&lt;=TODAY()+30,"&lt;30 DAYS",
IF(E252&lt;=TODAY()+60,"&lt;60 DAYS",IF(E252=0,"","")))))</f>
        <v/>
      </c>
      <c r="H252">
        <f>SUMIF(Purchases[Product ID],A252,Purchases[Quantity])</f>
        <v>0</v>
      </c>
      <c r="I252">
        <f>SUMIF(Sales[Product Name],Inventory[[#This Row],[Product Name]],Sales[Quantity Sold])</f>
        <v>0</v>
      </c>
      <c r="J252">
        <f t="shared" si="7"/>
        <v>0</v>
      </c>
      <c r="N252">
        <f t="shared" si="8"/>
        <v>0</v>
      </c>
    </row>
    <row r="253" spans="4:14" ht="15">
      <c r="D253" s="26"/>
      <c r="E253" s="26"/>
      <c r="F253" t="str">
        <f ca="1">IF(Inventory[[#This Row],[Product Category]]="","",IF(E253&lt;TODAY(),"EXPIRED",
IF(E253&lt;=TODAY()+30,"&lt;30 DAYS",
IF(E253&lt;=TODAY()+60,"&lt;60 DAYS",IF(E253=0,"","")))))</f>
        <v/>
      </c>
      <c r="H253">
        <f>SUMIF(Purchases[Product ID],A253,Purchases[Quantity])</f>
        <v>0</v>
      </c>
      <c r="I253">
        <f>SUMIF(Sales[Product Name],Inventory[[#This Row],[Product Name]],Sales[Quantity Sold])</f>
        <v>0</v>
      </c>
      <c r="J253">
        <f t="shared" si="7"/>
        <v>0</v>
      </c>
      <c r="N253">
        <f t="shared" si="8"/>
        <v>0</v>
      </c>
    </row>
    <row r="254" spans="4:14" ht="15">
      <c r="D254" s="26"/>
      <c r="E254" s="26"/>
      <c r="F254" t="str">
        <f ca="1">IF(Inventory[[#This Row],[Product Category]]="","",IF(E254&lt;TODAY(),"EXPIRED",
IF(E254&lt;=TODAY()+30,"&lt;30 DAYS",
IF(E254&lt;=TODAY()+60,"&lt;60 DAYS",IF(E254=0,"","")))))</f>
        <v/>
      </c>
      <c r="H254">
        <f>SUMIF(Purchases[Product ID],A254,Purchases[Quantity])</f>
        <v>0</v>
      </c>
      <c r="I254">
        <f>SUMIF(Sales[Product Name],Inventory[[#This Row],[Product Name]],Sales[Quantity Sold])</f>
        <v>0</v>
      </c>
      <c r="J254">
        <f t="shared" si="7"/>
        <v>0</v>
      </c>
      <c r="N254">
        <f t="shared" si="8"/>
        <v>0</v>
      </c>
    </row>
    <row r="255" spans="4:14" ht="15">
      <c r="D255" s="26"/>
      <c r="E255" s="26"/>
      <c r="F255" t="str">
        <f ca="1">IF(Inventory[[#This Row],[Product Category]]="","",IF(E255&lt;TODAY(),"EXPIRED",
IF(E255&lt;=TODAY()+30,"&lt;30 DAYS",
IF(E255&lt;=TODAY()+60,"&lt;60 DAYS",IF(E255=0,"","")))))</f>
        <v/>
      </c>
      <c r="H255">
        <f>SUMIF(Purchases[Product ID],A255,Purchases[Quantity])</f>
        <v>0</v>
      </c>
      <c r="I255">
        <f>SUMIF(Sales[Product Name],Inventory[[#This Row],[Product Name]],Sales[Quantity Sold])</f>
        <v>0</v>
      </c>
      <c r="J255">
        <f t="shared" si="7"/>
        <v>0</v>
      </c>
      <c r="N255">
        <f t="shared" si="8"/>
        <v>0</v>
      </c>
    </row>
    <row r="256" spans="4:14" ht="15">
      <c r="D256" s="26"/>
      <c r="E256" s="26"/>
      <c r="F256" t="str">
        <f ca="1">IF(Inventory[[#This Row],[Product Category]]="","",IF(E256&lt;TODAY(),"EXPIRED",
IF(E256&lt;=TODAY()+30,"&lt;30 DAYS",
IF(E256&lt;=TODAY()+60,"&lt;60 DAYS",IF(E256=0,"","")))))</f>
        <v/>
      </c>
      <c r="H256">
        <f>SUMIF(Purchases[Product ID],A256,Purchases[Quantity])</f>
        <v>0</v>
      </c>
      <c r="I256">
        <f>SUMIF(Sales[Product Name],Inventory[[#This Row],[Product Name]],Sales[Quantity Sold])</f>
        <v>0</v>
      </c>
      <c r="J256">
        <f t="shared" si="7"/>
        <v>0</v>
      </c>
      <c r="N256">
        <f t="shared" si="8"/>
        <v>0</v>
      </c>
    </row>
    <row r="257" spans="4:14" ht="15">
      <c r="D257" s="26"/>
      <c r="E257" s="26"/>
      <c r="F257" t="str">
        <f ca="1">IF(Inventory[[#This Row],[Product Category]]="","",IF(E257&lt;TODAY(),"EXPIRED",
IF(E257&lt;=TODAY()+30,"&lt;30 DAYS",
IF(E257&lt;=TODAY()+60,"&lt;60 DAYS",IF(E257=0,"","")))))</f>
        <v/>
      </c>
      <c r="H257">
        <f>SUMIF(Purchases[Product ID],A257,Purchases[Quantity])</f>
        <v>0</v>
      </c>
      <c r="I257">
        <f>SUMIF(Sales[Product Name],Inventory[[#This Row],[Product Name]],Sales[Quantity Sold])</f>
        <v>0</v>
      </c>
      <c r="J257">
        <f t="shared" si="7"/>
        <v>0</v>
      </c>
      <c r="N257">
        <f t="shared" si="8"/>
        <v>0</v>
      </c>
    </row>
    <row r="258" spans="4:14" ht="15">
      <c r="D258" s="26"/>
      <c r="E258" s="26"/>
      <c r="F258" t="str">
        <f ca="1">IF(Inventory[[#This Row],[Product Category]]="","",IF(E258&lt;TODAY(),"EXPIRED",
IF(E258&lt;=TODAY()+30,"&lt;30 DAYS",
IF(E258&lt;=TODAY()+60,"&lt;60 DAYS",IF(E258=0,"","")))))</f>
        <v/>
      </c>
      <c r="H258">
        <f>SUMIF(Purchases[Product ID],A258,Purchases[Quantity])</f>
        <v>0</v>
      </c>
      <c r="I258">
        <f>SUMIF(Sales[Product Name],Inventory[[#This Row],[Product Name]],Sales[Quantity Sold])</f>
        <v>0</v>
      </c>
      <c r="J258">
        <f t="shared" si="7"/>
        <v>0</v>
      </c>
      <c r="N258">
        <f t="shared" si="8"/>
        <v>0</v>
      </c>
    </row>
    <row r="259" spans="4:14" ht="15">
      <c r="D259" s="26"/>
      <c r="E259" s="26"/>
      <c r="F259" t="str">
        <f ca="1">IF(Inventory[[#This Row],[Product Category]]="","",IF(E259&lt;TODAY(),"EXPIRED",
IF(E259&lt;=TODAY()+30,"&lt;30 DAYS",
IF(E259&lt;=TODAY()+60,"&lt;60 DAYS",IF(E259=0,"","")))))</f>
        <v/>
      </c>
      <c r="H259">
        <f>SUMIF(Purchases[Product ID],A259,Purchases[Quantity])</f>
        <v>0</v>
      </c>
      <c r="I259">
        <f>SUMIF(Sales[Product Name],Inventory[[#This Row],[Product Name]],Sales[Quantity Sold])</f>
        <v>0</v>
      </c>
      <c r="J259">
        <f t="shared" si="7"/>
        <v>0</v>
      </c>
      <c r="N259">
        <f t="shared" si="8"/>
        <v>0</v>
      </c>
    </row>
    <row r="260" spans="4:14" ht="15">
      <c r="D260" s="26"/>
      <c r="E260" s="26"/>
      <c r="F260" t="str">
        <f ca="1">IF(Inventory[[#This Row],[Product Category]]="","",IF(E260&lt;TODAY(),"EXPIRED",
IF(E260&lt;=TODAY()+30,"&lt;30 DAYS",
IF(E260&lt;=TODAY()+60,"&lt;60 DAYS",IF(E260=0,"","")))))</f>
        <v/>
      </c>
      <c r="H260">
        <f>SUMIF(Purchases[Product ID],A260,Purchases[Quantity])</f>
        <v>0</v>
      </c>
      <c r="I260">
        <f>SUMIF(Sales[Product Name],Inventory[[#This Row],[Product Name]],Sales[Quantity Sold])</f>
        <v>0</v>
      </c>
      <c r="J260">
        <f t="shared" si="7"/>
        <v>0</v>
      </c>
      <c r="N260">
        <f t="shared" si="8"/>
        <v>0</v>
      </c>
    </row>
    <row r="261" spans="4:14" ht="15">
      <c r="D261" s="26"/>
      <c r="E261" s="26"/>
      <c r="F261" t="str">
        <f ca="1">IF(Inventory[[#This Row],[Product Category]]="","",IF(E261&lt;TODAY(),"EXPIRED",
IF(E261&lt;=TODAY()+30,"&lt;30 DAYS",
IF(E261&lt;=TODAY()+60,"&lt;60 DAYS",IF(E261=0,"","")))))</f>
        <v/>
      </c>
      <c r="H261">
        <f>SUMIF(Purchases[Product ID],A261,Purchases[Quantity])</f>
        <v>0</v>
      </c>
      <c r="I261">
        <f>SUMIF(Sales[Product Name],Inventory[[#This Row],[Product Name]],Sales[Quantity Sold])</f>
        <v>0</v>
      </c>
      <c r="J261">
        <f t="shared" si="7"/>
        <v>0</v>
      </c>
      <c r="N261">
        <f t="shared" si="8"/>
        <v>0</v>
      </c>
    </row>
    <row r="262" spans="4:14" ht="15">
      <c r="D262" s="26"/>
      <c r="E262" s="26"/>
      <c r="F262" t="str">
        <f ca="1">IF(Inventory[[#This Row],[Product Category]]="","",IF(E262&lt;TODAY(),"EXPIRED",
IF(E262&lt;=TODAY()+30,"&lt;30 DAYS",
IF(E262&lt;=TODAY()+60,"&lt;60 DAYS",IF(E262=0,"","")))))</f>
        <v/>
      </c>
      <c r="H262">
        <f>SUMIF(Purchases[Product ID],A262,Purchases[Quantity])</f>
        <v>0</v>
      </c>
      <c r="I262">
        <f>SUMIF(Sales[Product Name],Inventory[[#This Row],[Product Name]],Sales[Quantity Sold])</f>
        <v>0</v>
      </c>
      <c r="J262">
        <f t="shared" si="7"/>
        <v>0</v>
      </c>
      <c r="N262">
        <f t="shared" si="8"/>
        <v>0</v>
      </c>
    </row>
    <row r="263" spans="4:14" ht="15">
      <c r="D263" s="26"/>
      <c r="E263" s="26"/>
      <c r="F263" t="str">
        <f ca="1">IF(Inventory[[#This Row],[Product Category]]="","",IF(E263&lt;TODAY(),"EXPIRED",
IF(E263&lt;=TODAY()+30,"&lt;30 DAYS",
IF(E263&lt;=TODAY()+60,"&lt;60 DAYS",IF(E263=0,"","")))))</f>
        <v/>
      </c>
      <c r="H263">
        <f>SUMIF(Purchases[Product ID],A263,Purchases[Quantity])</f>
        <v>0</v>
      </c>
      <c r="I263">
        <f>SUMIF(Sales[Product Name],Inventory[[#This Row],[Product Name]],Sales[Quantity Sold])</f>
        <v>0</v>
      </c>
      <c r="J263">
        <f t="shared" si="7"/>
        <v>0</v>
      </c>
      <c r="N263">
        <f t="shared" si="8"/>
        <v>0</v>
      </c>
    </row>
    <row r="264" spans="4:14" ht="15">
      <c r="D264" s="26"/>
      <c r="E264" s="26"/>
      <c r="F264" t="str">
        <f ca="1">IF(Inventory[[#This Row],[Product Category]]="","",IF(E264&lt;TODAY(),"EXPIRED",
IF(E264&lt;=TODAY()+30,"&lt;30 DAYS",
IF(E264&lt;=TODAY()+60,"&lt;60 DAYS",IF(E264=0,"","")))))</f>
        <v/>
      </c>
      <c r="H264">
        <f>SUMIF(Purchases[Product ID],A264,Purchases[Quantity])</f>
        <v>0</v>
      </c>
      <c r="I264">
        <f>SUMIF(Sales[Product Name],Inventory[[#This Row],[Product Name]],Sales[Quantity Sold])</f>
        <v>0</v>
      </c>
      <c r="J264">
        <f t="shared" ref="J264:J327" si="9">G264+H264-I264</f>
        <v>0</v>
      </c>
      <c r="N264">
        <f t="shared" ref="N264:N327" si="10">J264*L264</f>
        <v>0</v>
      </c>
    </row>
    <row r="265" spans="4:14" ht="15">
      <c r="D265" s="26"/>
      <c r="E265" s="26"/>
      <c r="F265" t="str">
        <f ca="1">IF(Inventory[[#This Row],[Product Category]]="","",IF(E265&lt;TODAY(),"EXPIRED",
IF(E265&lt;=TODAY()+30,"&lt;30 DAYS",
IF(E265&lt;=TODAY()+60,"&lt;60 DAYS",IF(E265=0,"","")))))</f>
        <v/>
      </c>
      <c r="H265">
        <f>SUMIF(Purchases[Product ID],A265,Purchases[Quantity])</f>
        <v>0</v>
      </c>
      <c r="I265">
        <f>SUMIF(Sales[Product Name],Inventory[[#This Row],[Product Name]],Sales[Quantity Sold])</f>
        <v>0</v>
      </c>
      <c r="J265">
        <f t="shared" si="9"/>
        <v>0</v>
      </c>
      <c r="N265">
        <f t="shared" si="10"/>
        <v>0</v>
      </c>
    </row>
    <row r="266" spans="4:14" ht="15">
      <c r="D266" s="26"/>
      <c r="E266" s="26"/>
      <c r="F266" t="str">
        <f ca="1">IF(Inventory[[#This Row],[Product Category]]="","",IF(E266&lt;TODAY(),"EXPIRED",
IF(E266&lt;=TODAY()+30,"&lt;30 DAYS",
IF(E266&lt;=TODAY()+60,"&lt;60 DAYS",IF(E266=0,"","")))))</f>
        <v/>
      </c>
      <c r="H266">
        <f>SUMIF(Purchases[Product ID],A266,Purchases[Quantity])</f>
        <v>0</v>
      </c>
      <c r="I266">
        <f>SUMIF(Sales[Product Name],Inventory[[#This Row],[Product Name]],Sales[Quantity Sold])</f>
        <v>0</v>
      </c>
      <c r="J266">
        <f t="shared" si="9"/>
        <v>0</v>
      </c>
      <c r="N266">
        <f t="shared" si="10"/>
        <v>0</v>
      </c>
    </row>
    <row r="267" spans="4:14" ht="15">
      <c r="D267" s="26"/>
      <c r="E267" s="26"/>
      <c r="F267" t="str">
        <f ca="1">IF(Inventory[[#This Row],[Product Category]]="","",IF(E267&lt;TODAY(),"EXPIRED",
IF(E267&lt;=TODAY()+30,"&lt;30 DAYS",
IF(E267&lt;=TODAY()+60,"&lt;60 DAYS",IF(E267=0,"","")))))</f>
        <v/>
      </c>
      <c r="H267">
        <f>SUMIF(Purchases[Product ID],A267,Purchases[Quantity])</f>
        <v>0</v>
      </c>
      <c r="I267">
        <f>SUMIF(Sales[Product Name],Inventory[[#This Row],[Product Name]],Sales[Quantity Sold])</f>
        <v>0</v>
      </c>
      <c r="J267">
        <f t="shared" si="9"/>
        <v>0</v>
      </c>
      <c r="N267">
        <f t="shared" si="10"/>
        <v>0</v>
      </c>
    </row>
    <row r="268" spans="4:14" ht="15">
      <c r="D268" s="26"/>
      <c r="E268" s="26"/>
      <c r="F268" t="str">
        <f ca="1">IF(Inventory[[#This Row],[Product Category]]="","",IF(E268&lt;TODAY(),"EXPIRED",
IF(E268&lt;=TODAY()+30,"&lt;30 DAYS",
IF(E268&lt;=TODAY()+60,"&lt;60 DAYS",IF(E268=0,"","")))))</f>
        <v/>
      </c>
      <c r="H268">
        <f>SUMIF(Purchases[Product ID],A268,Purchases[Quantity])</f>
        <v>0</v>
      </c>
      <c r="I268">
        <f>SUMIF(Sales[Product Name],Inventory[[#This Row],[Product Name]],Sales[Quantity Sold])</f>
        <v>0</v>
      </c>
      <c r="J268">
        <f t="shared" si="9"/>
        <v>0</v>
      </c>
      <c r="N268">
        <f t="shared" si="10"/>
        <v>0</v>
      </c>
    </row>
    <row r="269" spans="4:14" ht="15">
      <c r="D269" s="26"/>
      <c r="E269" s="26"/>
      <c r="F269" t="str">
        <f ca="1">IF(Inventory[[#This Row],[Product Category]]="","",IF(E269&lt;TODAY(),"EXPIRED",
IF(E269&lt;=TODAY()+30,"&lt;30 DAYS",
IF(E269&lt;=TODAY()+60,"&lt;60 DAYS",IF(E269=0,"","")))))</f>
        <v/>
      </c>
      <c r="H269">
        <f>SUMIF(Purchases[Product ID],A269,Purchases[Quantity])</f>
        <v>0</v>
      </c>
      <c r="I269">
        <f>SUMIF(Sales[Product Name],Inventory[[#This Row],[Product Name]],Sales[Quantity Sold])</f>
        <v>0</v>
      </c>
      <c r="J269">
        <f t="shared" si="9"/>
        <v>0</v>
      </c>
      <c r="N269">
        <f t="shared" si="10"/>
        <v>0</v>
      </c>
    </row>
    <row r="270" spans="4:14" ht="15">
      <c r="D270" s="26"/>
      <c r="E270" s="26"/>
      <c r="F270" t="str">
        <f ca="1">IF(Inventory[[#This Row],[Product Category]]="","",IF(E270&lt;TODAY(),"EXPIRED",
IF(E270&lt;=TODAY()+30,"&lt;30 DAYS",
IF(E270&lt;=TODAY()+60,"&lt;60 DAYS",IF(E270=0,"","")))))</f>
        <v/>
      </c>
      <c r="H270">
        <f>SUMIF(Purchases[Product ID],A270,Purchases[Quantity])</f>
        <v>0</v>
      </c>
      <c r="I270">
        <f>SUMIF(Sales[Product Name],Inventory[[#This Row],[Product Name]],Sales[Quantity Sold])</f>
        <v>0</v>
      </c>
      <c r="J270">
        <f t="shared" si="9"/>
        <v>0</v>
      </c>
      <c r="N270">
        <f t="shared" si="10"/>
        <v>0</v>
      </c>
    </row>
    <row r="271" spans="4:14" ht="15">
      <c r="D271" s="26"/>
      <c r="E271" s="26"/>
      <c r="F271" t="str">
        <f ca="1">IF(Inventory[[#This Row],[Product Category]]="","",IF(E271&lt;TODAY(),"EXPIRED",
IF(E271&lt;=TODAY()+30,"&lt;30 DAYS",
IF(E271&lt;=TODAY()+60,"&lt;60 DAYS",IF(E271=0,"","")))))</f>
        <v/>
      </c>
      <c r="H271">
        <f>SUMIF(Purchases[Product ID],A271,Purchases[Quantity])</f>
        <v>0</v>
      </c>
      <c r="I271">
        <f>SUMIF(Sales[Product Name],Inventory[[#This Row],[Product Name]],Sales[Quantity Sold])</f>
        <v>0</v>
      </c>
      <c r="J271">
        <f t="shared" si="9"/>
        <v>0</v>
      </c>
      <c r="N271">
        <f t="shared" si="10"/>
        <v>0</v>
      </c>
    </row>
    <row r="272" spans="4:14" ht="15">
      <c r="D272" s="26"/>
      <c r="E272" s="26"/>
      <c r="F272" t="str">
        <f ca="1">IF(Inventory[[#This Row],[Product Category]]="","",IF(E272&lt;TODAY(),"EXPIRED",
IF(E272&lt;=TODAY()+30,"&lt;30 DAYS",
IF(E272&lt;=TODAY()+60,"&lt;60 DAYS",IF(E272=0,"","")))))</f>
        <v/>
      </c>
      <c r="H272">
        <f>SUMIF(Purchases[Product ID],A272,Purchases[Quantity])</f>
        <v>0</v>
      </c>
      <c r="I272">
        <f>SUMIF(Sales[Product Name],Inventory[[#This Row],[Product Name]],Sales[Quantity Sold])</f>
        <v>0</v>
      </c>
      <c r="J272">
        <f t="shared" si="9"/>
        <v>0</v>
      </c>
      <c r="N272">
        <f t="shared" si="10"/>
        <v>0</v>
      </c>
    </row>
    <row r="273" spans="4:14" ht="15">
      <c r="D273" s="26"/>
      <c r="E273" s="26"/>
      <c r="F273" t="str">
        <f ca="1">IF(Inventory[[#This Row],[Product Category]]="","",IF(E273&lt;TODAY(),"EXPIRED",
IF(E273&lt;=TODAY()+30,"&lt;30 DAYS",
IF(E273&lt;=TODAY()+60,"&lt;60 DAYS",IF(E273=0,"","")))))</f>
        <v/>
      </c>
      <c r="H273">
        <f>SUMIF(Purchases[Product ID],A273,Purchases[Quantity])</f>
        <v>0</v>
      </c>
      <c r="I273">
        <f>SUMIF(Sales[Product Name],Inventory[[#This Row],[Product Name]],Sales[Quantity Sold])</f>
        <v>0</v>
      </c>
      <c r="J273">
        <f t="shared" si="9"/>
        <v>0</v>
      </c>
      <c r="N273">
        <f t="shared" si="10"/>
        <v>0</v>
      </c>
    </row>
    <row r="274" spans="4:14" ht="15">
      <c r="D274" s="26"/>
      <c r="E274" s="26"/>
      <c r="F274" t="str">
        <f ca="1">IF(Inventory[[#This Row],[Product Category]]="","",IF(E274&lt;TODAY(),"EXPIRED",
IF(E274&lt;=TODAY()+30,"&lt;30 DAYS",
IF(E274&lt;=TODAY()+60,"&lt;60 DAYS",IF(E274=0,"","")))))</f>
        <v/>
      </c>
      <c r="H274">
        <f>SUMIF(Purchases[Product ID],A274,Purchases[Quantity])</f>
        <v>0</v>
      </c>
      <c r="I274">
        <f>SUMIF(Sales[Product Name],Inventory[[#This Row],[Product Name]],Sales[Quantity Sold])</f>
        <v>0</v>
      </c>
      <c r="J274">
        <f t="shared" si="9"/>
        <v>0</v>
      </c>
      <c r="N274">
        <f t="shared" si="10"/>
        <v>0</v>
      </c>
    </row>
    <row r="275" spans="4:14" ht="15">
      <c r="D275" s="26"/>
      <c r="E275" s="26"/>
      <c r="F275" t="str">
        <f ca="1">IF(Inventory[[#This Row],[Product Category]]="","",IF(E275&lt;TODAY(),"EXPIRED",
IF(E275&lt;=TODAY()+30,"&lt;30 DAYS",
IF(E275&lt;=TODAY()+60,"&lt;60 DAYS",IF(E275=0,"","")))))</f>
        <v/>
      </c>
      <c r="H275">
        <f>SUMIF(Purchases[Product ID],A275,Purchases[Quantity])</f>
        <v>0</v>
      </c>
      <c r="I275">
        <f>SUMIF(Sales[Product Name],Inventory[[#This Row],[Product Name]],Sales[Quantity Sold])</f>
        <v>0</v>
      </c>
      <c r="J275">
        <f t="shared" si="9"/>
        <v>0</v>
      </c>
      <c r="N275">
        <f t="shared" si="10"/>
        <v>0</v>
      </c>
    </row>
    <row r="276" spans="4:14" ht="15">
      <c r="D276" s="26"/>
      <c r="E276" s="26"/>
      <c r="F276" t="str">
        <f ca="1">IF(Inventory[[#This Row],[Product Category]]="","",IF(E276&lt;TODAY(),"EXPIRED",
IF(E276&lt;=TODAY()+30,"&lt;30 DAYS",
IF(E276&lt;=TODAY()+60,"&lt;60 DAYS",IF(E276=0,"","")))))</f>
        <v/>
      </c>
      <c r="H276">
        <f>SUMIF(Purchases[Product ID],A276,Purchases[Quantity])</f>
        <v>0</v>
      </c>
      <c r="I276">
        <f>SUMIF(Sales[Product Name],Inventory[[#This Row],[Product Name]],Sales[Quantity Sold])</f>
        <v>0</v>
      </c>
      <c r="J276">
        <f t="shared" si="9"/>
        <v>0</v>
      </c>
      <c r="N276">
        <f t="shared" si="10"/>
        <v>0</v>
      </c>
    </row>
    <row r="277" spans="4:14" ht="15">
      <c r="D277" s="26"/>
      <c r="E277" s="26"/>
      <c r="F277" t="str">
        <f ca="1">IF(Inventory[[#This Row],[Product Category]]="","",IF(E277&lt;TODAY(),"EXPIRED",
IF(E277&lt;=TODAY()+30,"&lt;30 DAYS",
IF(E277&lt;=TODAY()+60,"&lt;60 DAYS",IF(E277=0,"","")))))</f>
        <v/>
      </c>
      <c r="H277">
        <f>SUMIF(Purchases[Product ID],A277,Purchases[Quantity])</f>
        <v>0</v>
      </c>
      <c r="I277">
        <f>SUMIF(Sales[Product Name],Inventory[[#This Row],[Product Name]],Sales[Quantity Sold])</f>
        <v>0</v>
      </c>
      <c r="J277">
        <f t="shared" si="9"/>
        <v>0</v>
      </c>
      <c r="N277">
        <f t="shared" si="10"/>
        <v>0</v>
      </c>
    </row>
    <row r="278" spans="4:14" ht="15">
      <c r="D278" s="26"/>
      <c r="E278" s="26"/>
      <c r="F278" t="str">
        <f ca="1">IF(Inventory[[#This Row],[Product Category]]="","",IF(E278&lt;TODAY(),"EXPIRED",
IF(E278&lt;=TODAY()+30,"&lt;30 DAYS",
IF(E278&lt;=TODAY()+60,"&lt;60 DAYS",IF(E278=0,"","")))))</f>
        <v/>
      </c>
      <c r="H278">
        <f>SUMIF(Purchases[Product ID],A278,Purchases[Quantity])</f>
        <v>0</v>
      </c>
      <c r="I278">
        <f>SUMIF(Sales[Product Name],Inventory[[#This Row],[Product Name]],Sales[Quantity Sold])</f>
        <v>0</v>
      </c>
      <c r="J278">
        <f t="shared" si="9"/>
        <v>0</v>
      </c>
      <c r="N278">
        <f t="shared" si="10"/>
        <v>0</v>
      </c>
    </row>
    <row r="279" spans="4:14" ht="15">
      <c r="D279" s="26"/>
      <c r="E279" s="26"/>
      <c r="F279" t="str">
        <f ca="1">IF(Inventory[[#This Row],[Product Category]]="","",IF(E279&lt;TODAY(),"EXPIRED",
IF(E279&lt;=TODAY()+30,"&lt;30 DAYS",
IF(E279&lt;=TODAY()+60,"&lt;60 DAYS",IF(E279=0,"","")))))</f>
        <v/>
      </c>
      <c r="H279">
        <f>SUMIF(Purchases[Product ID],A279,Purchases[Quantity])</f>
        <v>0</v>
      </c>
      <c r="I279">
        <f>SUMIF(Sales[Product Name],Inventory[[#This Row],[Product Name]],Sales[Quantity Sold])</f>
        <v>0</v>
      </c>
      <c r="J279">
        <f t="shared" si="9"/>
        <v>0</v>
      </c>
      <c r="N279">
        <f t="shared" si="10"/>
        <v>0</v>
      </c>
    </row>
    <row r="280" spans="4:14" ht="15">
      <c r="D280" s="26"/>
      <c r="E280" s="26"/>
      <c r="F280" t="str">
        <f ca="1">IF(Inventory[[#This Row],[Product Category]]="","",IF(E280&lt;TODAY(),"EXPIRED",
IF(E280&lt;=TODAY()+30,"&lt;30 DAYS",
IF(E280&lt;=TODAY()+60,"&lt;60 DAYS",IF(E280=0,"","")))))</f>
        <v/>
      </c>
      <c r="H280">
        <f>SUMIF(Purchases[Product ID],A280,Purchases[Quantity])</f>
        <v>0</v>
      </c>
      <c r="I280">
        <f>SUMIF(Sales[Product Name],Inventory[[#This Row],[Product Name]],Sales[Quantity Sold])</f>
        <v>0</v>
      </c>
      <c r="J280">
        <f t="shared" si="9"/>
        <v>0</v>
      </c>
      <c r="N280">
        <f t="shared" si="10"/>
        <v>0</v>
      </c>
    </row>
    <row r="281" spans="4:14" ht="15">
      <c r="D281" s="26"/>
      <c r="E281" s="26"/>
      <c r="F281" t="str">
        <f ca="1">IF(Inventory[[#This Row],[Product Category]]="","",IF(E281&lt;TODAY(),"EXPIRED",
IF(E281&lt;=TODAY()+30,"&lt;30 DAYS",
IF(E281&lt;=TODAY()+60,"&lt;60 DAYS",IF(E281=0,"","")))))</f>
        <v/>
      </c>
      <c r="H281">
        <f>SUMIF(Purchases[Product ID],A281,Purchases[Quantity])</f>
        <v>0</v>
      </c>
      <c r="I281">
        <f>SUMIF(Sales[Product Name],Inventory[[#This Row],[Product Name]],Sales[Quantity Sold])</f>
        <v>0</v>
      </c>
      <c r="J281">
        <f t="shared" si="9"/>
        <v>0</v>
      </c>
      <c r="N281">
        <f t="shared" si="10"/>
        <v>0</v>
      </c>
    </row>
    <row r="282" spans="4:14" ht="15">
      <c r="D282" s="26"/>
      <c r="E282" s="26"/>
      <c r="F282" t="str">
        <f ca="1">IF(Inventory[[#This Row],[Product Category]]="","",IF(E282&lt;TODAY(),"EXPIRED",
IF(E282&lt;=TODAY()+30,"&lt;30 DAYS",
IF(E282&lt;=TODAY()+60,"&lt;60 DAYS",IF(E282=0,"","")))))</f>
        <v/>
      </c>
      <c r="H282">
        <f>SUMIF(Purchases[Product ID],A282,Purchases[Quantity])</f>
        <v>0</v>
      </c>
      <c r="I282">
        <f>SUMIF(Sales[Product Name],Inventory[[#This Row],[Product Name]],Sales[Quantity Sold])</f>
        <v>0</v>
      </c>
      <c r="J282">
        <f t="shared" si="9"/>
        <v>0</v>
      </c>
      <c r="N282">
        <f t="shared" si="10"/>
        <v>0</v>
      </c>
    </row>
    <row r="283" spans="4:14" ht="15">
      <c r="D283" s="26"/>
      <c r="E283" s="26"/>
      <c r="F283" t="str">
        <f ca="1">IF(Inventory[[#This Row],[Product Category]]="","",IF(E283&lt;TODAY(),"EXPIRED",
IF(E283&lt;=TODAY()+30,"&lt;30 DAYS",
IF(E283&lt;=TODAY()+60,"&lt;60 DAYS",IF(E283=0,"","")))))</f>
        <v/>
      </c>
      <c r="H283">
        <f>SUMIF(Purchases[Product ID],A283,Purchases[Quantity])</f>
        <v>0</v>
      </c>
      <c r="I283">
        <f>SUMIF(Sales[Product Name],Inventory[[#This Row],[Product Name]],Sales[Quantity Sold])</f>
        <v>0</v>
      </c>
      <c r="J283">
        <f t="shared" si="9"/>
        <v>0</v>
      </c>
      <c r="N283">
        <f t="shared" si="10"/>
        <v>0</v>
      </c>
    </row>
    <row r="284" spans="4:14" ht="15">
      <c r="D284" s="26"/>
      <c r="E284" s="26"/>
      <c r="F284" t="str">
        <f ca="1">IF(Inventory[[#This Row],[Product Category]]="","",IF(E284&lt;TODAY(),"EXPIRED",
IF(E284&lt;=TODAY()+30,"&lt;30 DAYS",
IF(E284&lt;=TODAY()+60,"&lt;60 DAYS",IF(E284=0,"","")))))</f>
        <v/>
      </c>
      <c r="H284">
        <f>SUMIF(Purchases[Product ID],A284,Purchases[Quantity])</f>
        <v>0</v>
      </c>
      <c r="I284">
        <f>SUMIF(Sales[Product Name],Inventory[[#This Row],[Product Name]],Sales[Quantity Sold])</f>
        <v>0</v>
      </c>
      <c r="J284">
        <f t="shared" si="9"/>
        <v>0</v>
      </c>
      <c r="N284">
        <f t="shared" si="10"/>
        <v>0</v>
      </c>
    </row>
    <row r="285" spans="4:14" ht="15">
      <c r="D285" s="26"/>
      <c r="E285" s="26"/>
      <c r="F285" t="str">
        <f ca="1">IF(Inventory[[#This Row],[Product Category]]="","",IF(E285&lt;TODAY(),"EXPIRED",
IF(E285&lt;=TODAY()+30,"&lt;30 DAYS",
IF(E285&lt;=TODAY()+60,"&lt;60 DAYS",IF(E285=0,"","")))))</f>
        <v/>
      </c>
      <c r="H285">
        <f>SUMIF(Purchases[Product ID],A285,Purchases[Quantity])</f>
        <v>0</v>
      </c>
      <c r="I285">
        <f>SUMIF(Sales[Product Name],Inventory[[#This Row],[Product Name]],Sales[Quantity Sold])</f>
        <v>0</v>
      </c>
      <c r="J285">
        <f t="shared" si="9"/>
        <v>0</v>
      </c>
      <c r="N285">
        <f t="shared" si="10"/>
        <v>0</v>
      </c>
    </row>
    <row r="286" spans="4:14" ht="15">
      <c r="D286" s="26"/>
      <c r="E286" s="26"/>
      <c r="F286" t="str">
        <f ca="1">IF(Inventory[[#This Row],[Product Category]]="","",IF(E286&lt;TODAY(),"EXPIRED",
IF(E286&lt;=TODAY()+30,"&lt;30 DAYS",
IF(E286&lt;=TODAY()+60,"&lt;60 DAYS",IF(E286=0,"","")))))</f>
        <v/>
      </c>
      <c r="H286">
        <f>SUMIF(Purchases[Product ID],A286,Purchases[Quantity])</f>
        <v>0</v>
      </c>
      <c r="I286">
        <f>SUMIF(Sales[Product Name],Inventory[[#This Row],[Product Name]],Sales[Quantity Sold])</f>
        <v>0</v>
      </c>
      <c r="J286">
        <f t="shared" si="9"/>
        <v>0</v>
      </c>
      <c r="N286">
        <f t="shared" si="10"/>
        <v>0</v>
      </c>
    </row>
    <row r="287" spans="4:14" ht="15">
      <c r="D287" s="26"/>
      <c r="E287" s="26"/>
      <c r="F287" t="str">
        <f ca="1">IF(Inventory[[#This Row],[Product Category]]="","",IF(E287&lt;TODAY(),"EXPIRED",
IF(E287&lt;=TODAY()+30,"&lt;30 DAYS",
IF(E287&lt;=TODAY()+60,"&lt;60 DAYS",IF(E287=0,"","")))))</f>
        <v/>
      </c>
      <c r="H287">
        <f>SUMIF(Purchases[Product ID],A287,Purchases[Quantity])</f>
        <v>0</v>
      </c>
      <c r="I287">
        <f>SUMIF(Sales[Product Name],Inventory[[#This Row],[Product Name]],Sales[Quantity Sold])</f>
        <v>0</v>
      </c>
      <c r="J287">
        <f t="shared" si="9"/>
        <v>0</v>
      </c>
      <c r="N287">
        <f t="shared" si="10"/>
        <v>0</v>
      </c>
    </row>
    <row r="288" spans="4:14" ht="15">
      <c r="D288" s="26"/>
      <c r="E288" s="26"/>
      <c r="F288" t="str">
        <f ca="1">IF(Inventory[[#This Row],[Product Category]]="","",IF(E288&lt;TODAY(),"EXPIRED",
IF(E288&lt;=TODAY()+30,"&lt;30 DAYS",
IF(E288&lt;=TODAY()+60,"&lt;60 DAYS",IF(E288=0,"","")))))</f>
        <v/>
      </c>
      <c r="H288">
        <f>SUMIF(Purchases[Product ID],A288,Purchases[Quantity])</f>
        <v>0</v>
      </c>
      <c r="I288">
        <f>SUMIF(Sales[Product Name],Inventory[[#This Row],[Product Name]],Sales[Quantity Sold])</f>
        <v>0</v>
      </c>
      <c r="J288">
        <f t="shared" si="9"/>
        <v>0</v>
      </c>
      <c r="N288">
        <f t="shared" si="10"/>
        <v>0</v>
      </c>
    </row>
    <row r="289" spans="4:14" ht="15">
      <c r="D289" s="26"/>
      <c r="E289" s="26"/>
      <c r="F289" t="str">
        <f ca="1">IF(Inventory[[#This Row],[Product Category]]="","",IF(E289&lt;TODAY(),"EXPIRED",
IF(E289&lt;=TODAY()+30,"&lt;30 DAYS",
IF(E289&lt;=TODAY()+60,"&lt;60 DAYS",IF(E289=0,"","")))))</f>
        <v/>
      </c>
      <c r="H289">
        <f>SUMIF(Purchases[Product ID],A289,Purchases[Quantity])</f>
        <v>0</v>
      </c>
      <c r="I289">
        <f>SUMIF(Sales[Product Name],Inventory[[#This Row],[Product Name]],Sales[Quantity Sold])</f>
        <v>0</v>
      </c>
      <c r="J289">
        <f t="shared" si="9"/>
        <v>0</v>
      </c>
      <c r="N289">
        <f t="shared" si="10"/>
        <v>0</v>
      </c>
    </row>
    <row r="290" spans="4:14" ht="15">
      <c r="D290" s="26"/>
      <c r="E290" s="26"/>
      <c r="F290" t="str">
        <f ca="1">IF(Inventory[[#This Row],[Product Category]]="","",IF(E290&lt;TODAY(),"EXPIRED",
IF(E290&lt;=TODAY()+30,"&lt;30 DAYS",
IF(E290&lt;=TODAY()+60,"&lt;60 DAYS",IF(E290=0,"","")))))</f>
        <v/>
      </c>
      <c r="H290">
        <f>SUMIF(Purchases[Product ID],A290,Purchases[Quantity])</f>
        <v>0</v>
      </c>
      <c r="I290">
        <f>SUMIF(Sales[Product Name],Inventory[[#This Row],[Product Name]],Sales[Quantity Sold])</f>
        <v>0</v>
      </c>
      <c r="J290">
        <f t="shared" si="9"/>
        <v>0</v>
      </c>
      <c r="N290">
        <f t="shared" si="10"/>
        <v>0</v>
      </c>
    </row>
    <row r="291" spans="4:14" ht="15">
      <c r="D291" s="26"/>
      <c r="E291" s="26"/>
      <c r="F291" t="str">
        <f ca="1">IF(Inventory[[#This Row],[Product Category]]="","",IF(E291&lt;TODAY(),"EXPIRED",
IF(E291&lt;=TODAY()+30,"&lt;30 DAYS",
IF(E291&lt;=TODAY()+60,"&lt;60 DAYS",IF(E291=0,"","")))))</f>
        <v/>
      </c>
      <c r="H291">
        <f>SUMIF(Purchases[Product ID],A291,Purchases[Quantity])</f>
        <v>0</v>
      </c>
      <c r="I291">
        <f>SUMIF(Sales[Product Name],Inventory[[#This Row],[Product Name]],Sales[Quantity Sold])</f>
        <v>0</v>
      </c>
      <c r="J291">
        <f t="shared" si="9"/>
        <v>0</v>
      </c>
      <c r="N291">
        <f t="shared" si="10"/>
        <v>0</v>
      </c>
    </row>
    <row r="292" spans="4:14" ht="15">
      <c r="D292" s="26"/>
      <c r="E292" s="26"/>
      <c r="F292" t="str">
        <f ca="1">IF(Inventory[[#This Row],[Product Category]]="","",IF(E292&lt;TODAY(),"EXPIRED",
IF(E292&lt;=TODAY()+30,"&lt;30 DAYS",
IF(E292&lt;=TODAY()+60,"&lt;60 DAYS",IF(E292=0,"","")))))</f>
        <v/>
      </c>
      <c r="H292">
        <f>SUMIF(Purchases[Product ID],A292,Purchases[Quantity])</f>
        <v>0</v>
      </c>
      <c r="I292">
        <f>SUMIF(Sales[Product Name],Inventory[[#This Row],[Product Name]],Sales[Quantity Sold])</f>
        <v>0</v>
      </c>
      <c r="J292">
        <f t="shared" si="9"/>
        <v>0</v>
      </c>
      <c r="N292">
        <f t="shared" si="10"/>
        <v>0</v>
      </c>
    </row>
    <row r="293" spans="4:14" ht="15">
      <c r="D293" s="26"/>
      <c r="E293" s="26"/>
      <c r="F293" t="str">
        <f ca="1">IF(Inventory[[#This Row],[Product Category]]="","",IF(E293&lt;TODAY(),"EXPIRED",
IF(E293&lt;=TODAY()+30,"&lt;30 DAYS",
IF(E293&lt;=TODAY()+60,"&lt;60 DAYS",IF(E293=0,"","")))))</f>
        <v/>
      </c>
      <c r="H293">
        <f>SUMIF(Purchases[Product ID],A293,Purchases[Quantity])</f>
        <v>0</v>
      </c>
      <c r="I293">
        <f>SUMIF(Sales[Product Name],Inventory[[#This Row],[Product Name]],Sales[Quantity Sold])</f>
        <v>0</v>
      </c>
      <c r="J293">
        <f t="shared" si="9"/>
        <v>0</v>
      </c>
      <c r="N293">
        <f t="shared" si="10"/>
        <v>0</v>
      </c>
    </row>
    <row r="294" spans="4:14" ht="15">
      <c r="D294" s="26"/>
      <c r="E294" s="26"/>
      <c r="F294" t="str">
        <f ca="1">IF(Inventory[[#This Row],[Product Category]]="","",IF(E294&lt;TODAY(),"EXPIRED",
IF(E294&lt;=TODAY()+30,"&lt;30 DAYS",
IF(E294&lt;=TODAY()+60,"&lt;60 DAYS",IF(E294=0,"","")))))</f>
        <v/>
      </c>
      <c r="H294">
        <f>SUMIF(Purchases[Product ID],A294,Purchases[Quantity])</f>
        <v>0</v>
      </c>
      <c r="I294">
        <f>SUMIF(Sales[Product Name],Inventory[[#This Row],[Product Name]],Sales[Quantity Sold])</f>
        <v>0</v>
      </c>
      <c r="J294">
        <f t="shared" si="9"/>
        <v>0</v>
      </c>
      <c r="N294">
        <f t="shared" si="10"/>
        <v>0</v>
      </c>
    </row>
    <row r="295" spans="4:14" ht="15">
      <c r="D295" s="26"/>
      <c r="E295" s="26"/>
      <c r="F295" t="str">
        <f ca="1">IF(Inventory[[#This Row],[Product Category]]="","",IF(E295&lt;TODAY(),"EXPIRED",
IF(E295&lt;=TODAY()+30,"&lt;30 DAYS",
IF(E295&lt;=TODAY()+60,"&lt;60 DAYS",IF(E295=0,"","")))))</f>
        <v/>
      </c>
      <c r="H295">
        <f>SUMIF(Purchases[Product ID],A295,Purchases[Quantity])</f>
        <v>0</v>
      </c>
      <c r="I295">
        <f>SUMIF(Sales[Product Name],Inventory[[#This Row],[Product Name]],Sales[Quantity Sold])</f>
        <v>0</v>
      </c>
      <c r="J295">
        <f t="shared" si="9"/>
        <v>0</v>
      </c>
      <c r="N295">
        <f t="shared" si="10"/>
        <v>0</v>
      </c>
    </row>
    <row r="296" spans="4:14" ht="15">
      <c r="D296" s="26"/>
      <c r="E296" s="26"/>
      <c r="F296" t="str">
        <f ca="1">IF(Inventory[[#This Row],[Product Category]]="","",IF(E296&lt;TODAY(),"EXPIRED",
IF(E296&lt;=TODAY()+30,"&lt;30 DAYS",
IF(E296&lt;=TODAY()+60,"&lt;60 DAYS",IF(E296=0,"","")))))</f>
        <v/>
      </c>
      <c r="H296">
        <f>SUMIF(Purchases[Product ID],A296,Purchases[Quantity])</f>
        <v>0</v>
      </c>
      <c r="I296">
        <f>SUMIF(Sales[Product Name],Inventory[[#This Row],[Product Name]],Sales[Quantity Sold])</f>
        <v>0</v>
      </c>
      <c r="J296">
        <f t="shared" si="9"/>
        <v>0</v>
      </c>
      <c r="N296">
        <f t="shared" si="10"/>
        <v>0</v>
      </c>
    </row>
    <row r="297" spans="4:14" ht="15">
      <c r="D297" s="26"/>
      <c r="E297" s="26"/>
      <c r="F297" t="str">
        <f ca="1">IF(Inventory[[#This Row],[Product Category]]="","",IF(E297&lt;TODAY(),"EXPIRED",
IF(E297&lt;=TODAY()+30,"&lt;30 DAYS",
IF(E297&lt;=TODAY()+60,"&lt;60 DAYS",IF(E297=0,"","")))))</f>
        <v/>
      </c>
      <c r="H297">
        <f>SUMIF(Purchases[Product ID],A297,Purchases[Quantity])</f>
        <v>0</v>
      </c>
      <c r="I297">
        <f>SUMIF(Sales[Product Name],Inventory[[#This Row],[Product Name]],Sales[Quantity Sold])</f>
        <v>0</v>
      </c>
      <c r="J297">
        <f t="shared" si="9"/>
        <v>0</v>
      </c>
      <c r="N297">
        <f t="shared" si="10"/>
        <v>0</v>
      </c>
    </row>
    <row r="298" spans="4:14" ht="15">
      <c r="D298" s="26"/>
      <c r="E298" s="26"/>
      <c r="F298" t="str">
        <f ca="1">IF(Inventory[[#This Row],[Product Category]]="","",IF(E298&lt;TODAY(),"EXPIRED",
IF(E298&lt;=TODAY()+30,"&lt;30 DAYS",
IF(E298&lt;=TODAY()+60,"&lt;60 DAYS",IF(E298=0,"","")))))</f>
        <v/>
      </c>
      <c r="H298">
        <f>SUMIF(Purchases[Product ID],A298,Purchases[Quantity])</f>
        <v>0</v>
      </c>
      <c r="I298">
        <f>SUMIF(Sales[Product Name],Inventory[[#This Row],[Product Name]],Sales[Quantity Sold])</f>
        <v>0</v>
      </c>
      <c r="J298">
        <f t="shared" si="9"/>
        <v>0</v>
      </c>
      <c r="N298">
        <f t="shared" si="10"/>
        <v>0</v>
      </c>
    </row>
    <row r="299" spans="4:14" ht="15">
      <c r="D299" s="26"/>
      <c r="E299" s="26"/>
      <c r="F299" t="str">
        <f ca="1">IF(Inventory[[#This Row],[Product Category]]="","",IF(E299&lt;TODAY(),"EXPIRED",
IF(E299&lt;=TODAY()+30,"&lt;30 DAYS",
IF(E299&lt;=TODAY()+60,"&lt;60 DAYS",IF(E299=0,"","")))))</f>
        <v/>
      </c>
      <c r="H299">
        <f>SUMIF(Purchases[Product ID],A299,Purchases[Quantity])</f>
        <v>0</v>
      </c>
      <c r="I299">
        <f>SUMIF(Sales[Product Name],Inventory[[#This Row],[Product Name]],Sales[Quantity Sold])</f>
        <v>0</v>
      </c>
      <c r="J299">
        <f t="shared" si="9"/>
        <v>0</v>
      </c>
      <c r="N299">
        <f t="shared" si="10"/>
        <v>0</v>
      </c>
    </row>
    <row r="300" spans="4:14" ht="15">
      <c r="D300" s="26"/>
      <c r="E300" s="26"/>
      <c r="F300" t="str">
        <f ca="1">IF(Inventory[[#This Row],[Product Category]]="","",IF(E300&lt;TODAY(),"EXPIRED",
IF(E300&lt;=TODAY()+30,"&lt;30 DAYS",
IF(E300&lt;=TODAY()+60,"&lt;60 DAYS",IF(E300=0,"","")))))</f>
        <v/>
      </c>
      <c r="H300">
        <f>SUMIF(Purchases[Product ID],A300,Purchases[Quantity])</f>
        <v>0</v>
      </c>
      <c r="I300">
        <f>SUMIF(Sales[Product Name],Inventory[[#This Row],[Product Name]],Sales[Quantity Sold])</f>
        <v>0</v>
      </c>
      <c r="J300">
        <f t="shared" si="9"/>
        <v>0</v>
      </c>
      <c r="N300">
        <f t="shared" si="10"/>
        <v>0</v>
      </c>
    </row>
    <row r="301" spans="4:14" ht="15">
      <c r="D301" s="26"/>
      <c r="E301" s="26"/>
      <c r="F301" t="str">
        <f ca="1">IF(Inventory[[#This Row],[Product Category]]="","",IF(E301&lt;TODAY(),"EXPIRED",
IF(E301&lt;=TODAY()+30,"&lt;30 DAYS",
IF(E301&lt;=TODAY()+60,"&lt;60 DAYS",IF(E301=0,"","")))))</f>
        <v/>
      </c>
      <c r="H301">
        <f>SUMIF(Purchases[Product ID],A301,Purchases[Quantity])</f>
        <v>0</v>
      </c>
      <c r="I301">
        <f>SUMIF(Sales[Product Name],Inventory[[#This Row],[Product Name]],Sales[Quantity Sold])</f>
        <v>0</v>
      </c>
      <c r="J301">
        <f t="shared" si="9"/>
        <v>0</v>
      </c>
      <c r="N301">
        <f t="shared" si="10"/>
        <v>0</v>
      </c>
    </row>
    <row r="302" spans="4:14" ht="15">
      <c r="D302" s="26"/>
      <c r="E302" s="26"/>
      <c r="F302" t="str">
        <f ca="1">IF(Inventory[[#This Row],[Product Category]]="","",IF(E302&lt;TODAY(),"EXPIRED",
IF(E302&lt;=TODAY()+30,"&lt;30 DAYS",
IF(E302&lt;=TODAY()+60,"&lt;60 DAYS",IF(E302=0,"","")))))</f>
        <v/>
      </c>
      <c r="H302">
        <f>SUMIF(Purchases[Product ID],A302,Purchases[Quantity])</f>
        <v>0</v>
      </c>
      <c r="I302">
        <f>SUMIF(Sales[Product Name],Inventory[[#This Row],[Product Name]],Sales[Quantity Sold])</f>
        <v>0</v>
      </c>
      <c r="J302">
        <f t="shared" si="9"/>
        <v>0</v>
      </c>
      <c r="N302">
        <f t="shared" si="10"/>
        <v>0</v>
      </c>
    </row>
    <row r="303" spans="4:14" ht="15">
      <c r="D303" s="26"/>
      <c r="E303" s="26"/>
      <c r="F303" t="str">
        <f ca="1">IF(Inventory[[#This Row],[Product Category]]="","",IF(E303&lt;TODAY(),"EXPIRED",
IF(E303&lt;=TODAY()+30,"&lt;30 DAYS",
IF(E303&lt;=TODAY()+60,"&lt;60 DAYS",IF(E303=0,"","")))))</f>
        <v/>
      </c>
      <c r="H303">
        <f>SUMIF(Purchases[Product ID],A303,Purchases[Quantity])</f>
        <v>0</v>
      </c>
      <c r="I303">
        <f>SUMIF(Sales[Product Name],Inventory[[#This Row],[Product Name]],Sales[Quantity Sold])</f>
        <v>0</v>
      </c>
      <c r="J303">
        <f t="shared" si="9"/>
        <v>0</v>
      </c>
      <c r="N303">
        <f t="shared" si="10"/>
        <v>0</v>
      </c>
    </row>
    <row r="304" spans="4:14" ht="15">
      <c r="D304" s="26"/>
      <c r="E304" s="26"/>
      <c r="F304" t="str">
        <f ca="1">IF(Inventory[[#This Row],[Product Category]]="","",IF(E304&lt;TODAY(),"EXPIRED",
IF(E304&lt;=TODAY()+30,"&lt;30 DAYS",
IF(E304&lt;=TODAY()+60,"&lt;60 DAYS",IF(E304=0,"","")))))</f>
        <v/>
      </c>
      <c r="H304">
        <f>SUMIF(Purchases[Product ID],A304,Purchases[Quantity])</f>
        <v>0</v>
      </c>
      <c r="I304">
        <f>SUMIF(Sales[Product Name],Inventory[[#This Row],[Product Name]],Sales[Quantity Sold])</f>
        <v>0</v>
      </c>
      <c r="J304">
        <f t="shared" si="9"/>
        <v>0</v>
      </c>
      <c r="N304">
        <f t="shared" si="10"/>
        <v>0</v>
      </c>
    </row>
    <row r="305" spans="4:14" ht="15">
      <c r="D305" s="26"/>
      <c r="E305" s="26"/>
      <c r="F305" t="str">
        <f ca="1">IF(Inventory[[#This Row],[Product Category]]="","",IF(E305&lt;TODAY(),"EXPIRED",
IF(E305&lt;=TODAY()+30,"&lt;30 DAYS",
IF(E305&lt;=TODAY()+60,"&lt;60 DAYS",IF(E305=0,"","")))))</f>
        <v/>
      </c>
      <c r="H305">
        <f>SUMIF(Purchases[Product ID],A305,Purchases[Quantity])</f>
        <v>0</v>
      </c>
      <c r="I305">
        <f>SUMIF(Sales[Product Name],Inventory[[#This Row],[Product Name]],Sales[Quantity Sold])</f>
        <v>0</v>
      </c>
      <c r="J305">
        <f t="shared" si="9"/>
        <v>0</v>
      </c>
      <c r="N305">
        <f t="shared" si="10"/>
        <v>0</v>
      </c>
    </row>
    <row r="306" spans="4:14" ht="15">
      <c r="D306" s="26"/>
      <c r="E306" s="26"/>
      <c r="F306" t="str">
        <f ca="1">IF(Inventory[[#This Row],[Product Category]]="","",IF(E306&lt;TODAY(),"EXPIRED",
IF(E306&lt;=TODAY()+30,"&lt;30 DAYS",
IF(E306&lt;=TODAY()+60,"&lt;60 DAYS",IF(E306=0,"","")))))</f>
        <v/>
      </c>
      <c r="H306">
        <f>SUMIF(Purchases[Product ID],A306,Purchases[Quantity])</f>
        <v>0</v>
      </c>
      <c r="I306">
        <f>SUMIF(Sales[Product Name],Inventory[[#This Row],[Product Name]],Sales[Quantity Sold])</f>
        <v>0</v>
      </c>
      <c r="J306">
        <f t="shared" si="9"/>
        <v>0</v>
      </c>
      <c r="N306">
        <f t="shared" si="10"/>
        <v>0</v>
      </c>
    </row>
    <row r="307" spans="4:14" ht="15">
      <c r="D307" s="26"/>
      <c r="E307" s="26"/>
      <c r="F307" t="str">
        <f ca="1">IF(Inventory[[#This Row],[Product Category]]="","",IF(E307&lt;TODAY(),"EXPIRED",
IF(E307&lt;=TODAY()+30,"&lt;30 DAYS",
IF(E307&lt;=TODAY()+60,"&lt;60 DAYS",IF(E307=0,"","")))))</f>
        <v/>
      </c>
      <c r="H307">
        <f>SUMIF(Purchases[Product ID],A307,Purchases[Quantity])</f>
        <v>0</v>
      </c>
      <c r="I307">
        <f>SUMIF(Sales[Product Name],Inventory[[#This Row],[Product Name]],Sales[Quantity Sold])</f>
        <v>0</v>
      </c>
      <c r="J307">
        <f t="shared" si="9"/>
        <v>0</v>
      </c>
      <c r="N307">
        <f t="shared" si="10"/>
        <v>0</v>
      </c>
    </row>
    <row r="308" spans="4:14" ht="15">
      <c r="D308" s="26"/>
      <c r="E308" s="26"/>
      <c r="F308" t="str">
        <f ca="1">IF(Inventory[[#This Row],[Product Category]]="","",IF(E308&lt;TODAY(),"EXPIRED",
IF(E308&lt;=TODAY()+30,"&lt;30 DAYS",
IF(E308&lt;=TODAY()+60,"&lt;60 DAYS",IF(E308=0,"","")))))</f>
        <v/>
      </c>
      <c r="H308">
        <f>SUMIF(Purchases[Product ID],A308,Purchases[Quantity])</f>
        <v>0</v>
      </c>
      <c r="I308">
        <f>SUMIF(Sales[Product Name],Inventory[[#This Row],[Product Name]],Sales[Quantity Sold])</f>
        <v>0</v>
      </c>
      <c r="J308">
        <f t="shared" si="9"/>
        <v>0</v>
      </c>
      <c r="N308">
        <f t="shared" si="10"/>
        <v>0</v>
      </c>
    </row>
    <row r="309" spans="4:14" ht="15">
      <c r="D309" s="26"/>
      <c r="E309" s="26"/>
      <c r="F309" t="str">
        <f ca="1">IF(Inventory[[#This Row],[Product Category]]="","",IF(E309&lt;TODAY(),"EXPIRED",
IF(E309&lt;=TODAY()+30,"&lt;30 DAYS",
IF(E309&lt;=TODAY()+60,"&lt;60 DAYS",IF(E309=0,"","")))))</f>
        <v/>
      </c>
      <c r="H309">
        <f>SUMIF(Purchases[Product ID],A309,Purchases[Quantity])</f>
        <v>0</v>
      </c>
      <c r="I309">
        <f>SUMIF(Sales[Product Name],Inventory[[#This Row],[Product Name]],Sales[Quantity Sold])</f>
        <v>0</v>
      </c>
      <c r="J309">
        <f t="shared" si="9"/>
        <v>0</v>
      </c>
      <c r="N309">
        <f t="shared" si="10"/>
        <v>0</v>
      </c>
    </row>
    <row r="310" spans="4:14" ht="15">
      <c r="D310" s="26"/>
      <c r="E310" s="26"/>
      <c r="F310" t="str">
        <f ca="1">IF(Inventory[[#This Row],[Product Category]]="","",IF(E310&lt;TODAY(),"EXPIRED",
IF(E310&lt;=TODAY()+30,"&lt;30 DAYS",
IF(E310&lt;=TODAY()+60,"&lt;60 DAYS",IF(E310=0,"","")))))</f>
        <v/>
      </c>
      <c r="H310">
        <f>SUMIF(Purchases[Product ID],A310,Purchases[Quantity])</f>
        <v>0</v>
      </c>
      <c r="I310">
        <f>SUMIF(Sales[Product Name],Inventory[[#This Row],[Product Name]],Sales[Quantity Sold])</f>
        <v>0</v>
      </c>
      <c r="J310">
        <f t="shared" si="9"/>
        <v>0</v>
      </c>
      <c r="N310">
        <f t="shared" si="10"/>
        <v>0</v>
      </c>
    </row>
    <row r="311" spans="4:14" ht="15">
      <c r="D311" s="26"/>
      <c r="E311" s="26"/>
      <c r="F311" t="str">
        <f ca="1">IF(Inventory[[#This Row],[Product Category]]="","",IF(E311&lt;TODAY(),"EXPIRED",
IF(E311&lt;=TODAY()+30,"&lt;30 DAYS",
IF(E311&lt;=TODAY()+60,"&lt;60 DAYS",IF(E311=0,"","")))))</f>
        <v/>
      </c>
      <c r="H311">
        <f>SUMIF(Purchases[Product ID],A311,Purchases[Quantity])</f>
        <v>0</v>
      </c>
      <c r="I311">
        <f>SUMIF(Sales[Product Name],Inventory[[#This Row],[Product Name]],Sales[Quantity Sold])</f>
        <v>0</v>
      </c>
      <c r="J311">
        <f t="shared" si="9"/>
        <v>0</v>
      </c>
      <c r="N311">
        <f t="shared" si="10"/>
        <v>0</v>
      </c>
    </row>
    <row r="312" spans="4:14" ht="15">
      <c r="D312" s="26"/>
      <c r="E312" s="26"/>
      <c r="F312" t="str">
        <f ca="1">IF(Inventory[[#This Row],[Product Category]]="","",IF(E312&lt;TODAY(),"EXPIRED",
IF(E312&lt;=TODAY()+30,"&lt;30 DAYS",
IF(E312&lt;=TODAY()+60,"&lt;60 DAYS",IF(E312=0,"","")))))</f>
        <v/>
      </c>
      <c r="H312">
        <f>SUMIF(Purchases[Product ID],A312,Purchases[Quantity])</f>
        <v>0</v>
      </c>
      <c r="I312">
        <f>SUMIF(Sales[Product Name],Inventory[[#This Row],[Product Name]],Sales[Quantity Sold])</f>
        <v>0</v>
      </c>
      <c r="J312">
        <f t="shared" si="9"/>
        <v>0</v>
      </c>
      <c r="N312">
        <f t="shared" si="10"/>
        <v>0</v>
      </c>
    </row>
    <row r="313" spans="4:14" ht="15">
      <c r="D313" s="26"/>
      <c r="E313" s="26"/>
      <c r="F313" t="str">
        <f ca="1">IF(Inventory[[#This Row],[Product Category]]="","",IF(E313&lt;TODAY(),"EXPIRED",
IF(E313&lt;=TODAY()+30,"&lt;30 DAYS",
IF(E313&lt;=TODAY()+60,"&lt;60 DAYS",IF(E313=0,"","")))))</f>
        <v/>
      </c>
      <c r="H313">
        <f>SUMIF(Purchases[Product ID],A313,Purchases[Quantity])</f>
        <v>0</v>
      </c>
      <c r="I313">
        <f>SUMIF(Sales[Product Name],Inventory[[#This Row],[Product Name]],Sales[Quantity Sold])</f>
        <v>0</v>
      </c>
      <c r="J313">
        <f t="shared" si="9"/>
        <v>0</v>
      </c>
      <c r="N313">
        <f t="shared" si="10"/>
        <v>0</v>
      </c>
    </row>
    <row r="314" spans="4:14" ht="15">
      <c r="D314" s="26"/>
      <c r="E314" s="26"/>
      <c r="F314" t="str">
        <f ca="1">IF(Inventory[[#This Row],[Product Category]]="","",IF(E314&lt;TODAY(),"EXPIRED",
IF(E314&lt;=TODAY()+30,"&lt;30 DAYS",
IF(E314&lt;=TODAY()+60,"&lt;60 DAYS",IF(E314=0,"","")))))</f>
        <v/>
      </c>
      <c r="H314">
        <f>SUMIF(Purchases[Product ID],A314,Purchases[Quantity])</f>
        <v>0</v>
      </c>
      <c r="I314">
        <f>SUMIF(Sales[Product Name],Inventory[[#This Row],[Product Name]],Sales[Quantity Sold])</f>
        <v>0</v>
      </c>
      <c r="J314">
        <f t="shared" si="9"/>
        <v>0</v>
      </c>
      <c r="N314">
        <f t="shared" si="10"/>
        <v>0</v>
      </c>
    </row>
    <row r="315" spans="4:14" ht="15">
      <c r="D315" s="26"/>
      <c r="E315" s="26"/>
      <c r="F315" t="str">
        <f ca="1">IF(Inventory[[#This Row],[Product Category]]="","",IF(E315&lt;TODAY(),"EXPIRED",
IF(E315&lt;=TODAY()+30,"&lt;30 DAYS",
IF(E315&lt;=TODAY()+60,"&lt;60 DAYS",IF(E315=0,"","")))))</f>
        <v/>
      </c>
      <c r="H315">
        <f>SUMIF(Purchases[Product ID],A315,Purchases[Quantity])</f>
        <v>0</v>
      </c>
      <c r="I315">
        <f>SUMIF(Sales[Product Name],Inventory[[#This Row],[Product Name]],Sales[Quantity Sold])</f>
        <v>0</v>
      </c>
      <c r="J315">
        <f t="shared" si="9"/>
        <v>0</v>
      </c>
      <c r="N315">
        <f t="shared" si="10"/>
        <v>0</v>
      </c>
    </row>
    <row r="316" spans="4:14" ht="15">
      <c r="D316" s="26"/>
      <c r="E316" s="26"/>
      <c r="F316" t="str">
        <f ca="1">IF(Inventory[[#This Row],[Product Category]]="","",IF(E316&lt;TODAY(),"EXPIRED",
IF(E316&lt;=TODAY()+30,"&lt;30 DAYS",
IF(E316&lt;=TODAY()+60,"&lt;60 DAYS",IF(E316=0,"","")))))</f>
        <v/>
      </c>
      <c r="H316">
        <f>SUMIF(Purchases[Product ID],A316,Purchases[Quantity])</f>
        <v>0</v>
      </c>
      <c r="I316">
        <f>SUMIF(Sales[Product Name],Inventory[[#This Row],[Product Name]],Sales[Quantity Sold])</f>
        <v>0</v>
      </c>
      <c r="J316">
        <f t="shared" si="9"/>
        <v>0</v>
      </c>
      <c r="N316">
        <f t="shared" si="10"/>
        <v>0</v>
      </c>
    </row>
    <row r="317" spans="4:14" ht="15">
      <c r="D317" s="26"/>
      <c r="E317" s="26"/>
      <c r="F317" t="str">
        <f ca="1">IF(Inventory[[#This Row],[Product Category]]="","",IF(E317&lt;TODAY(),"EXPIRED",
IF(E317&lt;=TODAY()+30,"&lt;30 DAYS",
IF(E317&lt;=TODAY()+60,"&lt;60 DAYS",IF(E317=0,"","")))))</f>
        <v/>
      </c>
      <c r="H317">
        <f>SUMIF(Purchases[Product ID],A317,Purchases[Quantity])</f>
        <v>0</v>
      </c>
      <c r="I317">
        <f>SUMIF(Sales[Product Name],Inventory[[#This Row],[Product Name]],Sales[Quantity Sold])</f>
        <v>0</v>
      </c>
      <c r="J317">
        <f t="shared" si="9"/>
        <v>0</v>
      </c>
      <c r="N317">
        <f t="shared" si="10"/>
        <v>0</v>
      </c>
    </row>
    <row r="318" spans="4:14" ht="15">
      <c r="D318" s="26"/>
      <c r="E318" s="26"/>
      <c r="F318" t="str">
        <f ca="1">IF(Inventory[[#This Row],[Product Category]]="","",IF(E318&lt;TODAY(),"EXPIRED",
IF(E318&lt;=TODAY()+30,"&lt;30 DAYS",
IF(E318&lt;=TODAY()+60,"&lt;60 DAYS",IF(E318=0,"","")))))</f>
        <v/>
      </c>
      <c r="H318">
        <f>SUMIF(Purchases[Product ID],A318,Purchases[Quantity])</f>
        <v>0</v>
      </c>
      <c r="I318">
        <f>SUMIF(Sales[Product Name],Inventory[[#This Row],[Product Name]],Sales[Quantity Sold])</f>
        <v>0</v>
      </c>
      <c r="J318">
        <f t="shared" si="9"/>
        <v>0</v>
      </c>
      <c r="N318">
        <f t="shared" si="10"/>
        <v>0</v>
      </c>
    </row>
    <row r="319" spans="4:14" ht="15">
      <c r="D319" s="26"/>
      <c r="E319" s="26"/>
      <c r="F319" t="str">
        <f ca="1">IF(Inventory[[#This Row],[Product Category]]="","",IF(E319&lt;TODAY(),"EXPIRED",
IF(E319&lt;=TODAY()+30,"&lt;30 DAYS",
IF(E319&lt;=TODAY()+60,"&lt;60 DAYS",IF(E319=0,"","")))))</f>
        <v/>
      </c>
      <c r="H319">
        <f>SUMIF(Purchases[Product ID],A319,Purchases[Quantity])</f>
        <v>0</v>
      </c>
      <c r="I319">
        <f>SUMIF(Sales[Product Name],Inventory[[#This Row],[Product Name]],Sales[Quantity Sold])</f>
        <v>0</v>
      </c>
      <c r="J319">
        <f t="shared" si="9"/>
        <v>0</v>
      </c>
      <c r="N319">
        <f t="shared" si="10"/>
        <v>0</v>
      </c>
    </row>
    <row r="320" spans="4:14" ht="15">
      <c r="D320" s="26"/>
      <c r="E320" s="26"/>
      <c r="F320" t="str">
        <f ca="1">IF(Inventory[[#This Row],[Product Category]]="","",IF(E320&lt;TODAY(),"EXPIRED",
IF(E320&lt;=TODAY()+30,"&lt;30 DAYS",
IF(E320&lt;=TODAY()+60,"&lt;60 DAYS",IF(E320=0,"","")))))</f>
        <v/>
      </c>
      <c r="H320">
        <f>SUMIF(Purchases[Product ID],A320,Purchases[Quantity])</f>
        <v>0</v>
      </c>
      <c r="I320">
        <f>SUMIF(Sales[Product Name],Inventory[[#This Row],[Product Name]],Sales[Quantity Sold])</f>
        <v>0</v>
      </c>
      <c r="J320">
        <f t="shared" si="9"/>
        <v>0</v>
      </c>
      <c r="N320">
        <f t="shared" si="10"/>
        <v>0</v>
      </c>
    </row>
    <row r="321" spans="4:14" ht="15">
      <c r="D321" s="26"/>
      <c r="E321" s="26"/>
      <c r="F321" t="str">
        <f ca="1">IF(Inventory[[#This Row],[Product Category]]="","",IF(E321&lt;TODAY(),"EXPIRED",
IF(E321&lt;=TODAY()+30,"&lt;30 DAYS",
IF(E321&lt;=TODAY()+60,"&lt;60 DAYS",IF(E321=0,"","")))))</f>
        <v/>
      </c>
      <c r="H321">
        <f>SUMIF(Purchases[Product ID],A321,Purchases[Quantity])</f>
        <v>0</v>
      </c>
      <c r="I321">
        <f>SUMIF(Sales[Product Name],Inventory[[#This Row],[Product Name]],Sales[Quantity Sold])</f>
        <v>0</v>
      </c>
      <c r="J321">
        <f t="shared" si="9"/>
        <v>0</v>
      </c>
      <c r="N321">
        <f t="shared" si="10"/>
        <v>0</v>
      </c>
    </row>
    <row r="322" spans="4:14" ht="15">
      <c r="D322" s="26"/>
      <c r="E322" s="26"/>
      <c r="F322" t="str">
        <f ca="1">IF(Inventory[[#This Row],[Product Category]]="","",IF(E322&lt;TODAY(),"EXPIRED",
IF(E322&lt;=TODAY()+30,"&lt;30 DAYS",
IF(E322&lt;=TODAY()+60,"&lt;60 DAYS",IF(E322=0,"","")))))</f>
        <v/>
      </c>
      <c r="H322">
        <f>SUMIF(Purchases[Product ID],A322,Purchases[Quantity])</f>
        <v>0</v>
      </c>
      <c r="I322">
        <f>SUMIF(Sales[Product Name],Inventory[[#This Row],[Product Name]],Sales[Quantity Sold])</f>
        <v>0</v>
      </c>
      <c r="J322">
        <f t="shared" si="9"/>
        <v>0</v>
      </c>
      <c r="N322">
        <f t="shared" si="10"/>
        <v>0</v>
      </c>
    </row>
    <row r="323" spans="4:14" ht="15">
      <c r="D323" s="26"/>
      <c r="E323" s="26"/>
      <c r="F323" t="str">
        <f ca="1">IF(Inventory[[#This Row],[Product Category]]="","",IF(E323&lt;TODAY(),"EXPIRED",
IF(E323&lt;=TODAY()+30,"&lt;30 DAYS",
IF(E323&lt;=TODAY()+60,"&lt;60 DAYS",IF(E323=0,"","")))))</f>
        <v/>
      </c>
      <c r="H323">
        <f>SUMIF(Purchases[Product ID],A323,Purchases[Quantity])</f>
        <v>0</v>
      </c>
      <c r="I323">
        <f>SUMIF(Sales[Product Name],Inventory[[#This Row],[Product Name]],Sales[Quantity Sold])</f>
        <v>0</v>
      </c>
      <c r="J323">
        <f t="shared" si="9"/>
        <v>0</v>
      </c>
      <c r="N323">
        <f t="shared" si="10"/>
        <v>0</v>
      </c>
    </row>
    <row r="324" spans="4:14" ht="15">
      <c r="D324" s="26"/>
      <c r="E324" s="26"/>
      <c r="F324" t="str">
        <f ca="1">IF(Inventory[[#This Row],[Product Category]]="","",IF(E324&lt;TODAY(),"EXPIRED",
IF(E324&lt;=TODAY()+30,"&lt;30 DAYS",
IF(E324&lt;=TODAY()+60,"&lt;60 DAYS",IF(E324=0,"","")))))</f>
        <v/>
      </c>
      <c r="H324">
        <f>SUMIF(Purchases[Product ID],A324,Purchases[Quantity])</f>
        <v>0</v>
      </c>
      <c r="I324">
        <f>SUMIF(Sales[Product Name],Inventory[[#This Row],[Product Name]],Sales[Quantity Sold])</f>
        <v>0</v>
      </c>
      <c r="J324">
        <f t="shared" si="9"/>
        <v>0</v>
      </c>
      <c r="N324">
        <f t="shared" si="10"/>
        <v>0</v>
      </c>
    </row>
    <row r="325" spans="4:14" ht="15">
      <c r="D325" s="26"/>
      <c r="E325" s="26"/>
      <c r="F325" t="str">
        <f ca="1">IF(Inventory[[#This Row],[Product Category]]="","",IF(E325&lt;TODAY(),"EXPIRED",
IF(E325&lt;=TODAY()+30,"&lt;30 DAYS",
IF(E325&lt;=TODAY()+60,"&lt;60 DAYS",IF(E325=0,"","")))))</f>
        <v/>
      </c>
      <c r="H325">
        <f>SUMIF(Purchases[Product ID],A325,Purchases[Quantity])</f>
        <v>0</v>
      </c>
      <c r="I325">
        <f>SUMIF(Sales[Product Name],Inventory[[#This Row],[Product Name]],Sales[Quantity Sold])</f>
        <v>0</v>
      </c>
      <c r="J325">
        <f t="shared" si="9"/>
        <v>0</v>
      </c>
      <c r="N325">
        <f t="shared" si="10"/>
        <v>0</v>
      </c>
    </row>
    <row r="326" spans="4:14" ht="15">
      <c r="D326" s="26"/>
      <c r="E326" s="26"/>
      <c r="F326" t="str">
        <f ca="1">IF(Inventory[[#This Row],[Product Category]]="","",IF(E326&lt;TODAY(),"EXPIRED",
IF(E326&lt;=TODAY()+30,"&lt;30 DAYS",
IF(E326&lt;=TODAY()+60,"&lt;60 DAYS",IF(E326=0,"","")))))</f>
        <v/>
      </c>
      <c r="H326">
        <f>SUMIF(Purchases[Product ID],A326,Purchases[Quantity])</f>
        <v>0</v>
      </c>
      <c r="I326">
        <f>SUMIF(Sales[Product Name],Inventory[[#This Row],[Product Name]],Sales[Quantity Sold])</f>
        <v>0</v>
      </c>
      <c r="J326">
        <f t="shared" si="9"/>
        <v>0</v>
      </c>
      <c r="N326">
        <f t="shared" si="10"/>
        <v>0</v>
      </c>
    </row>
    <row r="327" spans="4:14" ht="15">
      <c r="D327" s="26"/>
      <c r="E327" s="26"/>
      <c r="F327" t="str">
        <f ca="1">IF(Inventory[[#This Row],[Product Category]]="","",IF(E327&lt;TODAY(),"EXPIRED",
IF(E327&lt;=TODAY()+30,"&lt;30 DAYS",
IF(E327&lt;=TODAY()+60,"&lt;60 DAYS",IF(E327=0,"","")))))</f>
        <v/>
      </c>
      <c r="H327">
        <f>SUMIF(Purchases[Product ID],A327,Purchases[Quantity])</f>
        <v>0</v>
      </c>
      <c r="I327">
        <f>SUMIF(Sales[Product Name],Inventory[[#This Row],[Product Name]],Sales[Quantity Sold])</f>
        <v>0</v>
      </c>
      <c r="J327">
        <f t="shared" si="9"/>
        <v>0</v>
      </c>
      <c r="N327">
        <f t="shared" si="10"/>
        <v>0</v>
      </c>
    </row>
    <row r="328" spans="4:14" ht="15">
      <c r="D328" s="26"/>
      <c r="E328" s="26"/>
      <c r="F328" t="str">
        <f ca="1">IF(Inventory[[#This Row],[Product Category]]="","",IF(E328&lt;TODAY(),"EXPIRED",
IF(E328&lt;=TODAY()+30,"&lt;30 DAYS",
IF(E328&lt;=TODAY()+60,"&lt;60 DAYS",IF(E328=0,"","")))))</f>
        <v/>
      </c>
      <c r="H328">
        <f>SUMIF(Purchases[Product ID],A328,Purchases[Quantity])</f>
        <v>0</v>
      </c>
      <c r="I328">
        <f>SUMIF(Sales[Product Name],Inventory[[#This Row],[Product Name]],Sales[Quantity Sold])</f>
        <v>0</v>
      </c>
      <c r="J328">
        <f t="shared" ref="J328:J391" si="11">G328+H328-I328</f>
        <v>0</v>
      </c>
      <c r="N328">
        <f t="shared" ref="N328:N391" si="12">J328*L328</f>
        <v>0</v>
      </c>
    </row>
    <row r="329" spans="4:14" ht="15">
      <c r="D329" s="26"/>
      <c r="E329" s="26"/>
      <c r="F329" t="str">
        <f ca="1">IF(Inventory[[#This Row],[Product Category]]="","",IF(E329&lt;TODAY(),"EXPIRED",
IF(E329&lt;=TODAY()+30,"&lt;30 DAYS",
IF(E329&lt;=TODAY()+60,"&lt;60 DAYS",IF(E329=0,"","")))))</f>
        <v/>
      </c>
      <c r="H329">
        <f>SUMIF(Purchases[Product ID],A329,Purchases[Quantity])</f>
        <v>0</v>
      </c>
      <c r="I329">
        <f>SUMIF(Sales[Product Name],Inventory[[#This Row],[Product Name]],Sales[Quantity Sold])</f>
        <v>0</v>
      </c>
      <c r="J329">
        <f t="shared" si="11"/>
        <v>0</v>
      </c>
      <c r="N329">
        <f t="shared" si="12"/>
        <v>0</v>
      </c>
    </row>
    <row r="330" spans="4:14" ht="15">
      <c r="D330" s="26"/>
      <c r="E330" s="26"/>
      <c r="F330" t="str">
        <f ca="1">IF(Inventory[[#This Row],[Product Category]]="","",IF(E330&lt;TODAY(),"EXPIRED",
IF(E330&lt;=TODAY()+30,"&lt;30 DAYS",
IF(E330&lt;=TODAY()+60,"&lt;60 DAYS",IF(E330=0,"","")))))</f>
        <v/>
      </c>
      <c r="H330">
        <f>SUMIF(Purchases[Product ID],A330,Purchases[Quantity])</f>
        <v>0</v>
      </c>
      <c r="I330">
        <f>SUMIF(Sales[Product Name],Inventory[[#This Row],[Product Name]],Sales[Quantity Sold])</f>
        <v>0</v>
      </c>
      <c r="J330">
        <f t="shared" si="11"/>
        <v>0</v>
      </c>
      <c r="N330">
        <f t="shared" si="12"/>
        <v>0</v>
      </c>
    </row>
    <row r="331" spans="4:14" ht="15">
      <c r="D331" s="26"/>
      <c r="E331" s="26"/>
      <c r="F331" t="str">
        <f ca="1">IF(Inventory[[#This Row],[Product Category]]="","",IF(E331&lt;TODAY(),"EXPIRED",
IF(E331&lt;=TODAY()+30,"&lt;30 DAYS",
IF(E331&lt;=TODAY()+60,"&lt;60 DAYS",IF(E331=0,"","")))))</f>
        <v/>
      </c>
      <c r="H331">
        <f>SUMIF(Purchases[Product ID],A331,Purchases[Quantity])</f>
        <v>0</v>
      </c>
      <c r="I331">
        <f>SUMIF(Sales[Product Name],Inventory[[#This Row],[Product Name]],Sales[Quantity Sold])</f>
        <v>0</v>
      </c>
      <c r="J331">
        <f t="shared" si="11"/>
        <v>0</v>
      </c>
      <c r="N331">
        <f t="shared" si="12"/>
        <v>0</v>
      </c>
    </row>
    <row r="332" spans="4:14" ht="15">
      <c r="D332" s="26"/>
      <c r="E332" s="26"/>
      <c r="F332" t="str">
        <f ca="1">IF(Inventory[[#This Row],[Product Category]]="","",IF(E332&lt;TODAY(),"EXPIRED",
IF(E332&lt;=TODAY()+30,"&lt;30 DAYS",
IF(E332&lt;=TODAY()+60,"&lt;60 DAYS",IF(E332=0,"","")))))</f>
        <v/>
      </c>
      <c r="H332">
        <f>SUMIF(Purchases[Product ID],A332,Purchases[Quantity])</f>
        <v>0</v>
      </c>
      <c r="I332">
        <f>SUMIF(Sales[Product Name],Inventory[[#This Row],[Product Name]],Sales[Quantity Sold])</f>
        <v>0</v>
      </c>
      <c r="J332">
        <f t="shared" si="11"/>
        <v>0</v>
      </c>
      <c r="N332">
        <f t="shared" si="12"/>
        <v>0</v>
      </c>
    </row>
    <row r="333" spans="4:14" ht="15">
      <c r="D333" s="26"/>
      <c r="E333" s="26"/>
      <c r="F333" t="str">
        <f ca="1">IF(Inventory[[#This Row],[Product Category]]="","",IF(E333&lt;TODAY(),"EXPIRED",
IF(E333&lt;=TODAY()+30,"&lt;30 DAYS",
IF(E333&lt;=TODAY()+60,"&lt;60 DAYS",IF(E333=0,"","")))))</f>
        <v/>
      </c>
      <c r="H333">
        <f>SUMIF(Purchases[Product ID],A333,Purchases[Quantity])</f>
        <v>0</v>
      </c>
      <c r="I333">
        <f>SUMIF(Sales[Product Name],Inventory[[#This Row],[Product Name]],Sales[Quantity Sold])</f>
        <v>0</v>
      </c>
      <c r="J333">
        <f t="shared" si="11"/>
        <v>0</v>
      </c>
      <c r="N333">
        <f t="shared" si="12"/>
        <v>0</v>
      </c>
    </row>
    <row r="334" spans="4:14" ht="15">
      <c r="D334" s="26"/>
      <c r="E334" s="26"/>
      <c r="F334" t="str">
        <f ca="1">IF(Inventory[[#This Row],[Product Category]]="","",IF(E334&lt;TODAY(),"EXPIRED",
IF(E334&lt;=TODAY()+30,"&lt;30 DAYS",
IF(E334&lt;=TODAY()+60,"&lt;60 DAYS",IF(E334=0,"","")))))</f>
        <v/>
      </c>
      <c r="H334">
        <f>SUMIF(Purchases[Product ID],A334,Purchases[Quantity])</f>
        <v>0</v>
      </c>
      <c r="I334">
        <f>SUMIF(Sales[Product Name],Inventory[[#This Row],[Product Name]],Sales[Quantity Sold])</f>
        <v>0</v>
      </c>
      <c r="J334">
        <f t="shared" si="11"/>
        <v>0</v>
      </c>
      <c r="N334">
        <f t="shared" si="12"/>
        <v>0</v>
      </c>
    </row>
    <row r="335" spans="4:14" ht="15">
      <c r="D335" s="26"/>
      <c r="E335" s="26"/>
      <c r="F335" t="str">
        <f ca="1">IF(Inventory[[#This Row],[Product Category]]="","",IF(E335&lt;TODAY(),"EXPIRED",
IF(E335&lt;=TODAY()+30,"&lt;30 DAYS",
IF(E335&lt;=TODAY()+60,"&lt;60 DAYS",IF(E335=0,"","")))))</f>
        <v/>
      </c>
      <c r="H335">
        <f>SUMIF(Purchases[Product ID],A335,Purchases[Quantity])</f>
        <v>0</v>
      </c>
      <c r="I335">
        <f>SUMIF(Sales[Product Name],Inventory[[#This Row],[Product Name]],Sales[Quantity Sold])</f>
        <v>0</v>
      </c>
      <c r="J335">
        <f t="shared" si="11"/>
        <v>0</v>
      </c>
      <c r="N335">
        <f t="shared" si="12"/>
        <v>0</v>
      </c>
    </row>
    <row r="336" spans="4:14" ht="15">
      <c r="D336" s="26"/>
      <c r="E336" s="26"/>
      <c r="F336" t="str">
        <f ca="1">IF(Inventory[[#This Row],[Product Category]]="","",IF(E336&lt;TODAY(),"EXPIRED",
IF(E336&lt;=TODAY()+30,"&lt;30 DAYS",
IF(E336&lt;=TODAY()+60,"&lt;60 DAYS",IF(E336=0,"","")))))</f>
        <v/>
      </c>
      <c r="H336">
        <f>SUMIF(Purchases[Product ID],A336,Purchases[Quantity])</f>
        <v>0</v>
      </c>
      <c r="I336">
        <f>SUMIF(Sales[Product Name],Inventory[[#This Row],[Product Name]],Sales[Quantity Sold])</f>
        <v>0</v>
      </c>
      <c r="J336">
        <f t="shared" si="11"/>
        <v>0</v>
      </c>
      <c r="N336">
        <f t="shared" si="12"/>
        <v>0</v>
      </c>
    </row>
    <row r="337" spans="4:14" ht="15">
      <c r="D337" s="26"/>
      <c r="E337" s="26"/>
      <c r="F337" t="str">
        <f ca="1">IF(Inventory[[#This Row],[Product Category]]="","",IF(E337&lt;TODAY(),"EXPIRED",
IF(E337&lt;=TODAY()+30,"&lt;30 DAYS",
IF(E337&lt;=TODAY()+60,"&lt;60 DAYS",IF(E337=0,"","")))))</f>
        <v/>
      </c>
      <c r="H337">
        <f>SUMIF(Purchases[Product ID],A337,Purchases[Quantity])</f>
        <v>0</v>
      </c>
      <c r="I337">
        <f>SUMIF(Sales[Product Name],Inventory[[#This Row],[Product Name]],Sales[Quantity Sold])</f>
        <v>0</v>
      </c>
      <c r="J337">
        <f t="shared" si="11"/>
        <v>0</v>
      </c>
      <c r="N337">
        <f t="shared" si="12"/>
        <v>0</v>
      </c>
    </row>
    <row r="338" spans="4:14" ht="15">
      <c r="D338" s="26"/>
      <c r="E338" s="26"/>
      <c r="F338" t="str">
        <f ca="1">IF(Inventory[[#This Row],[Product Category]]="","",IF(E338&lt;TODAY(),"EXPIRED",
IF(E338&lt;=TODAY()+30,"&lt;30 DAYS",
IF(E338&lt;=TODAY()+60,"&lt;60 DAYS",IF(E338=0,"","")))))</f>
        <v/>
      </c>
      <c r="H338">
        <f>SUMIF(Purchases[Product ID],A338,Purchases[Quantity])</f>
        <v>0</v>
      </c>
      <c r="I338">
        <f>SUMIF(Sales[Product Name],Inventory[[#This Row],[Product Name]],Sales[Quantity Sold])</f>
        <v>0</v>
      </c>
      <c r="J338">
        <f t="shared" si="11"/>
        <v>0</v>
      </c>
      <c r="N338">
        <f t="shared" si="12"/>
        <v>0</v>
      </c>
    </row>
    <row r="339" spans="4:14" ht="15">
      <c r="D339" s="26"/>
      <c r="E339" s="26"/>
      <c r="F339" t="str">
        <f ca="1">IF(Inventory[[#This Row],[Product Category]]="","",IF(E339&lt;TODAY(),"EXPIRED",
IF(E339&lt;=TODAY()+30,"&lt;30 DAYS",
IF(E339&lt;=TODAY()+60,"&lt;60 DAYS",IF(E339=0,"","")))))</f>
        <v/>
      </c>
      <c r="H339">
        <f>SUMIF(Purchases[Product ID],A339,Purchases[Quantity])</f>
        <v>0</v>
      </c>
      <c r="I339">
        <f>SUMIF(Sales[Product Name],Inventory[[#This Row],[Product Name]],Sales[Quantity Sold])</f>
        <v>0</v>
      </c>
      <c r="J339">
        <f t="shared" si="11"/>
        <v>0</v>
      </c>
      <c r="N339">
        <f t="shared" si="12"/>
        <v>0</v>
      </c>
    </row>
    <row r="340" spans="4:14" ht="15">
      <c r="D340" s="26"/>
      <c r="E340" s="26"/>
      <c r="F340" t="str">
        <f ca="1">IF(Inventory[[#This Row],[Product Category]]="","",IF(E340&lt;TODAY(),"EXPIRED",
IF(E340&lt;=TODAY()+30,"&lt;30 DAYS",
IF(E340&lt;=TODAY()+60,"&lt;60 DAYS",IF(E340=0,"","")))))</f>
        <v/>
      </c>
      <c r="H340">
        <f>SUMIF(Purchases[Product ID],A340,Purchases[Quantity])</f>
        <v>0</v>
      </c>
      <c r="I340">
        <f>SUMIF(Sales[Product Name],Inventory[[#This Row],[Product Name]],Sales[Quantity Sold])</f>
        <v>0</v>
      </c>
      <c r="J340">
        <f t="shared" si="11"/>
        <v>0</v>
      </c>
      <c r="N340">
        <f t="shared" si="12"/>
        <v>0</v>
      </c>
    </row>
    <row r="341" spans="4:14" ht="15">
      <c r="D341" s="26"/>
      <c r="E341" s="26"/>
      <c r="F341" t="str">
        <f ca="1">IF(Inventory[[#This Row],[Product Category]]="","",IF(E341&lt;TODAY(),"EXPIRED",
IF(E341&lt;=TODAY()+30,"&lt;30 DAYS",
IF(E341&lt;=TODAY()+60,"&lt;60 DAYS",IF(E341=0,"","")))))</f>
        <v/>
      </c>
      <c r="H341">
        <f>SUMIF(Purchases[Product ID],A341,Purchases[Quantity])</f>
        <v>0</v>
      </c>
      <c r="I341">
        <f>SUMIF(Sales[Product Name],Inventory[[#This Row],[Product Name]],Sales[Quantity Sold])</f>
        <v>0</v>
      </c>
      <c r="J341">
        <f t="shared" si="11"/>
        <v>0</v>
      </c>
      <c r="N341">
        <f t="shared" si="12"/>
        <v>0</v>
      </c>
    </row>
    <row r="342" spans="4:14" ht="15">
      <c r="D342" s="26"/>
      <c r="E342" s="26"/>
      <c r="F342" t="str">
        <f ca="1">IF(Inventory[[#This Row],[Product Category]]="","",IF(E342&lt;TODAY(),"EXPIRED",
IF(E342&lt;=TODAY()+30,"&lt;30 DAYS",
IF(E342&lt;=TODAY()+60,"&lt;60 DAYS",IF(E342=0,"","")))))</f>
        <v/>
      </c>
      <c r="H342">
        <f>SUMIF(Purchases[Product ID],A342,Purchases[Quantity])</f>
        <v>0</v>
      </c>
      <c r="I342">
        <f>SUMIF(Sales[Product Name],Inventory[[#This Row],[Product Name]],Sales[Quantity Sold])</f>
        <v>0</v>
      </c>
      <c r="J342">
        <f t="shared" si="11"/>
        <v>0</v>
      </c>
      <c r="N342">
        <f t="shared" si="12"/>
        <v>0</v>
      </c>
    </row>
    <row r="343" spans="4:14" ht="15">
      <c r="D343" s="26"/>
      <c r="E343" s="26"/>
      <c r="F343" t="str">
        <f ca="1">IF(Inventory[[#This Row],[Product Category]]="","",IF(E343&lt;TODAY(),"EXPIRED",
IF(E343&lt;=TODAY()+30,"&lt;30 DAYS",
IF(E343&lt;=TODAY()+60,"&lt;60 DAYS",IF(E343=0,"","")))))</f>
        <v/>
      </c>
      <c r="H343">
        <f>SUMIF(Purchases[Product ID],A343,Purchases[Quantity])</f>
        <v>0</v>
      </c>
      <c r="I343">
        <f>SUMIF(Sales[Product Name],Inventory[[#This Row],[Product Name]],Sales[Quantity Sold])</f>
        <v>0</v>
      </c>
      <c r="J343">
        <f t="shared" si="11"/>
        <v>0</v>
      </c>
      <c r="N343">
        <f t="shared" si="12"/>
        <v>0</v>
      </c>
    </row>
    <row r="344" spans="4:14" ht="15">
      <c r="D344" s="26"/>
      <c r="E344" s="26"/>
      <c r="F344" t="str">
        <f ca="1">IF(Inventory[[#This Row],[Product Category]]="","",IF(E344&lt;TODAY(),"EXPIRED",
IF(E344&lt;=TODAY()+30,"&lt;30 DAYS",
IF(E344&lt;=TODAY()+60,"&lt;60 DAYS",IF(E344=0,"","")))))</f>
        <v/>
      </c>
      <c r="H344">
        <f>SUMIF(Purchases[Product ID],A344,Purchases[Quantity])</f>
        <v>0</v>
      </c>
      <c r="I344">
        <f>SUMIF(Sales[Product Name],Inventory[[#This Row],[Product Name]],Sales[Quantity Sold])</f>
        <v>0</v>
      </c>
      <c r="J344">
        <f t="shared" si="11"/>
        <v>0</v>
      </c>
      <c r="N344">
        <f t="shared" si="12"/>
        <v>0</v>
      </c>
    </row>
    <row r="345" spans="4:14" ht="15">
      <c r="D345" s="26"/>
      <c r="E345" s="26"/>
      <c r="F345" t="str">
        <f ca="1">IF(Inventory[[#This Row],[Product Category]]="","",IF(E345&lt;TODAY(),"EXPIRED",
IF(E345&lt;=TODAY()+30,"&lt;30 DAYS",
IF(E345&lt;=TODAY()+60,"&lt;60 DAYS",IF(E345=0,"","")))))</f>
        <v/>
      </c>
      <c r="H345">
        <f>SUMIF(Purchases[Product ID],A345,Purchases[Quantity])</f>
        <v>0</v>
      </c>
      <c r="I345">
        <f>SUMIF(Sales[Product Name],Inventory[[#This Row],[Product Name]],Sales[Quantity Sold])</f>
        <v>0</v>
      </c>
      <c r="J345">
        <f t="shared" si="11"/>
        <v>0</v>
      </c>
      <c r="N345">
        <f t="shared" si="12"/>
        <v>0</v>
      </c>
    </row>
    <row r="346" spans="4:14" ht="15">
      <c r="D346" s="26"/>
      <c r="E346" s="26"/>
      <c r="F346" t="str">
        <f ca="1">IF(Inventory[[#This Row],[Product Category]]="","",IF(E346&lt;TODAY(),"EXPIRED",
IF(E346&lt;=TODAY()+30,"&lt;30 DAYS",
IF(E346&lt;=TODAY()+60,"&lt;60 DAYS",IF(E346=0,"","")))))</f>
        <v/>
      </c>
      <c r="H346">
        <f>SUMIF(Purchases[Product ID],A346,Purchases[Quantity])</f>
        <v>0</v>
      </c>
      <c r="I346">
        <f>SUMIF(Sales[Product Name],Inventory[[#This Row],[Product Name]],Sales[Quantity Sold])</f>
        <v>0</v>
      </c>
      <c r="J346">
        <f t="shared" si="11"/>
        <v>0</v>
      </c>
      <c r="N346">
        <f t="shared" si="12"/>
        <v>0</v>
      </c>
    </row>
    <row r="347" spans="4:14" ht="15">
      <c r="D347" s="26"/>
      <c r="E347" s="26"/>
      <c r="F347" t="str">
        <f ca="1">IF(Inventory[[#This Row],[Product Category]]="","",IF(E347&lt;TODAY(),"EXPIRED",
IF(E347&lt;=TODAY()+30,"&lt;30 DAYS",
IF(E347&lt;=TODAY()+60,"&lt;60 DAYS",IF(E347=0,"","")))))</f>
        <v/>
      </c>
      <c r="H347">
        <f>SUMIF(Purchases[Product ID],A347,Purchases[Quantity])</f>
        <v>0</v>
      </c>
      <c r="I347">
        <f>SUMIF(Sales[Product Name],Inventory[[#This Row],[Product Name]],Sales[Quantity Sold])</f>
        <v>0</v>
      </c>
      <c r="J347">
        <f t="shared" si="11"/>
        <v>0</v>
      </c>
      <c r="N347">
        <f t="shared" si="12"/>
        <v>0</v>
      </c>
    </row>
    <row r="348" spans="4:14" ht="15">
      <c r="D348" s="26"/>
      <c r="E348" s="26"/>
      <c r="F348" t="str">
        <f ca="1">IF(Inventory[[#This Row],[Product Category]]="","",IF(E348&lt;TODAY(),"EXPIRED",
IF(E348&lt;=TODAY()+30,"&lt;30 DAYS",
IF(E348&lt;=TODAY()+60,"&lt;60 DAYS",IF(E348=0,"","")))))</f>
        <v/>
      </c>
      <c r="H348">
        <f>SUMIF(Purchases[Product ID],A348,Purchases[Quantity])</f>
        <v>0</v>
      </c>
      <c r="I348">
        <f>SUMIF(Sales[Product Name],Inventory[[#This Row],[Product Name]],Sales[Quantity Sold])</f>
        <v>0</v>
      </c>
      <c r="J348">
        <f t="shared" si="11"/>
        <v>0</v>
      </c>
      <c r="N348">
        <f t="shared" si="12"/>
        <v>0</v>
      </c>
    </row>
    <row r="349" spans="4:14" ht="15">
      <c r="D349" s="26"/>
      <c r="E349" s="26"/>
      <c r="F349" t="str">
        <f ca="1">IF(Inventory[[#This Row],[Product Category]]="","",IF(E349&lt;TODAY(),"EXPIRED",
IF(E349&lt;=TODAY()+30,"&lt;30 DAYS",
IF(E349&lt;=TODAY()+60,"&lt;60 DAYS",IF(E349=0,"","")))))</f>
        <v/>
      </c>
      <c r="H349">
        <f>SUMIF(Purchases[Product ID],A349,Purchases[Quantity])</f>
        <v>0</v>
      </c>
      <c r="I349">
        <f>SUMIF(Sales[Product Name],Inventory[[#This Row],[Product Name]],Sales[Quantity Sold])</f>
        <v>0</v>
      </c>
      <c r="J349">
        <f t="shared" si="11"/>
        <v>0</v>
      </c>
      <c r="N349">
        <f t="shared" si="12"/>
        <v>0</v>
      </c>
    </row>
    <row r="350" spans="4:14" ht="15">
      <c r="D350" s="26"/>
      <c r="E350" s="26"/>
      <c r="F350" t="str">
        <f ca="1">IF(Inventory[[#This Row],[Product Category]]="","",IF(E350&lt;TODAY(),"EXPIRED",
IF(E350&lt;=TODAY()+30,"&lt;30 DAYS",
IF(E350&lt;=TODAY()+60,"&lt;60 DAYS",IF(E350=0,"","")))))</f>
        <v/>
      </c>
      <c r="H350">
        <f>SUMIF(Purchases[Product ID],A350,Purchases[Quantity])</f>
        <v>0</v>
      </c>
      <c r="I350">
        <f>SUMIF(Sales[Product Name],Inventory[[#This Row],[Product Name]],Sales[Quantity Sold])</f>
        <v>0</v>
      </c>
      <c r="J350">
        <f t="shared" si="11"/>
        <v>0</v>
      </c>
      <c r="N350">
        <f t="shared" si="12"/>
        <v>0</v>
      </c>
    </row>
    <row r="351" spans="4:14" ht="15">
      <c r="D351" s="26"/>
      <c r="E351" s="26"/>
      <c r="F351" t="str">
        <f ca="1">IF(Inventory[[#This Row],[Product Category]]="","",IF(E351&lt;TODAY(),"EXPIRED",
IF(E351&lt;=TODAY()+30,"&lt;30 DAYS",
IF(E351&lt;=TODAY()+60,"&lt;60 DAYS",IF(E351=0,"","")))))</f>
        <v/>
      </c>
      <c r="H351">
        <f>SUMIF(Purchases[Product ID],A351,Purchases[Quantity])</f>
        <v>0</v>
      </c>
      <c r="I351">
        <f>SUMIF(Sales[Product Name],Inventory[[#This Row],[Product Name]],Sales[Quantity Sold])</f>
        <v>0</v>
      </c>
      <c r="J351">
        <f t="shared" si="11"/>
        <v>0</v>
      </c>
      <c r="N351">
        <f t="shared" si="12"/>
        <v>0</v>
      </c>
    </row>
    <row r="352" spans="4:14" ht="15">
      <c r="D352" s="26"/>
      <c r="E352" s="26"/>
      <c r="F352" t="str">
        <f ca="1">IF(Inventory[[#This Row],[Product Category]]="","",IF(E352&lt;TODAY(),"EXPIRED",
IF(E352&lt;=TODAY()+30,"&lt;30 DAYS",
IF(E352&lt;=TODAY()+60,"&lt;60 DAYS",IF(E352=0,"","")))))</f>
        <v/>
      </c>
      <c r="H352">
        <f>SUMIF(Purchases[Product ID],A352,Purchases[Quantity])</f>
        <v>0</v>
      </c>
      <c r="I352">
        <f>SUMIF(Sales[Product Name],Inventory[[#This Row],[Product Name]],Sales[Quantity Sold])</f>
        <v>0</v>
      </c>
      <c r="J352">
        <f t="shared" si="11"/>
        <v>0</v>
      </c>
      <c r="N352">
        <f t="shared" si="12"/>
        <v>0</v>
      </c>
    </row>
    <row r="353" spans="4:14" ht="15">
      <c r="D353" s="26"/>
      <c r="E353" s="26"/>
      <c r="F353" t="str">
        <f ca="1">IF(Inventory[[#This Row],[Product Category]]="","",IF(E353&lt;TODAY(),"EXPIRED",
IF(E353&lt;=TODAY()+30,"&lt;30 DAYS",
IF(E353&lt;=TODAY()+60,"&lt;60 DAYS",IF(E353=0,"","")))))</f>
        <v/>
      </c>
      <c r="H353">
        <f>SUMIF(Purchases[Product ID],A353,Purchases[Quantity])</f>
        <v>0</v>
      </c>
      <c r="I353">
        <f>SUMIF(Sales[Product Name],Inventory[[#This Row],[Product Name]],Sales[Quantity Sold])</f>
        <v>0</v>
      </c>
      <c r="J353">
        <f t="shared" si="11"/>
        <v>0</v>
      </c>
      <c r="N353">
        <f t="shared" si="12"/>
        <v>0</v>
      </c>
    </row>
    <row r="354" spans="4:14" ht="15">
      <c r="D354" s="26"/>
      <c r="E354" s="26"/>
      <c r="F354" t="str">
        <f ca="1">IF(Inventory[[#This Row],[Product Category]]="","",IF(E354&lt;TODAY(),"EXPIRED",
IF(E354&lt;=TODAY()+30,"&lt;30 DAYS",
IF(E354&lt;=TODAY()+60,"&lt;60 DAYS",IF(E354=0,"","")))))</f>
        <v/>
      </c>
      <c r="H354">
        <f>SUMIF(Purchases[Product ID],A354,Purchases[Quantity])</f>
        <v>0</v>
      </c>
      <c r="I354">
        <f>SUMIF(Sales[Product Name],Inventory[[#This Row],[Product Name]],Sales[Quantity Sold])</f>
        <v>0</v>
      </c>
      <c r="J354">
        <f t="shared" si="11"/>
        <v>0</v>
      </c>
      <c r="N354">
        <f t="shared" si="12"/>
        <v>0</v>
      </c>
    </row>
    <row r="355" spans="4:14" ht="15">
      <c r="D355" s="26"/>
      <c r="E355" s="26"/>
      <c r="F355" t="str">
        <f ca="1">IF(Inventory[[#This Row],[Product Category]]="","",IF(E355&lt;TODAY(),"EXPIRED",
IF(E355&lt;=TODAY()+30,"&lt;30 DAYS",
IF(E355&lt;=TODAY()+60,"&lt;60 DAYS",IF(E355=0,"","")))))</f>
        <v/>
      </c>
      <c r="H355">
        <f>SUMIF(Purchases[Product ID],A355,Purchases[Quantity])</f>
        <v>0</v>
      </c>
      <c r="I355">
        <f>SUMIF(Sales[Product Name],Inventory[[#This Row],[Product Name]],Sales[Quantity Sold])</f>
        <v>0</v>
      </c>
      <c r="J355">
        <f t="shared" si="11"/>
        <v>0</v>
      </c>
      <c r="N355">
        <f t="shared" si="12"/>
        <v>0</v>
      </c>
    </row>
    <row r="356" spans="4:14" ht="15">
      <c r="D356" s="26"/>
      <c r="E356" s="26"/>
      <c r="F356" t="str">
        <f ca="1">IF(Inventory[[#This Row],[Product Category]]="","",IF(E356&lt;TODAY(),"EXPIRED",
IF(E356&lt;=TODAY()+30,"&lt;30 DAYS",
IF(E356&lt;=TODAY()+60,"&lt;60 DAYS",IF(E356=0,"","")))))</f>
        <v/>
      </c>
      <c r="H356">
        <f>SUMIF(Purchases[Product ID],A356,Purchases[Quantity])</f>
        <v>0</v>
      </c>
      <c r="I356">
        <f>SUMIF(Sales[Product Name],Inventory[[#This Row],[Product Name]],Sales[Quantity Sold])</f>
        <v>0</v>
      </c>
      <c r="J356">
        <f t="shared" si="11"/>
        <v>0</v>
      </c>
      <c r="N356">
        <f t="shared" si="12"/>
        <v>0</v>
      </c>
    </row>
    <row r="357" spans="4:14" ht="15">
      <c r="D357" s="26"/>
      <c r="E357" s="26"/>
      <c r="F357" t="str">
        <f ca="1">IF(Inventory[[#This Row],[Product Category]]="","",IF(E357&lt;TODAY(),"EXPIRED",
IF(E357&lt;=TODAY()+30,"&lt;30 DAYS",
IF(E357&lt;=TODAY()+60,"&lt;60 DAYS",IF(E357=0,"","")))))</f>
        <v/>
      </c>
      <c r="H357">
        <f>SUMIF(Purchases[Product ID],A357,Purchases[Quantity])</f>
        <v>0</v>
      </c>
      <c r="I357">
        <f>SUMIF(Sales[Product Name],Inventory[[#This Row],[Product Name]],Sales[Quantity Sold])</f>
        <v>0</v>
      </c>
      <c r="J357">
        <f t="shared" si="11"/>
        <v>0</v>
      </c>
      <c r="N357">
        <f t="shared" si="12"/>
        <v>0</v>
      </c>
    </row>
    <row r="358" spans="4:14" ht="15">
      <c r="D358" s="26"/>
      <c r="E358" s="26"/>
      <c r="F358" t="str">
        <f ca="1">IF(Inventory[[#This Row],[Product Category]]="","",IF(E358&lt;TODAY(),"EXPIRED",
IF(E358&lt;=TODAY()+30,"&lt;30 DAYS",
IF(E358&lt;=TODAY()+60,"&lt;60 DAYS",IF(E358=0,"","")))))</f>
        <v/>
      </c>
      <c r="H358">
        <f>SUMIF(Purchases[Product ID],A358,Purchases[Quantity])</f>
        <v>0</v>
      </c>
      <c r="I358">
        <f>SUMIF(Sales[Product Name],Inventory[[#This Row],[Product Name]],Sales[Quantity Sold])</f>
        <v>0</v>
      </c>
      <c r="J358">
        <f t="shared" si="11"/>
        <v>0</v>
      </c>
      <c r="N358">
        <f t="shared" si="12"/>
        <v>0</v>
      </c>
    </row>
    <row r="359" spans="4:14" ht="15">
      <c r="D359" s="26"/>
      <c r="E359" s="26"/>
      <c r="F359" t="str">
        <f ca="1">IF(Inventory[[#This Row],[Product Category]]="","",IF(E359&lt;TODAY(),"EXPIRED",
IF(E359&lt;=TODAY()+30,"&lt;30 DAYS",
IF(E359&lt;=TODAY()+60,"&lt;60 DAYS",IF(E359=0,"","")))))</f>
        <v/>
      </c>
      <c r="H359">
        <f>SUMIF(Purchases[Product ID],A359,Purchases[Quantity])</f>
        <v>0</v>
      </c>
      <c r="I359">
        <f>SUMIF(Sales[Product Name],Inventory[[#This Row],[Product Name]],Sales[Quantity Sold])</f>
        <v>0</v>
      </c>
      <c r="J359">
        <f t="shared" si="11"/>
        <v>0</v>
      </c>
      <c r="N359">
        <f t="shared" si="12"/>
        <v>0</v>
      </c>
    </row>
    <row r="360" spans="4:14" ht="15">
      <c r="D360" s="26"/>
      <c r="E360" s="26"/>
      <c r="F360" t="str">
        <f ca="1">IF(Inventory[[#This Row],[Product Category]]="","",IF(E360&lt;TODAY(),"EXPIRED",
IF(E360&lt;=TODAY()+30,"&lt;30 DAYS",
IF(E360&lt;=TODAY()+60,"&lt;60 DAYS",IF(E360=0,"","")))))</f>
        <v/>
      </c>
      <c r="H360">
        <f>SUMIF(Purchases[Product ID],A360,Purchases[Quantity])</f>
        <v>0</v>
      </c>
      <c r="I360">
        <f>SUMIF(Sales[Product Name],Inventory[[#This Row],[Product Name]],Sales[Quantity Sold])</f>
        <v>0</v>
      </c>
      <c r="J360">
        <f t="shared" si="11"/>
        <v>0</v>
      </c>
      <c r="N360">
        <f t="shared" si="12"/>
        <v>0</v>
      </c>
    </row>
    <row r="361" spans="4:14" ht="15">
      <c r="D361" s="26"/>
      <c r="E361" s="26"/>
      <c r="F361" t="str">
        <f ca="1">IF(Inventory[[#This Row],[Product Category]]="","",IF(E361&lt;TODAY(),"EXPIRED",
IF(E361&lt;=TODAY()+30,"&lt;30 DAYS",
IF(E361&lt;=TODAY()+60,"&lt;60 DAYS",IF(E361=0,"","")))))</f>
        <v/>
      </c>
      <c r="H361">
        <f>SUMIF(Purchases[Product ID],A361,Purchases[Quantity])</f>
        <v>0</v>
      </c>
      <c r="I361">
        <f>SUMIF(Sales[Product Name],Inventory[[#This Row],[Product Name]],Sales[Quantity Sold])</f>
        <v>0</v>
      </c>
      <c r="J361">
        <f t="shared" si="11"/>
        <v>0</v>
      </c>
      <c r="N361">
        <f t="shared" si="12"/>
        <v>0</v>
      </c>
    </row>
    <row r="362" spans="4:14" ht="15">
      <c r="D362" s="26"/>
      <c r="E362" s="26"/>
      <c r="F362" t="str">
        <f ca="1">IF(Inventory[[#This Row],[Product Category]]="","",IF(E362&lt;TODAY(),"EXPIRED",
IF(E362&lt;=TODAY()+30,"&lt;30 DAYS",
IF(E362&lt;=TODAY()+60,"&lt;60 DAYS",IF(E362=0,"","")))))</f>
        <v/>
      </c>
      <c r="H362">
        <f>SUMIF(Purchases[Product ID],A362,Purchases[Quantity])</f>
        <v>0</v>
      </c>
      <c r="I362">
        <f>SUMIF(Sales[Product Name],Inventory[[#This Row],[Product Name]],Sales[Quantity Sold])</f>
        <v>0</v>
      </c>
      <c r="J362">
        <f t="shared" si="11"/>
        <v>0</v>
      </c>
      <c r="N362">
        <f t="shared" si="12"/>
        <v>0</v>
      </c>
    </row>
    <row r="363" spans="4:14" ht="15">
      <c r="D363" s="26"/>
      <c r="E363" s="26"/>
      <c r="F363" t="str">
        <f ca="1">IF(Inventory[[#This Row],[Product Category]]="","",IF(E363&lt;TODAY(),"EXPIRED",
IF(E363&lt;=TODAY()+30,"&lt;30 DAYS",
IF(E363&lt;=TODAY()+60,"&lt;60 DAYS",IF(E363=0,"","")))))</f>
        <v/>
      </c>
      <c r="H363">
        <f>SUMIF(Purchases[Product ID],A363,Purchases[Quantity])</f>
        <v>0</v>
      </c>
      <c r="I363">
        <f>SUMIF(Sales[Product Name],Inventory[[#This Row],[Product Name]],Sales[Quantity Sold])</f>
        <v>0</v>
      </c>
      <c r="J363">
        <f t="shared" si="11"/>
        <v>0</v>
      </c>
      <c r="N363">
        <f t="shared" si="12"/>
        <v>0</v>
      </c>
    </row>
    <row r="364" spans="4:14" ht="15">
      <c r="D364" s="26"/>
      <c r="E364" s="26"/>
      <c r="F364" t="str">
        <f ca="1">IF(Inventory[[#This Row],[Product Category]]="","",IF(E364&lt;TODAY(),"EXPIRED",
IF(E364&lt;=TODAY()+30,"&lt;30 DAYS",
IF(E364&lt;=TODAY()+60,"&lt;60 DAYS",IF(E364=0,"","")))))</f>
        <v/>
      </c>
      <c r="H364">
        <f>SUMIF(Purchases[Product ID],A364,Purchases[Quantity])</f>
        <v>0</v>
      </c>
      <c r="I364">
        <f>SUMIF(Sales[Product Name],Inventory[[#This Row],[Product Name]],Sales[Quantity Sold])</f>
        <v>0</v>
      </c>
      <c r="J364">
        <f t="shared" si="11"/>
        <v>0</v>
      </c>
      <c r="N364">
        <f t="shared" si="12"/>
        <v>0</v>
      </c>
    </row>
    <row r="365" spans="4:14" ht="15">
      <c r="D365" s="26"/>
      <c r="E365" s="26"/>
      <c r="F365" t="str">
        <f ca="1">IF(Inventory[[#This Row],[Product Category]]="","",IF(E365&lt;TODAY(),"EXPIRED",
IF(E365&lt;=TODAY()+30,"&lt;30 DAYS",
IF(E365&lt;=TODAY()+60,"&lt;60 DAYS",IF(E365=0,"","")))))</f>
        <v/>
      </c>
      <c r="H365">
        <f>SUMIF(Purchases[Product ID],A365,Purchases[Quantity])</f>
        <v>0</v>
      </c>
      <c r="I365">
        <f>SUMIF(Sales[Product Name],Inventory[[#This Row],[Product Name]],Sales[Quantity Sold])</f>
        <v>0</v>
      </c>
      <c r="J365">
        <f t="shared" si="11"/>
        <v>0</v>
      </c>
      <c r="N365">
        <f t="shared" si="12"/>
        <v>0</v>
      </c>
    </row>
    <row r="366" spans="4:14" ht="15">
      <c r="D366" s="26"/>
      <c r="E366" s="26"/>
      <c r="F366" t="str">
        <f ca="1">IF(Inventory[[#This Row],[Product Category]]="","",IF(E366&lt;TODAY(),"EXPIRED",
IF(E366&lt;=TODAY()+30,"&lt;30 DAYS",
IF(E366&lt;=TODAY()+60,"&lt;60 DAYS",IF(E366=0,"","")))))</f>
        <v/>
      </c>
      <c r="H366">
        <f>SUMIF(Purchases[Product ID],A366,Purchases[Quantity])</f>
        <v>0</v>
      </c>
      <c r="I366">
        <f>SUMIF(Sales[Product Name],Inventory[[#This Row],[Product Name]],Sales[Quantity Sold])</f>
        <v>0</v>
      </c>
      <c r="J366">
        <f t="shared" si="11"/>
        <v>0</v>
      </c>
      <c r="N366">
        <f t="shared" si="12"/>
        <v>0</v>
      </c>
    </row>
    <row r="367" spans="4:14" ht="15">
      <c r="D367" s="26"/>
      <c r="E367" s="26"/>
      <c r="F367" t="str">
        <f ca="1">IF(Inventory[[#This Row],[Product Category]]="","",IF(E367&lt;TODAY(),"EXPIRED",
IF(E367&lt;=TODAY()+30,"&lt;30 DAYS",
IF(E367&lt;=TODAY()+60,"&lt;60 DAYS",IF(E367=0,"","")))))</f>
        <v/>
      </c>
      <c r="H367">
        <f>SUMIF(Purchases[Product ID],A367,Purchases[Quantity])</f>
        <v>0</v>
      </c>
      <c r="I367">
        <f>SUMIF(Sales[Product Name],Inventory[[#This Row],[Product Name]],Sales[Quantity Sold])</f>
        <v>0</v>
      </c>
      <c r="J367">
        <f t="shared" si="11"/>
        <v>0</v>
      </c>
      <c r="N367">
        <f t="shared" si="12"/>
        <v>0</v>
      </c>
    </row>
    <row r="368" spans="4:14" ht="15">
      <c r="D368" s="26"/>
      <c r="E368" s="26"/>
      <c r="F368" t="str">
        <f ca="1">IF(Inventory[[#This Row],[Product Category]]="","",IF(E368&lt;TODAY(),"EXPIRED",
IF(E368&lt;=TODAY()+30,"&lt;30 DAYS",
IF(E368&lt;=TODAY()+60,"&lt;60 DAYS",IF(E368=0,"","")))))</f>
        <v/>
      </c>
      <c r="H368">
        <f>SUMIF(Purchases[Product ID],A368,Purchases[Quantity])</f>
        <v>0</v>
      </c>
      <c r="I368">
        <f>SUMIF(Sales[Product Name],Inventory[[#This Row],[Product Name]],Sales[Quantity Sold])</f>
        <v>0</v>
      </c>
      <c r="J368">
        <f t="shared" si="11"/>
        <v>0</v>
      </c>
      <c r="N368">
        <f t="shared" si="12"/>
        <v>0</v>
      </c>
    </row>
    <row r="369" spans="4:14" ht="15">
      <c r="D369" s="26"/>
      <c r="E369" s="26"/>
      <c r="F369" t="str">
        <f ca="1">IF(Inventory[[#This Row],[Product Category]]="","",IF(E369&lt;TODAY(),"EXPIRED",
IF(E369&lt;=TODAY()+30,"&lt;30 DAYS",
IF(E369&lt;=TODAY()+60,"&lt;60 DAYS",IF(E369=0,"","")))))</f>
        <v/>
      </c>
      <c r="H369">
        <f>SUMIF(Purchases[Product ID],A369,Purchases[Quantity])</f>
        <v>0</v>
      </c>
      <c r="I369">
        <f>SUMIF(Sales[Product Name],Inventory[[#This Row],[Product Name]],Sales[Quantity Sold])</f>
        <v>0</v>
      </c>
      <c r="J369">
        <f t="shared" si="11"/>
        <v>0</v>
      </c>
      <c r="N369">
        <f t="shared" si="12"/>
        <v>0</v>
      </c>
    </row>
    <row r="370" spans="4:14" ht="15">
      <c r="D370" s="26"/>
      <c r="E370" s="26"/>
      <c r="F370" t="str">
        <f ca="1">IF(Inventory[[#This Row],[Product Category]]="","",IF(E370&lt;TODAY(),"EXPIRED",
IF(E370&lt;=TODAY()+30,"&lt;30 DAYS",
IF(E370&lt;=TODAY()+60,"&lt;60 DAYS",IF(E370=0,"","")))))</f>
        <v/>
      </c>
      <c r="H370">
        <f>SUMIF(Purchases[Product ID],A370,Purchases[Quantity])</f>
        <v>0</v>
      </c>
      <c r="I370">
        <f>SUMIF(Sales[Product Name],Inventory[[#This Row],[Product Name]],Sales[Quantity Sold])</f>
        <v>0</v>
      </c>
      <c r="J370">
        <f t="shared" si="11"/>
        <v>0</v>
      </c>
      <c r="N370">
        <f t="shared" si="12"/>
        <v>0</v>
      </c>
    </row>
    <row r="371" spans="4:14" ht="15">
      <c r="D371" s="26"/>
      <c r="E371" s="26"/>
      <c r="F371" t="str">
        <f ca="1">IF(Inventory[[#This Row],[Product Category]]="","",IF(E371&lt;TODAY(),"EXPIRED",
IF(E371&lt;=TODAY()+30,"&lt;30 DAYS",
IF(E371&lt;=TODAY()+60,"&lt;60 DAYS",IF(E371=0,"","")))))</f>
        <v/>
      </c>
      <c r="H371">
        <f>SUMIF(Purchases[Product ID],A371,Purchases[Quantity])</f>
        <v>0</v>
      </c>
      <c r="I371">
        <f>SUMIF(Sales[Product Name],Inventory[[#This Row],[Product Name]],Sales[Quantity Sold])</f>
        <v>0</v>
      </c>
      <c r="J371">
        <f t="shared" si="11"/>
        <v>0</v>
      </c>
      <c r="N371">
        <f t="shared" si="12"/>
        <v>0</v>
      </c>
    </row>
    <row r="372" spans="4:14" ht="15">
      <c r="D372" s="26"/>
      <c r="E372" s="26"/>
      <c r="F372" t="str">
        <f ca="1">IF(Inventory[[#This Row],[Product Category]]="","",IF(E372&lt;TODAY(),"EXPIRED",
IF(E372&lt;=TODAY()+30,"&lt;30 DAYS",
IF(E372&lt;=TODAY()+60,"&lt;60 DAYS",IF(E372=0,"","")))))</f>
        <v/>
      </c>
      <c r="H372">
        <f>SUMIF(Purchases[Product ID],A372,Purchases[Quantity])</f>
        <v>0</v>
      </c>
      <c r="I372">
        <f>SUMIF(Sales[Product Name],Inventory[[#This Row],[Product Name]],Sales[Quantity Sold])</f>
        <v>0</v>
      </c>
      <c r="J372">
        <f t="shared" si="11"/>
        <v>0</v>
      </c>
      <c r="N372">
        <f t="shared" si="12"/>
        <v>0</v>
      </c>
    </row>
    <row r="373" spans="4:14" ht="15">
      <c r="D373" s="26"/>
      <c r="E373" s="26"/>
      <c r="F373" t="str">
        <f ca="1">IF(Inventory[[#This Row],[Product Category]]="","",IF(E373&lt;TODAY(),"EXPIRED",
IF(E373&lt;=TODAY()+30,"&lt;30 DAYS",
IF(E373&lt;=TODAY()+60,"&lt;60 DAYS",IF(E373=0,"","")))))</f>
        <v/>
      </c>
      <c r="H373">
        <f>SUMIF(Purchases[Product ID],A373,Purchases[Quantity])</f>
        <v>0</v>
      </c>
      <c r="I373">
        <f>SUMIF(Sales[Product Name],Inventory[[#This Row],[Product Name]],Sales[Quantity Sold])</f>
        <v>0</v>
      </c>
      <c r="J373">
        <f t="shared" si="11"/>
        <v>0</v>
      </c>
      <c r="N373">
        <f t="shared" si="12"/>
        <v>0</v>
      </c>
    </row>
    <row r="374" spans="4:14" ht="15">
      <c r="D374" s="26"/>
      <c r="E374" s="26"/>
      <c r="F374" t="str">
        <f ca="1">IF(Inventory[[#This Row],[Product Category]]="","",IF(E374&lt;TODAY(),"EXPIRED",
IF(E374&lt;=TODAY()+30,"&lt;30 DAYS",
IF(E374&lt;=TODAY()+60,"&lt;60 DAYS",IF(E374=0,"","")))))</f>
        <v/>
      </c>
      <c r="H374">
        <f>SUMIF(Purchases[Product ID],A374,Purchases[Quantity])</f>
        <v>0</v>
      </c>
      <c r="I374">
        <f>SUMIF(Sales[Product Name],Inventory[[#This Row],[Product Name]],Sales[Quantity Sold])</f>
        <v>0</v>
      </c>
      <c r="J374">
        <f t="shared" si="11"/>
        <v>0</v>
      </c>
      <c r="N374">
        <f t="shared" si="12"/>
        <v>0</v>
      </c>
    </row>
    <row r="375" spans="4:14" ht="15">
      <c r="D375" s="26"/>
      <c r="E375" s="26"/>
      <c r="F375" t="str">
        <f ca="1">IF(Inventory[[#This Row],[Product Category]]="","",IF(E375&lt;TODAY(),"EXPIRED",
IF(E375&lt;=TODAY()+30,"&lt;30 DAYS",
IF(E375&lt;=TODAY()+60,"&lt;60 DAYS",IF(E375=0,"","")))))</f>
        <v/>
      </c>
      <c r="H375">
        <f>SUMIF(Purchases[Product ID],A375,Purchases[Quantity])</f>
        <v>0</v>
      </c>
      <c r="I375">
        <f>SUMIF(Sales[Product Name],Inventory[[#This Row],[Product Name]],Sales[Quantity Sold])</f>
        <v>0</v>
      </c>
      <c r="J375">
        <f t="shared" si="11"/>
        <v>0</v>
      </c>
      <c r="N375">
        <f t="shared" si="12"/>
        <v>0</v>
      </c>
    </row>
    <row r="376" spans="4:14" ht="15">
      <c r="D376" s="26"/>
      <c r="E376" s="26"/>
      <c r="F376" t="str">
        <f ca="1">IF(Inventory[[#This Row],[Product Category]]="","",IF(E376&lt;TODAY(),"EXPIRED",
IF(E376&lt;=TODAY()+30,"&lt;30 DAYS",
IF(E376&lt;=TODAY()+60,"&lt;60 DAYS",IF(E376=0,"","")))))</f>
        <v/>
      </c>
      <c r="H376">
        <f>SUMIF(Purchases[Product ID],A376,Purchases[Quantity])</f>
        <v>0</v>
      </c>
      <c r="I376">
        <f>SUMIF(Sales[Product Name],Inventory[[#This Row],[Product Name]],Sales[Quantity Sold])</f>
        <v>0</v>
      </c>
      <c r="J376">
        <f t="shared" si="11"/>
        <v>0</v>
      </c>
      <c r="N376">
        <f t="shared" si="12"/>
        <v>0</v>
      </c>
    </row>
    <row r="377" spans="4:14" ht="15">
      <c r="D377" s="26"/>
      <c r="E377" s="26"/>
      <c r="F377" t="str">
        <f ca="1">IF(Inventory[[#This Row],[Product Category]]="","",IF(E377&lt;TODAY(),"EXPIRED",
IF(E377&lt;=TODAY()+30,"&lt;30 DAYS",
IF(E377&lt;=TODAY()+60,"&lt;60 DAYS",IF(E377=0,"","")))))</f>
        <v/>
      </c>
      <c r="H377">
        <f>SUMIF(Purchases[Product ID],A377,Purchases[Quantity])</f>
        <v>0</v>
      </c>
      <c r="I377">
        <f>SUMIF(Sales[Product Name],Inventory[[#This Row],[Product Name]],Sales[Quantity Sold])</f>
        <v>0</v>
      </c>
      <c r="J377">
        <f t="shared" si="11"/>
        <v>0</v>
      </c>
      <c r="N377">
        <f t="shared" si="12"/>
        <v>0</v>
      </c>
    </row>
    <row r="378" spans="4:14" ht="15">
      <c r="D378" s="26"/>
      <c r="E378" s="26"/>
      <c r="F378" t="str">
        <f ca="1">IF(Inventory[[#This Row],[Product Category]]="","",IF(E378&lt;TODAY(),"EXPIRED",
IF(E378&lt;=TODAY()+30,"&lt;30 DAYS",
IF(E378&lt;=TODAY()+60,"&lt;60 DAYS",IF(E378=0,"","")))))</f>
        <v/>
      </c>
      <c r="H378">
        <f>SUMIF(Purchases[Product ID],A378,Purchases[Quantity])</f>
        <v>0</v>
      </c>
      <c r="I378">
        <f>SUMIF(Sales[Product Name],Inventory[[#This Row],[Product Name]],Sales[Quantity Sold])</f>
        <v>0</v>
      </c>
      <c r="J378">
        <f t="shared" si="11"/>
        <v>0</v>
      </c>
      <c r="N378">
        <f t="shared" si="12"/>
        <v>0</v>
      </c>
    </row>
    <row r="379" spans="4:14" ht="15">
      <c r="D379" s="26"/>
      <c r="E379" s="26"/>
      <c r="F379" t="str">
        <f ca="1">IF(Inventory[[#This Row],[Product Category]]="","",IF(E379&lt;TODAY(),"EXPIRED",
IF(E379&lt;=TODAY()+30,"&lt;30 DAYS",
IF(E379&lt;=TODAY()+60,"&lt;60 DAYS",IF(E379=0,"","")))))</f>
        <v/>
      </c>
      <c r="H379">
        <f>SUMIF(Purchases[Product ID],A379,Purchases[Quantity])</f>
        <v>0</v>
      </c>
      <c r="I379">
        <f>SUMIF(Sales[Product Name],Inventory[[#This Row],[Product Name]],Sales[Quantity Sold])</f>
        <v>0</v>
      </c>
      <c r="J379">
        <f t="shared" si="11"/>
        <v>0</v>
      </c>
      <c r="N379">
        <f t="shared" si="12"/>
        <v>0</v>
      </c>
    </row>
    <row r="380" spans="4:14" ht="15">
      <c r="D380" s="26"/>
      <c r="E380" s="26"/>
      <c r="F380" t="str">
        <f ca="1">IF(Inventory[[#This Row],[Product Category]]="","",IF(E380&lt;TODAY(),"EXPIRED",
IF(E380&lt;=TODAY()+30,"&lt;30 DAYS",
IF(E380&lt;=TODAY()+60,"&lt;60 DAYS",IF(E380=0,"","")))))</f>
        <v/>
      </c>
      <c r="H380">
        <f>SUMIF(Purchases[Product ID],A380,Purchases[Quantity])</f>
        <v>0</v>
      </c>
      <c r="I380">
        <f>SUMIF(Sales[Product Name],Inventory[[#This Row],[Product Name]],Sales[Quantity Sold])</f>
        <v>0</v>
      </c>
      <c r="J380">
        <f t="shared" si="11"/>
        <v>0</v>
      </c>
      <c r="N380">
        <f t="shared" si="12"/>
        <v>0</v>
      </c>
    </row>
    <row r="381" spans="4:14" ht="15">
      <c r="D381" s="26"/>
      <c r="E381" s="26"/>
      <c r="F381" t="str">
        <f ca="1">IF(Inventory[[#This Row],[Product Category]]="","",IF(E381&lt;TODAY(),"EXPIRED",
IF(E381&lt;=TODAY()+30,"&lt;30 DAYS",
IF(E381&lt;=TODAY()+60,"&lt;60 DAYS",IF(E381=0,"","")))))</f>
        <v/>
      </c>
      <c r="H381">
        <f>SUMIF(Purchases[Product ID],A381,Purchases[Quantity])</f>
        <v>0</v>
      </c>
      <c r="I381">
        <f>SUMIF(Sales[Product Name],Inventory[[#This Row],[Product Name]],Sales[Quantity Sold])</f>
        <v>0</v>
      </c>
      <c r="J381">
        <f t="shared" si="11"/>
        <v>0</v>
      </c>
      <c r="N381">
        <f t="shared" si="12"/>
        <v>0</v>
      </c>
    </row>
    <row r="382" spans="4:14" ht="15">
      <c r="D382" s="26"/>
      <c r="E382" s="26"/>
      <c r="F382" t="str">
        <f ca="1">IF(Inventory[[#This Row],[Product Category]]="","",IF(E382&lt;TODAY(),"EXPIRED",
IF(E382&lt;=TODAY()+30,"&lt;30 DAYS",
IF(E382&lt;=TODAY()+60,"&lt;60 DAYS",IF(E382=0,"","")))))</f>
        <v/>
      </c>
      <c r="H382">
        <f>SUMIF(Purchases[Product ID],A382,Purchases[Quantity])</f>
        <v>0</v>
      </c>
      <c r="I382">
        <f>SUMIF(Sales[Product Name],Inventory[[#This Row],[Product Name]],Sales[Quantity Sold])</f>
        <v>0</v>
      </c>
      <c r="J382">
        <f t="shared" si="11"/>
        <v>0</v>
      </c>
      <c r="N382">
        <f t="shared" si="12"/>
        <v>0</v>
      </c>
    </row>
    <row r="383" spans="4:14" ht="15">
      <c r="D383" s="26"/>
      <c r="E383" s="26"/>
      <c r="F383" t="str">
        <f ca="1">IF(Inventory[[#This Row],[Product Category]]="","",IF(E383&lt;TODAY(),"EXPIRED",
IF(E383&lt;=TODAY()+30,"&lt;30 DAYS",
IF(E383&lt;=TODAY()+60,"&lt;60 DAYS",IF(E383=0,"","")))))</f>
        <v/>
      </c>
      <c r="H383">
        <f>SUMIF(Purchases[Product ID],A383,Purchases[Quantity])</f>
        <v>0</v>
      </c>
      <c r="I383">
        <f>SUMIF(Sales[Product Name],Inventory[[#This Row],[Product Name]],Sales[Quantity Sold])</f>
        <v>0</v>
      </c>
      <c r="J383">
        <f t="shared" si="11"/>
        <v>0</v>
      </c>
      <c r="N383">
        <f t="shared" si="12"/>
        <v>0</v>
      </c>
    </row>
    <row r="384" spans="4:14" ht="15">
      <c r="D384" s="26"/>
      <c r="E384" s="26"/>
      <c r="F384" t="str">
        <f ca="1">IF(Inventory[[#This Row],[Product Category]]="","",IF(E384&lt;TODAY(),"EXPIRED",
IF(E384&lt;=TODAY()+30,"&lt;30 DAYS",
IF(E384&lt;=TODAY()+60,"&lt;60 DAYS",IF(E384=0,"","")))))</f>
        <v/>
      </c>
      <c r="H384">
        <f>SUMIF(Purchases[Product ID],A384,Purchases[Quantity])</f>
        <v>0</v>
      </c>
      <c r="I384">
        <f>SUMIF(Sales[Product Name],Inventory[[#This Row],[Product Name]],Sales[Quantity Sold])</f>
        <v>0</v>
      </c>
      <c r="J384">
        <f t="shared" si="11"/>
        <v>0</v>
      </c>
      <c r="N384">
        <f t="shared" si="12"/>
        <v>0</v>
      </c>
    </row>
    <row r="385" spans="4:14" ht="15">
      <c r="D385" s="26"/>
      <c r="E385" s="26"/>
      <c r="F385" t="str">
        <f ca="1">IF(Inventory[[#This Row],[Product Category]]="","",IF(E385&lt;TODAY(),"EXPIRED",
IF(E385&lt;=TODAY()+30,"&lt;30 DAYS",
IF(E385&lt;=TODAY()+60,"&lt;60 DAYS",IF(E385=0,"","")))))</f>
        <v/>
      </c>
      <c r="H385">
        <f>SUMIF(Purchases[Product ID],A385,Purchases[Quantity])</f>
        <v>0</v>
      </c>
      <c r="I385">
        <f>SUMIF(Sales[Product Name],Inventory[[#This Row],[Product Name]],Sales[Quantity Sold])</f>
        <v>0</v>
      </c>
      <c r="J385">
        <f t="shared" si="11"/>
        <v>0</v>
      </c>
      <c r="N385">
        <f t="shared" si="12"/>
        <v>0</v>
      </c>
    </row>
    <row r="386" spans="4:14" ht="15">
      <c r="D386" s="26"/>
      <c r="E386" s="26"/>
      <c r="F386" t="str">
        <f ca="1">IF(Inventory[[#This Row],[Product Category]]="","",IF(E386&lt;TODAY(),"EXPIRED",
IF(E386&lt;=TODAY()+30,"&lt;30 DAYS",
IF(E386&lt;=TODAY()+60,"&lt;60 DAYS",IF(E386=0,"","")))))</f>
        <v/>
      </c>
      <c r="H386">
        <f>SUMIF(Purchases[Product ID],A386,Purchases[Quantity])</f>
        <v>0</v>
      </c>
      <c r="I386">
        <f>SUMIF(Sales[Product Name],Inventory[[#This Row],[Product Name]],Sales[Quantity Sold])</f>
        <v>0</v>
      </c>
      <c r="J386">
        <f t="shared" si="11"/>
        <v>0</v>
      </c>
      <c r="N386">
        <f t="shared" si="12"/>
        <v>0</v>
      </c>
    </row>
    <row r="387" spans="4:14" ht="15">
      <c r="D387" s="26"/>
      <c r="E387" s="26"/>
      <c r="F387" t="str">
        <f ca="1">IF(Inventory[[#This Row],[Product Category]]="","",IF(E387&lt;TODAY(),"EXPIRED",
IF(E387&lt;=TODAY()+30,"&lt;30 DAYS",
IF(E387&lt;=TODAY()+60,"&lt;60 DAYS",IF(E387=0,"","")))))</f>
        <v/>
      </c>
      <c r="H387">
        <f>SUMIF(Purchases[Product ID],A387,Purchases[Quantity])</f>
        <v>0</v>
      </c>
      <c r="I387">
        <f>SUMIF(Sales[Product Name],Inventory[[#This Row],[Product Name]],Sales[Quantity Sold])</f>
        <v>0</v>
      </c>
      <c r="J387">
        <f t="shared" si="11"/>
        <v>0</v>
      </c>
      <c r="N387">
        <f t="shared" si="12"/>
        <v>0</v>
      </c>
    </row>
    <row r="388" spans="4:14" ht="15">
      <c r="D388" s="26"/>
      <c r="E388" s="26"/>
      <c r="F388" t="str">
        <f ca="1">IF(Inventory[[#This Row],[Product Category]]="","",IF(E388&lt;TODAY(),"EXPIRED",
IF(E388&lt;=TODAY()+30,"&lt;30 DAYS",
IF(E388&lt;=TODAY()+60,"&lt;60 DAYS",IF(E388=0,"","")))))</f>
        <v/>
      </c>
      <c r="H388">
        <f>SUMIF(Purchases[Product ID],A388,Purchases[Quantity])</f>
        <v>0</v>
      </c>
      <c r="I388">
        <f>SUMIF(Sales[Product Name],Inventory[[#This Row],[Product Name]],Sales[Quantity Sold])</f>
        <v>0</v>
      </c>
      <c r="J388">
        <f t="shared" si="11"/>
        <v>0</v>
      </c>
      <c r="N388">
        <f t="shared" si="12"/>
        <v>0</v>
      </c>
    </row>
    <row r="389" spans="4:14" ht="15">
      <c r="D389" s="26"/>
      <c r="E389" s="26"/>
      <c r="F389" t="str">
        <f ca="1">IF(Inventory[[#This Row],[Product Category]]="","",IF(E389&lt;TODAY(),"EXPIRED",
IF(E389&lt;=TODAY()+30,"&lt;30 DAYS",
IF(E389&lt;=TODAY()+60,"&lt;60 DAYS",IF(E389=0,"","")))))</f>
        <v/>
      </c>
      <c r="H389">
        <f>SUMIF(Purchases[Product ID],A389,Purchases[Quantity])</f>
        <v>0</v>
      </c>
      <c r="I389">
        <f>SUMIF(Sales[Product Name],Inventory[[#This Row],[Product Name]],Sales[Quantity Sold])</f>
        <v>0</v>
      </c>
      <c r="J389">
        <f t="shared" si="11"/>
        <v>0</v>
      </c>
      <c r="N389">
        <f t="shared" si="12"/>
        <v>0</v>
      </c>
    </row>
    <row r="390" spans="4:14" ht="15">
      <c r="D390" s="26"/>
      <c r="E390" s="26"/>
      <c r="F390" t="str">
        <f ca="1">IF(Inventory[[#This Row],[Product Category]]="","",IF(E390&lt;TODAY(),"EXPIRED",
IF(E390&lt;=TODAY()+30,"&lt;30 DAYS",
IF(E390&lt;=TODAY()+60,"&lt;60 DAYS",IF(E390=0,"","")))))</f>
        <v/>
      </c>
      <c r="H390">
        <f>SUMIF(Purchases[Product ID],A390,Purchases[Quantity])</f>
        <v>0</v>
      </c>
      <c r="I390">
        <f>SUMIF(Sales[Product Name],Inventory[[#This Row],[Product Name]],Sales[Quantity Sold])</f>
        <v>0</v>
      </c>
      <c r="J390">
        <f t="shared" si="11"/>
        <v>0</v>
      </c>
      <c r="N390">
        <f t="shared" si="12"/>
        <v>0</v>
      </c>
    </row>
    <row r="391" spans="4:14" ht="15">
      <c r="D391" s="26"/>
      <c r="E391" s="26"/>
      <c r="F391" t="str">
        <f ca="1">IF(Inventory[[#This Row],[Product Category]]="","",IF(E391&lt;TODAY(),"EXPIRED",
IF(E391&lt;=TODAY()+30,"&lt;30 DAYS",
IF(E391&lt;=TODAY()+60,"&lt;60 DAYS",IF(E391=0,"","")))))</f>
        <v/>
      </c>
      <c r="H391">
        <f>SUMIF(Purchases[Product ID],A391,Purchases[Quantity])</f>
        <v>0</v>
      </c>
      <c r="I391">
        <f>SUMIF(Sales[Product Name],Inventory[[#This Row],[Product Name]],Sales[Quantity Sold])</f>
        <v>0</v>
      </c>
      <c r="J391">
        <f t="shared" si="11"/>
        <v>0</v>
      </c>
      <c r="N391">
        <f t="shared" si="12"/>
        <v>0</v>
      </c>
    </row>
    <row r="392" spans="4:14" ht="15">
      <c r="D392" s="26"/>
      <c r="E392" s="26"/>
      <c r="F392" t="str">
        <f ca="1">IF(Inventory[[#This Row],[Product Category]]="","",IF(E392&lt;TODAY(),"EXPIRED",
IF(E392&lt;=TODAY()+30,"&lt;30 DAYS",
IF(E392&lt;=TODAY()+60,"&lt;60 DAYS",IF(E392=0,"","")))))</f>
        <v/>
      </c>
      <c r="H392">
        <f>SUMIF(Purchases[Product ID],A392,Purchases[Quantity])</f>
        <v>0</v>
      </c>
      <c r="I392">
        <f>SUMIF(Sales[Product Name],Inventory[[#This Row],[Product Name]],Sales[Quantity Sold])</f>
        <v>0</v>
      </c>
      <c r="J392">
        <f t="shared" ref="J392:J455" si="13">G392+H392-I392</f>
        <v>0</v>
      </c>
      <c r="N392">
        <f t="shared" ref="N392:N455" si="14">J392*L392</f>
        <v>0</v>
      </c>
    </row>
    <row r="393" spans="4:14" ht="15">
      <c r="D393" s="26"/>
      <c r="E393" s="26"/>
      <c r="F393" t="str">
        <f ca="1">IF(Inventory[[#This Row],[Product Category]]="","",IF(E393&lt;TODAY(),"EXPIRED",
IF(E393&lt;=TODAY()+30,"&lt;30 DAYS",
IF(E393&lt;=TODAY()+60,"&lt;60 DAYS",IF(E393=0,"","")))))</f>
        <v/>
      </c>
      <c r="H393">
        <f>SUMIF(Purchases[Product ID],A393,Purchases[Quantity])</f>
        <v>0</v>
      </c>
      <c r="I393">
        <f>SUMIF(Sales[Product Name],Inventory[[#This Row],[Product Name]],Sales[Quantity Sold])</f>
        <v>0</v>
      </c>
      <c r="J393">
        <f t="shared" si="13"/>
        <v>0</v>
      </c>
      <c r="N393">
        <f t="shared" si="14"/>
        <v>0</v>
      </c>
    </row>
    <row r="394" spans="4:14" ht="15">
      <c r="D394" s="26"/>
      <c r="E394" s="26"/>
      <c r="F394" t="str">
        <f ca="1">IF(Inventory[[#This Row],[Product Category]]="","",IF(E394&lt;TODAY(),"EXPIRED",
IF(E394&lt;=TODAY()+30,"&lt;30 DAYS",
IF(E394&lt;=TODAY()+60,"&lt;60 DAYS",IF(E394=0,"","")))))</f>
        <v/>
      </c>
      <c r="H394">
        <f>SUMIF(Purchases[Product ID],A394,Purchases[Quantity])</f>
        <v>0</v>
      </c>
      <c r="I394">
        <f>SUMIF(Sales[Product Name],Inventory[[#This Row],[Product Name]],Sales[Quantity Sold])</f>
        <v>0</v>
      </c>
      <c r="J394">
        <f t="shared" si="13"/>
        <v>0</v>
      </c>
      <c r="N394">
        <f t="shared" si="14"/>
        <v>0</v>
      </c>
    </row>
    <row r="395" spans="4:14" ht="15">
      <c r="D395" s="26"/>
      <c r="E395" s="26"/>
      <c r="F395" t="str">
        <f ca="1">IF(Inventory[[#This Row],[Product Category]]="","",IF(E395&lt;TODAY(),"EXPIRED",
IF(E395&lt;=TODAY()+30,"&lt;30 DAYS",
IF(E395&lt;=TODAY()+60,"&lt;60 DAYS",IF(E395=0,"","")))))</f>
        <v/>
      </c>
      <c r="H395">
        <f>SUMIF(Purchases[Product ID],A395,Purchases[Quantity])</f>
        <v>0</v>
      </c>
      <c r="I395">
        <f>SUMIF(Sales[Product Name],Inventory[[#This Row],[Product Name]],Sales[Quantity Sold])</f>
        <v>0</v>
      </c>
      <c r="J395">
        <f t="shared" si="13"/>
        <v>0</v>
      </c>
      <c r="N395">
        <f t="shared" si="14"/>
        <v>0</v>
      </c>
    </row>
    <row r="396" spans="4:14" ht="15">
      <c r="D396" s="26"/>
      <c r="E396" s="26"/>
      <c r="F396" t="str">
        <f ca="1">IF(Inventory[[#This Row],[Product Category]]="","",IF(E396&lt;TODAY(),"EXPIRED",
IF(E396&lt;=TODAY()+30,"&lt;30 DAYS",
IF(E396&lt;=TODAY()+60,"&lt;60 DAYS",IF(E396=0,"","")))))</f>
        <v/>
      </c>
      <c r="H396">
        <f>SUMIF(Purchases[Product ID],A396,Purchases[Quantity])</f>
        <v>0</v>
      </c>
      <c r="I396">
        <f>SUMIF(Sales[Product Name],Inventory[[#This Row],[Product Name]],Sales[Quantity Sold])</f>
        <v>0</v>
      </c>
      <c r="J396">
        <f t="shared" si="13"/>
        <v>0</v>
      </c>
      <c r="N396">
        <f t="shared" si="14"/>
        <v>0</v>
      </c>
    </row>
    <row r="397" spans="4:14" ht="15">
      <c r="D397" s="26"/>
      <c r="E397" s="26"/>
      <c r="F397" t="str">
        <f ca="1">IF(Inventory[[#This Row],[Product Category]]="","",IF(E397&lt;TODAY(),"EXPIRED",
IF(E397&lt;=TODAY()+30,"&lt;30 DAYS",
IF(E397&lt;=TODAY()+60,"&lt;60 DAYS",IF(E397=0,"","")))))</f>
        <v/>
      </c>
      <c r="H397">
        <f>SUMIF(Purchases[Product ID],A397,Purchases[Quantity])</f>
        <v>0</v>
      </c>
      <c r="I397">
        <f>SUMIF(Sales[Product Name],Inventory[[#This Row],[Product Name]],Sales[Quantity Sold])</f>
        <v>0</v>
      </c>
      <c r="J397">
        <f t="shared" si="13"/>
        <v>0</v>
      </c>
      <c r="N397">
        <f t="shared" si="14"/>
        <v>0</v>
      </c>
    </row>
    <row r="398" spans="4:14" ht="15">
      <c r="D398" s="26"/>
      <c r="E398" s="26"/>
      <c r="F398" t="str">
        <f ca="1">IF(Inventory[[#This Row],[Product Category]]="","",IF(E398&lt;TODAY(),"EXPIRED",
IF(E398&lt;=TODAY()+30,"&lt;30 DAYS",
IF(E398&lt;=TODAY()+60,"&lt;60 DAYS",IF(E398=0,"","")))))</f>
        <v/>
      </c>
      <c r="H398">
        <f>SUMIF(Purchases[Product ID],A398,Purchases[Quantity])</f>
        <v>0</v>
      </c>
      <c r="I398">
        <f>SUMIF(Sales[Product Name],Inventory[[#This Row],[Product Name]],Sales[Quantity Sold])</f>
        <v>0</v>
      </c>
      <c r="J398">
        <f t="shared" si="13"/>
        <v>0</v>
      </c>
      <c r="N398">
        <f t="shared" si="14"/>
        <v>0</v>
      </c>
    </row>
    <row r="399" spans="4:14" ht="15">
      <c r="D399" s="26"/>
      <c r="E399" s="26"/>
      <c r="F399" t="str">
        <f ca="1">IF(Inventory[[#This Row],[Product Category]]="","",IF(E399&lt;TODAY(),"EXPIRED",
IF(E399&lt;=TODAY()+30,"&lt;30 DAYS",
IF(E399&lt;=TODAY()+60,"&lt;60 DAYS",IF(E399=0,"","")))))</f>
        <v/>
      </c>
      <c r="H399">
        <f>SUMIF(Purchases[Product ID],A399,Purchases[Quantity])</f>
        <v>0</v>
      </c>
      <c r="I399">
        <f>SUMIF(Sales[Product Name],Inventory[[#This Row],[Product Name]],Sales[Quantity Sold])</f>
        <v>0</v>
      </c>
      <c r="J399">
        <f t="shared" si="13"/>
        <v>0</v>
      </c>
      <c r="N399">
        <f t="shared" si="14"/>
        <v>0</v>
      </c>
    </row>
    <row r="400" spans="4:14" ht="15">
      <c r="D400" s="26"/>
      <c r="E400" s="26"/>
      <c r="F400" t="str">
        <f ca="1">IF(Inventory[[#This Row],[Product Category]]="","",IF(E400&lt;TODAY(),"EXPIRED",
IF(E400&lt;=TODAY()+30,"&lt;30 DAYS",
IF(E400&lt;=TODAY()+60,"&lt;60 DAYS",IF(E400=0,"","")))))</f>
        <v/>
      </c>
      <c r="H400">
        <f>SUMIF(Purchases[Product ID],A400,Purchases[Quantity])</f>
        <v>0</v>
      </c>
      <c r="I400">
        <f>SUMIF(Sales[Product Name],Inventory[[#This Row],[Product Name]],Sales[Quantity Sold])</f>
        <v>0</v>
      </c>
      <c r="J400">
        <f t="shared" si="13"/>
        <v>0</v>
      </c>
      <c r="N400">
        <f t="shared" si="14"/>
        <v>0</v>
      </c>
    </row>
    <row r="401" spans="4:14" ht="15">
      <c r="D401" s="26"/>
      <c r="E401" s="26"/>
      <c r="F401" t="str">
        <f ca="1">IF(Inventory[[#This Row],[Product Category]]="","",IF(E401&lt;TODAY(),"EXPIRED",
IF(E401&lt;=TODAY()+30,"&lt;30 DAYS",
IF(E401&lt;=TODAY()+60,"&lt;60 DAYS",IF(E401=0,"","")))))</f>
        <v/>
      </c>
      <c r="H401">
        <f>SUMIF(Purchases[Product ID],A401,Purchases[Quantity])</f>
        <v>0</v>
      </c>
      <c r="I401">
        <f>SUMIF(Sales[Product Name],Inventory[[#This Row],[Product Name]],Sales[Quantity Sold])</f>
        <v>0</v>
      </c>
      <c r="J401">
        <f t="shared" si="13"/>
        <v>0</v>
      </c>
      <c r="N401">
        <f t="shared" si="14"/>
        <v>0</v>
      </c>
    </row>
    <row r="402" spans="4:14" ht="15">
      <c r="D402" s="26"/>
      <c r="E402" s="26"/>
      <c r="F402" t="str">
        <f ca="1">IF(Inventory[[#This Row],[Product Category]]="","",IF(E402&lt;TODAY(),"EXPIRED",
IF(E402&lt;=TODAY()+30,"&lt;30 DAYS",
IF(E402&lt;=TODAY()+60,"&lt;60 DAYS",IF(E402=0,"","")))))</f>
        <v/>
      </c>
      <c r="H402">
        <f>SUMIF(Purchases[Product ID],A402,Purchases[Quantity])</f>
        <v>0</v>
      </c>
      <c r="I402">
        <f>SUMIF(Sales[Product Name],Inventory[[#This Row],[Product Name]],Sales[Quantity Sold])</f>
        <v>0</v>
      </c>
      <c r="J402">
        <f t="shared" si="13"/>
        <v>0</v>
      </c>
      <c r="N402">
        <f t="shared" si="14"/>
        <v>0</v>
      </c>
    </row>
    <row r="403" spans="4:14" ht="15">
      <c r="D403" s="26"/>
      <c r="E403" s="26"/>
      <c r="F403" t="str">
        <f ca="1">IF(Inventory[[#This Row],[Product Category]]="","",IF(E403&lt;TODAY(),"EXPIRED",
IF(E403&lt;=TODAY()+30,"&lt;30 DAYS",
IF(E403&lt;=TODAY()+60,"&lt;60 DAYS",IF(E403=0,"","")))))</f>
        <v/>
      </c>
      <c r="H403">
        <f>SUMIF(Purchases[Product ID],A403,Purchases[Quantity])</f>
        <v>0</v>
      </c>
      <c r="I403">
        <f>SUMIF(Sales[Product Name],Inventory[[#This Row],[Product Name]],Sales[Quantity Sold])</f>
        <v>0</v>
      </c>
      <c r="J403">
        <f t="shared" si="13"/>
        <v>0</v>
      </c>
      <c r="N403">
        <f t="shared" si="14"/>
        <v>0</v>
      </c>
    </row>
    <row r="404" spans="4:14" ht="15">
      <c r="D404" s="26"/>
      <c r="E404" s="26"/>
      <c r="F404" t="str">
        <f ca="1">IF(Inventory[[#This Row],[Product Category]]="","",IF(E404&lt;TODAY(),"EXPIRED",
IF(E404&lt;=TODAY()+30,"&lt;30 DAYS",
IF(E404&lt;=TODAY()+60,"&lt;60 DAYS",IF(E404=0,"","")))))</f>
        <v/>
      </c>
      <c r="H404">
        <f>SUMIF(Purchases[Product ID],A404,Purchases[Quantity])</f>
        <v>0</v>
      </c>
      <c r="I404">
        <f>SUMIF(Sales[Product Name],Inventory[[#This Row],[Product Name]],Sales[Quantity Sold])</f>
        <v>0</v>
      </c>
      <c r="J404">
        <f t="shared" si="13"/>
        <v>0</v>
      </c>
      <c r="N404">
        <f t="shared" si="14"/>
        <v>0</v>
      </c>
    </row>
    <row r="405" spans="4:14" ht="15">
      <c r="D405" s="26"/>
      <c r="E405" s="26"/>
      <c r="F405" t="str">
        <f ca="1">IF(Inventory[[#This Row],[Product Category]]="","",IF(E405&lt;TODAY(),"EXPIRED",
IF(E405&lt;=TODAY()+30,"&lt;30 DAYS",
IF(E405&lt;=TODAY()+60,"&lt;60 DAYS",IF(E405=0,"","")))))</f>
        <v/>
      </c>
      <c r="H405">
        <f>SUMIF(Purchases[Product ID],A405,Purchases[Quantity])</f>
        <v>0</v>
      </c>
      <c r="I405">
        <f>SUMIF(Sales[Product Name],Inventory[[#This Row],[Product Name]],Sales[Quantity Sold])</f>
        <v>0</v>
      </c>
      <c r="J405">
        <f t="shared" si="13"/>
        <v>0</v>
      </c>
      <c r="N405">
        <f t="shared" si="14"/>
        <v>0</v>
      </c>
    </row>
    <row r="406" spans="4:14" ht="15">
      <c r="D406" s="26"/>
      <c r="E406" s="26"/>
      <c r="F406" t="str">
        <f ca="1">IF(Inventory[[#This Row],[Product Category]]="","",IF(E406&lt;TODAY(),"EXPIRED",
IF(E406&lt;=TODAY()+30,"&lt;30 DAYS",
IF(E406&lt;=TODAY()+60,"&lt;60 DAYS",IF(E406=0,"","")))))</f>
        <v/>
      </c>
      <c r="H406">
        <f>SUMIF(Purchases[Product ID],A406,Purchases[Quantity])</f>
        <v>0</v>
      </c>
      <c r="I406">
        <f>SUMIF(Sales[Product Name],Inventory[[#This Row],[Product Name]],Sales[Quantity Sold])</f>
        <v>0</v>
      </c>
      <c r="J406">
        <f t="shared" si="13"/>
        <v>0</v>
      </c>
      <c r="N406">
        <f t="shared" si="14"/>
        <v>0</v>
      </c>
    </row>
    <row r="407" spans="4:14" ht="15">
      <c r="D407" s="26"/>
      <c r="E407" s="26"/>
      <c r="F407" t="str">
        <f ca="1">IF(Inventory[[#This Row],[Product Category]]="","",IF(E407&lt;TODAY(),"EXPIRED",
IF(E407&lt;=TODAY()+30,"&lt;30 DAYS",
IF(E407&lt;=TODAY()+60,"&lt;60 DAYS",IF(E407=0,"","")))))</f>
        <v/>
      </c>
      <c r="H407">
        <f>SUMIF(Purchases[Product ID],A407,Purchases[Quantity])</f>
        <v>0</v>
      </c>
      <c r="I407">
        <f>SUMIF(Sales[Product Name],Inventory[[#This Row],[Product Name]],Sales[Quantity Sold])</f>
        <v>0</v>
      </c>
      <c r="J407">
        <f t="shared" si="13"/>
        <v>0</v>
      </c>
      <c r="N407">
        <f t="shared" si="14"/>
        <v>0</v>
      </c>
    </row>
    <row r="408" spans="4:14" ht="15">
      <c r="D408" s="26"/>
      <c r="E408" s="26"/>
      <c r="F408" t="str">
        <f ca="1">IF(Inventory[[#This Row],[Product Category]]="","",IF(E408&lt;TODAY(),"EXPIRED",
IF(E408&lt;=TODAY()+30,"&lt;30 DAYS",
IF(E408&lt;=TODAY()+60,"&lt;60 DAYS",IF(E408=0,"","")))))</f>
        <v/>
      </c>
      <c r="H408">
        <f>SUMIF(Purchases[Product ID],A408,Purchases[Quantity])</f>
        <v>0</v>
      </c>
      <c r="I408">
        <f>SUMIF(Sales[Product Name],Inventory[[#This Row],[Product Name]],Sales[Quantity Sold])</f>
        <v>0</v>
      </c>
      <c r="J408">
        <f t="shared" si="13"/>
        <v>0</v>
      </c>
      <c r="N408">
        <f t="shared" si="14"/>
        <v>0</v>
      </c>
    </row>
    <row r="409" spans="4:14" ht="15">
      <c r="D409" s="26"/>
      <c r="E409" s="26"/>
      <c r="F409" t="str">
        <f ca="1">IF(Inventory[[#This Row],[Product Category]]="","",IF(E409&lt;TODAY(),"EXPIRED",
IF(E409&lt;=TODAY()+30,"&lt;30 DAYS",
IF(E409&lt;=TODAY()+60,"&lt;60 DAYS",IF(E409=0,"","")))))</f>
        <v/>
      </c>
      <c r="H409">
        <f>SUMIF(Purchases[Product ID],A409,Purchases[Quantity])</f>
        <v>0</v>
      </c>
      <c r="I409">
        <f>SUMIF(Sales[Product Name],Inventory[[#This Row],[Product Name]],Sales[Quantity Sold])</f>
        <v>0</v>
      </c>
      <c r="J409">
        <f t="shared" si="13"/>
        <v>0</v>
      </c>
      <c r="N409">
        <f t="shared" si="14"/>
        <v>0</v>
      </c>
    </row>
    <row r="410" spans="4:14" ht="15">
      <c r="D410" s="26"/>
      <c r="E410" s="26"/>
      <c r="F410" t="str">
        <f ca="1">IF(Inventory[[#This Row],[Product Category]]="","",IF(E410&lt;TODAY(),"EXPIRED",
IF(E410&lt;=TODAY()+30,"&lt;30 DAYS",
IF(E410&lt;=TODAY()+60,"&lt;60 DAYS",IF(E410=0,"","")))))</f>
        <v/>
      </c>
      <c r="H410">
        <f>SUMIF(Purchases[Product ID],A410,Purchases[Quantity])</f>
        <v>0</v>
      </c>
      <c r="I410">
        <f>SUMIF(Sales[Product Name],Inventory[[#This Row],[Product Name]],Sales[Quantity Sold])</f>
        <v>0</v>
      </c>
      <c r="J410">
        <f t="shared" si="13"/>
        <v>0</v>
      </c>
      <c r="N410">
        <f t="shared" si="14"/>
        <v>0</v>
      </c>
    </row>
    <row r="411" spans="4:14" ht="15">
      <c r="D411" s="26"/>
      <c r="E411" s="26"/>
      <c r="F411" t="str">
        <f ca="1">IF(Inventory[[#This Row],[Product Category]]="","",IF(E411&lt;TODAY(),"EXPIRED",
IF(E411&lt;=TODAY()+30,"&lt;30 DAYS",
IF(E411&lt;=TODAY()+60,"&lt;60 DAYS",IF(E411=0,"","")))))</f>
        <v/>
      </c>
      <c r="H411">
        <f>SUMIF(Purchases[Product ID],A411,Purchases[Quantity])</f>
        <v>0</v>
      </c>
      <c r="I411">
        <f>SUMIF(Sales[Product Name],Inventory[[#This Row],[Product Name]],Sales[Quantity Sold])</f>
        <v>0</v>
      </c>
      <c r="J411">
        <f t="shared" si="13"/>
        <v>0</v>
      </c>
      <c r="N411">
        <f t="shared" si="14"/>
        <v>0</v>
      </c>
    </row>
    <row r="412" spans="4:14" ht="15">
      <c r="D412" s="26"/>
      <c r="E412" s="26"/>
      <c r="F412" t="str">
        <f ca="1">IF(Inventory[[#This Row],[Product Category]]="","",IF(E412&lt;TODAY(),"EXPIRED",
IF(E412&lt;=TODAY()+30,"&lt;30 DAYS",
IF(E412&lt;=TODAY()+60,"&lt;60 DAYS",IF(E412=0,"","")))))</f>
        <v/>
      </c>
      <c r="H412">
        <f>SUMIF(Purchases[Product ID],A412,Purchases[Quantity])</f>
        <v>0</v>
      </c>
      <c r="I412">
        <f>SUMIF(Sales[Product Name],Inventory[[#This Row],[Product Name]],Sales[Quantity Sold])</f>
        <v>0</v>
      </c>
      <c r="J412">
        <f t="shared" si="13"/>
        <v>0</v>
      </c>
      <c r="N412">
        <f t="shared" si="14"/>
        <v>0</v>
      </c>
    </row>
    <row r="413" spans="4:14" ht="15">
      <c r="D413" s="26"/>
      <c r="E413" s="26"/>
      <c r="F413" t="str">
        <f ca="1">IF(Inventory[[#This Row],[Product Category]]="","",IF(E413&lt;TODAY(),"EXPIRED",
IF(E413&lt;=TODAY()+30,"&lt;30 DAYS",
IF(E413&lt;=TODAY()+60,"&lt;60 DAYS",IF(E413=0,"","")))))</f>
        <v/>
      </c>
      <c r="H413">
        <f>SUMIF(Purchases[Product ID],A413,Purchases[Quantity])</f>
        <v>0</v>
      </c>
      <c r="I413">
        <f>SUMIF(Sales[Product Name],Inventory[[#This Row],[Product Name]],Sales[Quantity Sold])</f>
        <v>0</v>
      </c>
      <c r="J413">
        <f t="shared" si="13"/>
        <v>0</v>
      </c>
      <c r="N413">
        <f t="shared" si="14"/>
        <v>0</v>
      </c>
    </row>
    <row r="414" spans="4:14" ht="15">
      <c r="D414" s="26"/>
      <c r="E414" s="26"/>
      <c r="F414" t="str">
        <f ca="1">IF(Inventory[[#This Row],[Product Category]]="","",IF(E414&lt;TODAY(),"EXPIRED",
IF(E414&lt;=TODAY()+30,"&lt;30 DAYS",
IF(E414&lt;=TODAY()+60,"&lt;60 DAYS",IF(E414=0,"","")))))</f>
        <v/>
      </c>
      <c r="H414">
        <f>SUMIF(Purchases[Product ID],A414,Purchases[Quantity])</f>
        <v>0</v>
      </c>
      <c r="I414">
        <f>SUMIF(Sales[Product Name],Inventory[[#This Row],[Product Name]],Sales[Quantity Sold])</f>
        <v>0</v>
      </c>
      <c r="J414">
        <f t="shared" si="13"/>
        <v>0</v>
      </c>
      <c r="N414">
        <f t="shared" si="14"/>
        <v>0</v>
      </c>
    </row>
    <row r="415" spans="4:14" ht="15">
      <c r="D415" s="26"/>
      <c r="E415" s="26"/>
      <c r="F415" t="str">
        <f ca="1">IF(Inventory[[#This Row],[Product Category]]="","",IF(E415&lt;TODAY(),"EXPIRED",
IF(E415&lt;=TODAY()+30,"&lt;30 DAYS",
IF(E415&lt;=TODAY()+60,"&lt;60 DAYS",IF(E415=0,"","")))))</f>
        <v/>
      </c>
      <c r="H415">
        <f>SUMIF(Purchases[Product ID],A415,Purchases[Quantity])</f>
        <v>0</v>
      </c>
      <c r="I415">
        <f>SUMIF(Sales[Product Name],Inventory[[#This Row],[Product Name]],Sales[Quantity Sold])</f>
        <v>0</v>
      </c>
      <c r="J415">
        <f t="shared" si="13"/>
        <v>0</v>
      </c>
      <c r="N415">
        <f t="shared" si="14"/>
        <v>0</v>
      </c>
    </row>
    <row r="416" spans="4:14" ht="15">
      <c r="D416" s="26"/>
      <c r="E416" s="26"/>
      <c r="F416" t="str">
        <f ca="1">IF(Inventory[[#This Row],[Product Category]]="","",IF(E416&lt;TODAY(),"EXPIRED",
IF(E416&lt;=TODAY()+30,"&lt;30 DAYS",
IF(E416&lt;=TODAY()+60,"&lt;60 DAYS",IF(E416=0,"","")))))</f>
        <v/>
      </c>
      <c r="H416">
        <f>SUMIF(Purchases[Product ID],A416,Purchases[Quantity])</f>
        <v>0</v>
      </c>
      <c r="I416">
        <f>SUMIF(Sales[Product Name],Inventory[[#This Row],[Product Name]],Sales[Quantity Sold])</f>
        <v>0</v>
      </c>
      <c r="J416">
        <f t="shared" si="13"/>
        <v>0</v>
      </c>
      <c r="N416">
        <f t="shared" si="14"/>
        <v>0</v>
      </c>
    </row>
    <row r="417" spans="4:14" ht="15">
      <c r="D417" s="26"/>
      <c r="E417" s="26"/>
      <c r="F417" t="str">
        <f ca="1">IF(Inventory[[#This Row],[Product Category]]="","",IF(E417&lt;TODAY(),"EXPIRED",
IF(E417&lt;=TODAY()+30,"&lt;30 DAYS",
IF(E417&lt;=TODAY()+60,"&lt;60 DAYS",IF(E417=0,"","")))))</f>
        <v/>
      </c>
      <c r="H417">
        <f>SUMIF(Purchases[Product ID],A417,Purchases[Quantity])</f>
        <v>0</v>
      </c>
      <c r="I417">
        <f>SUMIF(Sales[Product Name],Inventory[[#This Row],[Product Name]],Sales[Quantity Sold])</f>
        <v>0</v>
      </c>
      <c r="J417">
        <f t="shared" si="13"/>
        <v>0</v>
      </c>
      <c r="N417">
        <f t="shared" si="14"/>
        <v>0</v>
      </c>
    </row>
    <row r="418" spans="4:14" ht="15">
      <c r="D418" s="26"/>
      <c r="E418" s="26"/>
      <c r="F418" t="str">
        <f ca="1">IF(Inventory[[#This Row],[Product Category]]="","",IF(E418&lt;TODAY(),"EXPIRED",
IF(E418&lt;=TODAY()+30,"&lt;30 DAYS",
IF(E418&lt;=TODAY()+60,"&lt;60 DAYS",IF(E418=0,"","")))))</f>
        <v/>
      </c>
      <c r="H418">
        <f>SUMIF(Purchases[Product ID],A418,Purchases[Quantity])</f>
        <v>0</v>
      </c>
      <c r="I418">
        <f>SUMIF(Sales[Product Name],Inventory[[#This Row],[Product Name]],Sales[Quantity Sold])</f>
        <v>0</v>
      </c>
      <c r="J418">
        <f t="shared" si="13"/>
        <v>0</v>
      </c>
      <c r="N418">
        <f t="shared" si="14"/>
        <v>0</v>
      </c>
    </row>
    <row r="419" spans="4:14" ht="15">
      <c r="D419" s="26"/>
      <c r="E419" s="26"/>
      <c r="F419" t="str">
        <f ca="1">IF(Inventory[[#This Row],[Product Category]]="","",IF(E419&lt;TODAY(),"EXPIRED",
IF(E419&lt;=TODAY()+30,"&lt;30 DAYS",
IF(E419&lt;=TODAY()+60,"&lt;60 DAYS",IF(E419=0,"","")))))</f>
        <v/>
      </c>
      <c r="H419">
        <f>SUMIF(Purchases[Product ID],A419,Purchases[Quantity])</f>
        <v>0</v>
      </c>
      <c r="I419">
        <f>SUMIF(Sales[Product Name],Inventory[[#This Row],[Product Name]],Sales[Quantity Sold])</f>
        <v>0</v>
      </c>
      <c r="J419">
        <f t="shared" si="13"/>
        <v>0</v>
      </c>
      <c r="N419">
        <f t="shared" si="14"/>
        <v>0</v>
      </c>
    </row>
    <row r="420" spans="4:14" ht="15">
      <c r="D420" s="26"/>
      <c r="E420" s="26"/>
      <c r="F420" t="str">
        <f ca="1">IF(Inventory[[#This Row],[Product Category]]="","",IF(E420&lt;TODAY(),"EXPIRED",
IF(E420&lt;=TODAY()+30,"&lt;30 DAYS",
IF(E420&lt;=TODAY()+60,"&lt;60 DAYS",IF(E420=0,"","")))))</f>
        <v/>
      </c>
      <c r="H420">
        <f>SUMIF(Purchases[Product ID],A420,Purchases[Quantity])</f>
        <v>0</v>
      </c>
      <c r="I420">
        <f>SUMIF(Sales[Product Name],Inventory[[#This Row],[Product Name]],Sales[Quantity Sold])</f>
        <v>0</v>
      </c>
      <c r="J420">
        <f t="shared" si="13"/>
        <v>0</v>
      </c>
      <c r="N420">
        <f t="shared" si="14"/>
        <v>0</v>
      </c>
    </row>
    <row r="421" spans="4:14" ht="15">
      <c r="D421" s="26"/>
      <c r="E421" s="26"/>
      <c r="F421" t="str">
        <f ca="1">IF(Inventory[[#This Row],[Product Category]]="","",IF(E421&lt;TODAY(),"EXPIRED",
IF(E421&lt;=TODAY()+30,"&lt;30 DAYS",
IF(E421&lt;=TODAY()+60,"&lt;60 DAYS",IF(E421=0,"","")))))</f>
        <v/>
      </c>
      <c r="H421">
        <f>SUMIF(Purchases[Product ID],A421,Purchases[Quantity])</f>
        <v>0</v>
      </c>
      <c r="I421">
        <f>SUMIF(Sales[Product Name],Inventory[[#This Row],[Product Name]],Sales[Quantity Sold])</f>
        <v>0</v>
      </c>
      <c r="J421">
        <f t="shared" si="13"/>
        <v>0</v>
      </c>
      <c r="N421">
        <f t="shared" si="14"/>
        <v>0</v>
      </c>
    </row>
    <row r="422" spans="4:14" ht="15">
      <c r="D422" s="26"/>
      <c r="E422" s="26"/>
      <c r="F422" t="str">
        <f ca="1">IF(Inventory[[#This Row],[Product Category]]="","",IF(E422&lt;TODAY(),"EXPIRED",
IF(E422&lt;=TODAY()+30,"&lt;30 DAYS",
IF(E422&lt;=TODAY()+60,"&lt;60 DAYS",IF(E422=0,"","")))))</f>
        <v/>
      </c>
      <c r="H422">
        <f>SUMIF(Purchases[Product ID],A422,Purchases[Quantity])</f>
        <v>0</v>
      </c>
      <c r="I422">
        <f>SUMIF(Sales[Product Name],Inventory[[#This Row],[Product Name]],Sales[Quantity Sold])</f>
        <v>0</v>
      </c>
      <c r="J422">
        <f t="shared" si="13"/>
        <v>0</v>
      </c>
      <c r="N422">
        <f t="shared" si="14"/>
        <v>0</v>
      </c>
    </row>
    <row r="423" spans="4:14" ht="15">
      <c r="D423" s="26"/>
      <c r="E423" s="26"/>
      <c r="F423" t="str">
        <f ca="1">IF(Inventory[[#This Row],[Product Category]]="","",IF(E423&lt;TODAY(),"EXPIRED",
IF(E423&lt;=TODAY()+30,"&lt;30 DAYS",
IF(E423&lt;=TODAY()+60,"&lt;60 DAYS",IF(E423=0,"","")))))</f>
        <v/>
      </c>
      <c r="H423">
        <f>SUMIF(Purchases[Product ID],A423,Purchases[Quantity])</f>
        <v>0</v>
      </c>
      <c r="I423">
        <f>SUMIF(Sales[Product Name],Inventory[[#This Row],[Product Name]],Sales[Quantity Sold])</f>
        <v>0</v>
      </c>
      <c r="J423">
        <f t="shared" si="13"/>
        <v>0</v>
      </c>
      <c r="N423">
        <f t="shared" si="14"/>
        <v>0</v>
      </c>
    </row>
    <row r="424" spans="4:14" ht="15">
      <c r="D424" s="26"/>
      <c r="E424" s="26"/>
      <c r="F424" t="str">
        <f ca="1">IF(Inventory[[#This Row],[Product Category]]="","",IF(E424&lt;TODAY(),"EXPIRED",
IF(E424&lt;=TODAY()+30,"&lt;30 DAYS",
IF(E424&lt;=TODAY()+60,"&lt;60 DAYS",IF(E424=0,"","")))))</f>
        <v/>
      </c>
      <c r="H424">
        <f>SUMIF(Purchases[Product ID],A424,Purchases[Quantity])</f>
        <v>0</v>
      </c>
      <c r="I424">
        <f>SUMIF(Sales[Product Name],Inventory[[#This Row],[Product Name]],Sales[Quantity Sold])</f>
        <v>0</v>
      </c>
      <c r="J424">
        <f t="shared" si="13"/>
        <v>0</v>
      </c>
      <c r="N424">
        <f t="shared" si="14"/>
        <v>0</v>
      </c>
    </row>
    <row r="425" spans="4:14" ht="15">
      <c r="D425" s="26"/>
      <c r="E425" s="26"/>
      <c r="F425" t="str">
        <f ca="1">IF(Inventory[[#This Row],[Product Category]]="","",IF(E425&lt;TODAY(),"EXPIRED",
IF(E425&lt;=TODAY()+30,"&lt;30 DAYS",
IF(E425&lt;=TODAY()+60,"&lt;60 DAYS",IF(E425=0,"","")))))</f>
        <v/>
      </c>
      <c r="H425">
        <f>SUMIF(Purchases[Product ID],A425,Purchases[Quantity])</f>
        <v>0</v>
      </c>
      <c r="I425">
        <f>SUMIF(Sales[Product Name],Inventory[[#This Row],[Product Name]],Sales[Quantity Sold])</f>
        <v>0</v>
      </c>
      <c r="J425">
        <f t="shared" si="13"/>
        <v>0</v>
      </c>
      <c r="N425">
        <f t="shared" si="14"/>
        <v>0</v>
      </c>
    </row>
    <row r="426" spans="4:14" ht="15">
      <c r="D426" s="26"/>
      <c r="E426" s="26"/>
      <c r="F426" t="str">
        <f ca="1">IF(Inventory[[#This Row],[Product Category]]="","",IF(E426&lt;TODAY(),"EXPIRED",
IF(E426&lt;=TODAY()+30,"&lt;30 DAYS",
IF(E426&lt;=TODAY()+60,"&lt;60 DAYS",IF(E426=0,"","")))))</f>
        <v/>
      </c>
      <c r="H426">
        <f>SUMIF(Purchases[Product ID],A426,Purchases[Quantity])</f>
        <v>0</v>
      </c>
      <c r="I426">
        <f>SUMIF(Sales[Product Name],Inventory[[#This Row],[Product Name]],Sales[Quantity Sold])</f>
        <v>0</v>
      </c>
      <c r="J426">
        <f t="shared" si="13"/>
        <v>0</v>
      </c>
      <c r="N426">
        <f t="shared" si="14"/>
        <v>0</v>
      </c>
    </row>
    <row r="427" spans="4:14" ht="15">
      <c r="D427" s="26"/>
      <c r="E427" s="26"/>
      <c r="F427" t="str">
        <f ca="1">IF(Inventory[[#This Row],[Product Category]]="","",IF(E427&lt;TODAY(),"EXPIRED",
IF(E427&lt;=TODAY()+30,"&lt;30 DAYS",
IF(E427&lt;=TODAY()+60,"&lt;60 DAYS",IF(E427=0,"","")))))</f>
        <v/>
      </c>
      <c r="H427">
        <f>SUMIF(Purchases[Product ID],A427,Purchases[Quantity])</f>
        <v>0</v>
      </c>
      <c r="I427">
        <f>SUMIF(Sales[Product Name],Inventory[[#This Row],[Product Name]],Sales[Quantity Sold])</f>
        <v>0</v>
      </c>
      <c r="J427">
        <f t="shared" si="13"/>
        <v>0</v>
      </c>
      <c r="N427">
        <f t="shared" si="14"/>
        <v>0</v>
      </c>
    </row>
    <row r="428" spans="4:14" ht="15">
      <c r="D428" s="26"/>
      <c r="E428" s="26"/>
      <c r="F428" t="str">
        <f ca="1">IF(Inventory[[#This Row],[Product Category]]="","",IF(E428&lt;TODAY(),"EXPIRED",
IF(E428&lt;=TODAY()+30,"&lt;30 DAYS",
IF(E428&lt;=TODAY()+60,"&lt;60 DAYS",IF(E428=0,"","")))))</f>
        <v/>
      </c>
      <c r="H428">
        <f>SUMIF(Purchases[Product ID],A428,Purchases[Quantity])</f>
        <v>0</v>
      </c>
      <c r="I428">
        <f>SUMIF(Sales[Product Name],Inventory[[#This Row],[Product Name]],Sales[Quantity Sold])</f>
        <v>0</v>
      </c>
      <c r="J428">
        <f t="shared" si="13"/>
        <v>0</v>
      </c>
      <c r="N428">
        <f t="shared" si="14"/>
        <v>0</v>
      </c>
    </row>
    <row r="429" spans="4:14" ht="15">
      <c r="D429" s="26"/>
      <c r="E429" s="26"/>
      <c r="F429" t="str">
        <f ca="1">IF(Inventory[[#This Row],[Product Category]]="","",IF(E429&lt;TODAY(),"EXPIRED",
IF(E429&lt;=TODAY()+30,"&lt;30 DAYS",
IF(E429&lt;=TODAY()+60,"&lt;60 DAYS",IF(E429=0,"","")))))</f>
        <v/>
      </c>
      <c r="H429">
        <f>SUMIF(Purchases[Product ID],A429,Purchases[Quantity])</f>
        <v>0</v>
      </c>
      <c r="I429">
        <f>SUMIF(Sales[Product Name],Inventory[[#This Row],[Product Name]],Sales[Quantity Sold])</f>
        <v>0</v>
      </c>
      <c r="J429">
        <f t="shared" si="13"/>
        <v>0</v>
      </c>
      <c r="N429">
        <f t="shared" si="14"/>
        <v>0</v>
      </c>
    </row>
    <row r="430" spans="4:14" ht="15">
      <c r="D430" s="26"/>
      <c r="E430" s="26"/>
      <c r="F430" t="str">
        <f ca="1">IF(Inventory[[#This Row],[Product Category]]="","",IF(E430&lt;TODAY(),"EXPIRED",
IF(E430&lt;=TODAY()+30,"&lt;30 DAYS",
IF(E430&lt;=TODAY()+60,"&lt;60 DAYS",IF(E430=0,"","")))))</f>
        <v/>
      </c>
      <c r="H430">
        <f>SUMIF(Purchases[Product ID],A430,Purchases[Quantity])</f>
        <v>0</v>
      </c>
      <c r="I430">
        <f>SUMIF(Sales[Product Name],Inventory[[#This Row],[Product Name]],Sales[Quantity Sold])</f>
        <v>0</v>
      </c>
      <c r="J430">
        <f t="shared" si="13"/>
        <v>0</v>
      </c>
      <c r="N430">
        <f t="shared" si="14"/>
        <v>0</v>
      </c>
    </row>
    <row r="431" spans="4:14" ht="15">
      <c r="D431" s="26"/>
      <c r="E431" s="26"/>
      <c r="F431" t="str">
        <f ca="1">IF(Inventory[[#This Row],[Product Category]]="","",IF(E431&lt;TODAY(),"EXPIRED",
IF(E431&lt;=TODAY()+30,"&lt;30 DAYS",
IF(E431&lt;=TODAY()+60,"&lt;60 DAYS",IF(E431=0,"","")))))</f>
        <v/>
      </c>
      <c r="H431">
        <f>SUMIF(Purchases[Product ID],A431,Purchases[Quantity])</f>
        <v>0</v>
      </c>
      <c r="I431">
        <f>SUMIF(Sales[Product Name],Inventory[[#This Row],[Product Name]],Sales[Quantity Sold])</f>
        <v>0</v>
      </c>
      <c r="J431">
        <f t="shared" si="13"/>
        <v>0</v>
      </c>
      <c r="N431">
        <f t="shared" si="14"/>
        <v>0</v>
      </c>
    </row>
    <row r="432" spans="4:14" ht="15">
      <c r="D432" s="26"/>
      <c r="E432" s="26"/>
      <c r="F432" t="str">
        <f ca="1">IF(Inventory[[#This Row],[Product Category]]="","",IF(E432&lt;TODAY(),"EXPIRED",
IF(E432&lt;=TODAY()+30,"&lt;30 DAYS",
IF(E432&lt;=TODAY()+60,"&lt;60 DAYS",IF(E432=0,"","")))))</f>
        <v/>
      </c>
      <c r="H432">
        <f>SUMIF(Purchases[Product ID],A432,Purchases[Quantity])</f>
        <v>0</v>
      </c>
      <c r="I432">
        <f>SUMIF(Sales[Product Name],Inventory[[#This Row],[Product Name]],Sales[Quantity Sold])</f>
        <v>0</v>
      </c>
      <c r="J432">
        <f t="shared" si="13"/>
        <v>0</v>
      </c>
      <c r="N432">
        <f t="shared" si="14"/>
        <v>0</v>
      </c>
    </row>
    <row r="433" spans="4:14" ht="15">
      <c r="D433" s="26"/>
      <c r="E433" s="26"/>
      <c r="F433" t="str">
        <f ca="1">IF(Inventory[[#This Row],[Product Category]]="","",IF(E433&lt;TODAY(),"EXPIRED",
IF(E433&lt;=TODAY()+30,"&lt;30 DAYS",
IF(E433&lt;=TODAY()+60,"&lt;60 DAYS",IF(E433=0,"","")))))</f>
        <v/>
      </c>
      <c r="H433">
        <f>SUMIF(Purchases[Product ID],A433,Purchases[Quantity])</f>
        <v>0</v>
      </c>
      <c r="I433">
        <f>SUMIF(Sales[Product Name],Inventory[[#This Row],[Product Name]],Sales[Quantity Sold])</f>
        <v>0</v>
      </c>
      <c r="J433">
        <f t="shared" si="13"/>
        <v>0</v>
      </c>
      <c r="N433">
        <f t="shared" si="14"/>
        <v>0</v>
      </c>
    </row>
    <row r="434" spans="4:14" ht="15">
      <c r="D434" s="26"/>
      <c r="E434" s="26"/>
      <c r="F434" t="str">
        <f ca="1">IF(Inventory[[#This Row],[Product Category]]="","",IF(E434&lt;TODAY(),"EXPIRED",
IF(E434&lt;=TODAY()+30,"&lt;30 DAYS",
IF(E434&lt;=TODAY()+60,"&lt;60 DAYS",IF(E434=0,"","")))))</f>
        <v/>
      </c>
      <c r="H434">
        <f>SUMIF(Purchases[Product ID],A434,Purchases[Quantity])</f>
        <v>0</v>
      </c>
      <c r="I434">
        <f>SUMIF(Sales[Product Name],Inventory[[#This Row],[Product Name]],Sales[Quantity Sold])</f>
        <v>0</v>
      </c>
      <c r="J434">
        <f t="shared" si="13"/>
        <v>0</v>
      </c>
      <c r="N434">
        <f t="shared" si="14"/>
        <v>0</v>
      </c>
    </row>
    <row r="435" spans="4:14" ht="15">
      <c r="D435" s="26"/>
      <c r="E435" s="26"/>
      <c r="F435" t="str">
        <f ca="1">IF(Inventory[[#This Row],[Product Category]]="","",IF(E435&lt;TODAY(),"EXPIRED",
IF(E435&lt;=TODAY()+30,"&lt;30 DAYS",
IF(E435&lt;=TODAY()+60,"&lt;60 DAYS",IF(E435=0,"","")))))</f>
        <v/>
      </c>
      <c r="H435">
        <f>SUMIF(Purchases[Product ID],A435,Purchases[Quantity])</f>
        <v>0</v>
      </c>
      <c r="I435">
        <f>SUMIF(Sales[Product Name],Inventory[[#This Row],[Product Name]],Sales[Quantity Sold])</f>
        <v>0</v>
      </c>
      <c r="J435">
        <f t="shared" si="13"/>
        <v>0</v>
      </c>
      <c r="N435">
        <f t="shared" si="14"/>
        <v>0</v>
      </c>
    </row>
    <row r="436" spans="4:14" ht="15">
      <c r="D436" s="26"/>
      <c r="E436" s="26"/>
      <c r="F436" t="str">
        <f ca="1">IF(Inventory[[#This Row],[Product Category]]="","",IF(E436&lt;TODAY(),"EXPIRED",
IF(E436&lt;=TODAY()+30,"&lt;30 DAYS",
IF(E436&lt;=TODAY()+60,"&lt;60 DAYS",IF(E436=0,"","")))))</f>
        <v/>
      </c>
      <c r="H436">
        <f>SUMIF(Purchases[Product ID],A436,Purchases[Quantity])</f>
        <v>0</v>
      </c>
      <c r="I436">
        <f>SUMIF(Sales[Product Name],Inventory[[#This Row],[Product Name]],Sales[Quantity Sold])</f>
        <v>0</v>
      </c>
      <c r="J436">
        <f t="shared" si="13"/>
        <v>0</v>
      </c>
      <c r="N436">
        <f t="shared" si="14"/>
        <v>0</v>
      </c>
    </row>
    <row r="437" spans="4:14" ht="15">
      <c r="D437" s="26"/>
      <c r="E437" s="26"/>
      <c r="F437" t="str">
        <f ca="1">IF(Inventory[[#This Row],[Product Category]]="","",IF(E437&lt;TODAY(),"EXPIRED",
IF(E437&lt;=TODAY()+30,"&lt;30 DAYS",
IF(E437&lt;=TODAY()+60,"&lt;60 DAYS",IF(E437=0,"","")))))</f>
        <v/>
      </c>
      <c r="H437">
        <f>SUMIF(Purchases[Product ID],A437,Purchases[Quantity])</f>
        <v>0</v>
      </c>
      <c r="I437">
        <f>SUMIF(Sales[Product Name],Inventory[[#This Row],[Product Name]],Sales[Quantity Sold])</f>
        <v>0</v>
      </c>
      <c r="J437">
        <f t="shared" si="13"/>
        <v>0</v>
      </c>
      <c r="N437">
        <f t="shared" si="14"/>
        <v>0</v>
      </c>
    </row>
    <row r="438" spans="4:14" ht="15">
      <c r="D438" s="26"/>
      <c r="E438" s="26"/>
      <c r="F438" t="str">
        <f ca="1">IF(Inventory[[#This Row],[Product Category]]="","",IF(E438&lt;TODAY(),"EXPIRED",
IF(E438&lt;=TODAY()+30,"&lt;30 DAYS",
IF(E438&lt;=TODAY()+60,"&lt;60 DAYS",IF(E438=0,"","")))))</f>
        <v/>
      </c>
      <c r="H438">
        <f>SUMIF(Purchases[Product ID],A438,Purchases[Quantity])</f>
        <v>0</v>
      </c>
      <c r="I438">
        <f>SUMIF(Sales[Product Name],Inventory[[#This Row],[Product Name]],Sales[Quantity Sold])</f>
        <v>0</v>
      </c>
      <c r="J438">
        <f t="shared" si="13"/>
        <v>0</v>
      </c>
      <c r="N438">
        <f t="shared" si="14"/>
        <v>0</v>
      </c>
    </row>
    <row r="439" spans="4:14" ht="15">
      <c r="D439" s="26"/>
      <c r="E439" s="26"/>
      <c r="F439" t="str">
        <f ca="1">IF(Inventory[[#This Row],[Product Category]]="","",IF(E439&lt;TODAY(),"EXPIRED",
IF(E439&lt;=TODAY()+30,"&lt;30 DAYS",
IF(E439&lt;=TODAY()+60,"&lt;60 DAYS",IF(E439=0,"","")))))</f>
        <v/>
      </c>
      <c r="H439">
        <f>SUMIF(Purchases[Product ID],A439,Purchases[Quantity])</f>
        <v>0</v>
      </c>
      <c r="I439">
        <f>SUMIF(Sales[Product Name],Inventory[[#This Row],[Product Name]],Sales[Quantity Sold])</f>
        <v>0</v>
      </c>
      <c r="J439">
        <f t="shared" si="13"/>
        <v>0</v>
      </c>
      <c r="N439">
        <f t="shared" si="14"/>
        <v>0</v>
      </c>
    </row>
    <row r="440" spans="4:14" ht="15">
      <c r="D440" s="26"/>
      <c r="E440" s="26"/>
      <c r="F440" t="str">
        <f ca="1">IF(Inventory[[#This Row],[Product Category]]="","",IF(E440&lt;TODAY(),"EXPIRED",
IF(E440&lt;=TODAY()+30,"&lt;30 DAYS",
IF(E440&lt;=TODAY()+60,"&lt;60 DAYS",IF(E440=0,"","")))))</f>
        <v/>
      </c>
      <c r="H440">
        <f>SUMIF(Purchases[Product ID],A440,Purchases[Quantity])</f>
        <v>0</v>
      </c>
      <c r="I440">
        <f>SUMIF(Sales[Product Name],Inventory[[#This Row],[Product Name]],Sales[Quantity Sold])</f>
        <v>0</v>
      </c>
      <c r="J440">
        <f t="shared" si="13"/>
        <v>0</v>
      </c>
      <c r="N440">
        <f t="shared" si="14"/>
        <v>0</v>
      </c>
    </row>
    <row r="441" spans="4:14" ht="15">
      <c r="D441" s="26"/>
      <c r="E441" s="26"/>
      <c r="F441" t="str">
        <f ca="1">IF(Inventory[[#This Row],[Product Category]]="","",IF(E441&lt;TODAY(),"EXPIRED",
IF(E441&lt;=TODAY()+30,"&lt;30 DAYS",
IF(E441&lt;=TODAY()+60,"&lt;60 DAYS",IF(E441=0,"","")))))</f>
        <v/>
      </c>
      <c r="H441">
        <f>SUMIF(Purchases[Product ID],A441,Purchases[Quantity])</f>
        <v>0</v>
      </c>
      <c r="I441">
        <f>SUMIF(Sales[Product Name],Inventory[[#This Row],[Product Name]],Sales[Quantity Sold])</f>
        <v>0</v>
      </c>
      <c r="J441">
        <f t="shared" si="13"/>
        <v>0</v>
      </c>
      <c r="N441">
        <f t="shared" si="14"/>
        <v>0</v>
      </c>
    </row>
    <row r="442" spans="4:14" ht="15">
      <c r="D442" s="26"/>
      <c r="E442" s="26"/>
      <c r="F442" t="str">
        <f ca="1">IF(Inventory[[#This Row],[Product Category]]="","",IF(E442&lt;TODAY(),"EXPIRED",
IF(E442&lt;=TODAY()+30,"&lt;30 DAYS",
IF(E442&lt;=TODAY()+60,"&lt;60 DAYS",IF(E442=0,"","")))))</f>
        <v/>
      </c>
      <c r="H442">
        <f>SUMIF(Purchases[Product ID],A442,Purchases[Quantity])</f>
        <v>0</v>
      </c>
      <c r="I442">
        <f>SUMIF(Sales[Product Name],Inventory[[#This Row],[Product Name]],Sales[Quantity Sold])</f>
        <v>0</v>
      </c>
      <c r="J442">
        <f t="shared" si="13"/>
        <v>0</v>
      </c>
      <c r="N442">
        <f t="shared" si="14"/>
        <v>0</v>
      </c>
    </row>
    <row r="443" spans="4:14" ht="15">
      <c r="D443" s="26"/>
      <c r="E443" s="26"/>
      <c r="F443" t="str">
        <f ca="1">IF(Inventory[[#This Row],[Product Category]]="","",IF(E443&lt;TODAY(),"EXPIRED",
IF(E443&lt;=TODAY()+30,"&lt;30 DAYS",
IF(E443&lt;=TODAY()+60,"&lt;60 DAYS",IF(E443=0,"","")))))</f>
        <v/>
      </c>
      <c r="H443">
        <f>SUMIF(Purchases[Product ID],A443,Purchases[Quantity])</f>
        <v>0</v>
      </c>
      <c r="I443">
        <f>SUMIF(Sales[Product Name],Inventory[[#This Row],[Product Name]],Sales[Quantity Sold])</f>
        <v>0</v>
      </c>
      <c r="J443">
        <f t="shared" si="13"/>
        <v>0</v>
      </c>
      <c r="N443">
        <f t="shared" si="14"/>
        <v>0</v>
      </c>
    </row>
    <row r="444" spans="4:14" ht="15">
      <c r="D444" s="26"/>
      <c r="E444" s="26"/>
      <c r="F444" t="str">
        <f ca="1">IF(Inventory[[#This Row],[Product Category]]="","",IF(E444&lt;TODAY(),"EXPIRED",
IF(E444&lt;=TODAY()+30,"&lt;30 DAYS",
IF(E444&lt;=TODAY()+60,"&lt;60 DAYS",IF(E444=0,"","")))))</f>
        <v/>
      </c>
      <c r="H444">
        <f>SUMIF(Purchases[Product ID],A444,Purchases[Quantity])</f>
        <v>0</v>
      </c>
      <c r="I444">
        <f>SUMIF(Sales[Product Name],Inventory[[#This Row],[Product Name]],Sales[Quantity Sold])</f>
        <v>0</v>
      </c>
      <c r="J444">
        <f t="shared" si="13"/>
        <v>0</v>
      </c>
      <c r="N444">
        <f t="shared" si="14"/>
        <v>0</v>
      </c>
    </row>
    <row r="445" spans="4:14" ht="15">
      <c r="D445" s="26"/>
      <c r="E445" s="26"/>
      <c r="F445" t="str">
        <f ca="1">IF(Inventory[[#This Row],[Product Category]]="","",IF(E445&lt;TODAY(),"EXPIRED",
IF(E445&lt;=TODAY()+30,"&lt;30 DAYS",
IF(E445&lt;=TODAY()+60,"&lt;60 DAYS",IF(E445=0,"","")))))</f>
        <v/>
      </c>
      <c r="H445">
        <f>SUMIF(Purchases[Product ID],A445,Purchases[Quantity])</f>
        <v>0</v>
      </c>
      <c r="I445">
        <f>SUMIF(Sales[Product Name],Inventory[[#This Row],[Product Name]],Sales[Quantity Sold])</f>
        <v>0</v>
      </c>
      <c r="J445">
        <f t="shared" si="13"/>
        <v>0</v>
      </c>
      <c r="N445">
        <f t="shared" si="14"/>
        <v>0</v>
      </c>
    </row>
    <row r="446" spans="4:14" ht="15">
      <c r="D446" s="26"/>
      <c r="E446" s="26"/>
      <c r="F446" t="str">
        <f ca="1">IF(Inventory[[#This Row],[Product Category]]="","",IF(E446&lt;TODAY(),"EXPIRED",
IF(E446&lt;=TODAY()+30,"&lt;30 DAYS",
IF(E446&lt;=TODAY()+60,"&lt;60 DAYS",IF(E446=0,"","")))))</f>
        <v/>
      </c>
      <c r="H446">
        <f>SUMIF(Purchases[Product ID],A446,Purchases[Quantity])</f>
        <v>0</v>
      </c>
      <c r="I446">
        <f>SUMIF(Sales[Product Name],Inventory[[#This Row],[Product Name]],Sales[Quantity Sold])</f>
        <v>0</v>
      </c>
      <c r="J446">
        <f t="shared" si="13"/>
        <v>0</v>
      </c>
      <c r="N446">
        <f t="shared" si="14"/>
        <v>0</v>
      </c>
    </row>
    <row r="447" spans="4:14" ht="15">
      <c r="D447" s="26"/>
      <c r="E447" s="26"/>
      <c r="F447" t="str">
        <f ca="1">IF(Inventory[[#This Row],[Product Category]]="","",IF(E447&lt;TODAY(),"EXPIRED",
IF(E447&lt;=TODAY()+30,"&lt;30 DAYS",
IF(E447&lt;=TODAY()+60,"&lt;60 DAYS",IF(E447=0,"","")))))</f>
        <v/>
      </c>
      <c r="H447">
        <f>SUMIF(Purchases[Product ID],A447,Purchases[Quantity])</f>
        <v>0</v>
      </c>
      <c r="I447">
        <f>SUMIF(Sales[Product Name],Inventory[[#This Row],[Product Name]],Sales[Quantity Sold])</f>
        <v>0</v>
      </c>
      <c r="J447">
        <f t="shared" si="13"/>
        <v>0</v>
      </c>
      <c r="N447">
        <f t="shared" si="14"/>
        <v>0</v>
      </c>
    </row>
    <row r="448" spans="4:14" ht="15">
      <c r="D448" s="26"/>
      <c r="E448" s="26"/>
      <c r="F448" t="str">
        <f ca="1">IF(Inventory[[#This Row],[Product Category]]="","",IF(E448&lt;TODAY(),"EXPIRED",
IF(E448&lt;=TODAY()+30,"&lt;30 DAYS",
IF(E448&lt;=TODAY()+60,"&lt;60 DAYS",IF(E448=0,"","")))))</f>
        <v/>
      </c>
      <c r="H448">
        <f>SUMIF(Purchases[Product ID],A448,Purchases[Quantity])</f>
        <v>0</v>
      </c>
      <c r="I448">
        <f>SUMIF(Sales[Product Name],Inventory[[#This Row],[Product Name]],Sales[Quantity Sold])</f>
        <v>0</v>
      </c>
      <c r="J448">
        <f t="shared" si="13"/>
        <v>0</v>
      </c>
      <c r="N448">
        <f t="shared" si="14"/>
        <v>0</v>
      </c>
    </row>
    <row r="449" spans="4:14" ht="15">
      <c r="D449" s="26"/>
      <c r="E449" s="26"/>
      <c r="F449" t="str">
        <f ca="1">IF(Inventory[[#This Row],[Product Category]]="","",IF(E449&lt;TODAY(),"EXPIRED",
IF(E449&lt;=TODAY()+30,"&lt;30 DAYS",
IF(E449&lt;=TODAY()+60,"&lt;60 DAYS",IF(E449=0,"","")))))</f>
        <v/>
      </c>
      <c r="H449">
        <f>SUMIF(Purchases[Product ID],A449,Purchases[Quantity])</f>
        <v>0</v>
      </c>
      <c r="I449">
        <f>SUMIF(Sales[Product Name],Inventory[[#This Row],[Product Name]],Sales[Quantity Sold])</f>
        <v>0</v>
      </c>
      <c r="J449">
        <f t="shared" si="13"/>
        <v>0</v>
      </c>
      <c r="N449">
        <f t="shared" si="14"/>
        <v>0</v>
      </c>
    </row>
    <row r="450" spans="4:14" ht="15">
      <c r="D450" s="26"/>
      <c r="E450" s="26"/>
      <c r="F450" t="str">
        <f ca="1">IF(Inventory[[#This Row],[Product Category]]="","",IF(E450&lt;TODAY(),"EXPIRED",
IF(E450&lt;=TODAY()+30,"&lt;30 DAYS",
IF(E450&lt;=TODAY()+60,"&lt;60 DAYS",IF(E450=0,"","")))))</f>
        <v/>
      </c>
      <c r="H450">
        <f>SUMIF(Purchases[Product ID],A450,Purchases[Quantity])</f>
        <v>0</v>
      </c>
      <c r="I450">
        <f>SUMIF(Sales[Product Name],Inventory[[#This Row],[Product Name]],Sales[Quantity Sold])</f>
        <v>0</v>
      </c>
      <c r="J450">
        <f t="shared" si="13"/>
        <v>0</v>
      </c>
      <c r="N450">
        <f t="shared" si="14"/>
        <v>0</v>
      </c>
    </row>
    <row r="451" spans="4:14" ht="15">
      <c r="D451" s="26"/>
      <c r="E451" s="26"/>
      <c r="F451" t="str">
        <f ca="1">IF(Inventory[[#This Row],[Product Category]]="","",IF(E451&lt;TODAY(),"EXPIRED",
IF(E451&lt;=TODAY()+30,"&lt;30 DAYS",
IF(E451&lt;=TODAY()+60,"&lt;60 DAYS",IF(E451=0,"","")))))</f>
        <v/>
      </c>
      <c r="H451">
        <f>SUMIF(Purchases[Product ID],A451,Purchases[Quantity])</f>
        <v>0</v>
      </c>
      <c r="I451">
        <f>SUMIF(Sales[Product Name],Inventory[[#This Row],[Product Name]],Sales[Quantity Sold])</f>
        <v>0</v>
      </c>
      <c r="J451">
        <f t="shared" si="13"/>
        <v>0</v>
      </c>
      <c r="N451">
        <f t="shared" si="14"/>
        <v>0</v>
      </c>
    </row>
    <row r="452" spans="4:14" ht="15">
      <c r="D452" s="26"/>
      <c r="E452" s="26"/>
      <c r="F452" t="str">
        <f ca="1">IF(Inventory[[#This Row],[Product Category]]="","",IF(E452&lt;TODAY(),"EXPIRED",
IF(E452&lt;=TODAY()+30,"&lt;30 DAYS",
IF(E452&lt;=TODAY()+60,"&lt;60 DAYS",IF(E452=0,"","")))))</f>
        <v/>
      </c>
      <c r="H452">
        <f>SUMIF(Purchases[Product ID],A452,Purchases[Quantity])</f>
        <v>0</v>
      </c>
      <c r="I452">
        <f>SUMIF(Sales[Product Name],Inventory[[#This Row],[Product Name]],Sales[Quantity Sold])</f>
        <v>0</v>
      </c>
      <c r="J452">
        <f t="shared" si="13"/>
        <v>0</v>
      </c>
      <c r="N452">
        <f t="shared" si="14"/>
        <v>0</v>
      </c>
    </row>
    <row r="453" spans="4:14" ht="15">
      <c r="D453" s="26"/>
      <c r="E453" s="26"/>
      <c r="F453" t="str">
        <f ca="1">IF(Inventory[[#This Row],[Product Category]]="","",IF(E453&lt;TODAY(),"EXPIRED",
IF(E453&lt;=TODAY()+30,"&lt;30 DAYS",
IF(E453&lt;=TODAY()+60,"&lt;60 DAYS",IF(E453=0,"","")))))</f>
        <v/>
      </c>
      <c r="H453">
        <f>SUMIF(Purchases[Product ID],A453,Purchases[Quantity])</f>
        <v>0</v>
      </c>
      <c r="I453">
        <f>SUMIF(Sales[Product Name],Inventory[[#This Row],[Product Name]],Sales[Quantity Sold])</f>
        <v>0</v>
      </c>
      <c r="J453">
        <f t="shared" si="13"/>
        <v>0</v>
      </c>
      <c r="N453">
        <f t="shared" si="14"/>
        <v>0</v>
      </c>
    </row>
    <row r="454" spans="4:14" ht="15">
      <c r="D454" s="26"/>
      <c r="E454" s="26"/>
      <c r="F454" t="str">
        <f ca="1">IF(Inventory[[#This Row],[Product Category]]="","",IF(E454&lt;TODAY(),"EXPIRED",
IF(E454&lt;=TODAY()+30,"&lt;30 DAYS",
IF(E454&lt;=TODAY()+60,"&lt;60 DAYS",IF(E454=0,"","")))))</f>
        <v/>
      </c>
      <c r="H454">
        <f>SUMIF(Purchases[Product ID],A454,Purchases[Quantity])</f>
        <v>0</v>
      </c>
      <c r="I454">
        <f>SUMIF(Sales[Product Name],Inventory[[#This Row],[Product Name]],Sales[Quantity Sold])</f>
        <v>0</v>
      </c>
      <c r="J454">
        <f t="shared" si="13"/>
        <v>0</v>
      </c>
      <c r="N454">
        <f t="shared" si="14"/>
        <v>0</v>
      </c>
    </row>
    <row r="455" spans="4:14" ht="15">
      <c r="D455" s="26"/>
      <c r="E455" s="26"/>
      <c r="F455" t="str">
        <f ca="1">IF(Inventory[[#This Row],[Product Category]]="","",IF(E455&lt;TODAY(),"EXPIRED",
IF(E455&lt;=TODAY()+30,"&lt;30 DAYS",
IF(E455&lt;=TODAY()+60,"&lt;60 DAYS",IF(E455=0,"","")))))</f>
        <v/>
      </c>
      <c r="H455">
        <f>SUMIF(Purchases[Product ID],A455,Purchases[Quantity])</f>
        <v>0</v>
      </c>
      <c r="I455">
        <f>SUMIF(Sales[Product Name],Inventory[[#This Row],[Product Name]],Sales[Quantity Sold])</f>
        <v>0</v>
      </c>
      <c r="J455">
        <f t="shared" si="13"/>
        <v>0</v>
      </c>
      <c r="N455">
        <f t="shared" si="14"/>
        <v>0</v>
      </c>
    </row>
    <row r="456" spans="4:14" ht="15">
      <c r="D456" s="26"/>
      <c r="E456" s="26"/>
      <c r="F456" t="str">
        <f ca="1">IF(Inventory[[#This Row],[Product Category]]="","",IF(E456&lt;TODAY(),"EXPIRED",
IF(E456&lt;=TODAY()+30,"&lt;30 DAYS",
IF(E456&lt;=TODAY()+60,"&lt;60 DAYS",IF(E456=0,"","")))))</f>
        <v/>
      </c>
      <c r="H456">
        <f>SUMIF(Purchases[Product ID],A456,Purchases[Quantity])</f>
        <v>0</v>
      </c>
      <c r="I456">
        <f>SUMIF(Sales[Product Name],Inventory[[#This Row],[Product Name]],Sales[Quantity Sold])</f>
        <v>0</v>
      </c>
      <c r="J456">
        <f t="shared" ref="J456:J519" si="15">G456+H456-I456</f>
        <v>0</v>
      </c>
      <c r="N456">
        <f t="shared" ref="N456:N519" si="16">J456*L456</f>
        <v>0</v>
      </c>
    </row>
    <row r="457" spans="4:14" ht="15">
      <c r="D457" s="26"/>
      <c r="E457" s="26"/>
      <c r="F457" t="str">
        <f ca="1">IF(Inventory[[#This Row],[Product Category]]="","",IF(E457&lt;TODAY(),"EXPIRED",
IF(E457&lt;=TODAY()+30,"&lt;30 DAYS",
IF(E457&lt;=TODAY()+60,"&lt;60 DAYS",IF(E457=0,"","")))))</f>
        <v/>
      </c>
      <c r="H457">
        <f>SUMIF(Purchases[Product ID],A457,Purchases[Quantity])</f>
        <v>0</v>
      </c>
      <c r="I457">
        <f>SUMIF(Sales[Product Name],Inventory[[#This Row],[Product Name]],Sales[Quantity Sold])</f>
        <v>0</v>
      </c>
      <c r="J457">
        <f t="shared" si="15"/>
        <v>0</v>
      </c>
      <c r="N457">
        <f t="shared" si="16"/>
        <v>0</v>
      </c>
    </row>
    <row r="458" spans="4:14" ht="15">
      <c r="D458" s="26"/>
      <c r="E458" s="26"/>
      <c r="F458" t="str">
        <f ca="1">IF(Inventory[[#This Row],[Product Category]]="","",IF(E458&lt;TODAY(),"EXPIRED",
IF(E458&lt;=TODAY()+30,"&lt;30 DAYS",
IF(E458&lt;=TODAY()+60,"&lt;60 DAYS",IF(E458=0,"","")))))</f>
        <v/>
      </c>
      <c r="H458">
        <f>SUMIF(Purchases[Product ID],A458,Purchases[Quantity])</f>
        <v>0</v>
      </c>
      <c r="I458">
        <f>SUMIF(Sales[Product Name],Inventory[[#This Row],[Product Name]],Sales[Quantity Sold])</f>
        <v>0</v>
      </c>
      <c r="J458">
        <f t="shared" si="15"/>
        <v>0</v>
      </c>
      <c r="N458">
        <f t="shared" si="16"/>
        <v>0</v>
      </c>
    </row>
    <row r="459" spans="4:14" ht="15">
      <c r="D459" s="26"/>
      <c r="E459" s="26"/>
      <c r="F459" t="str">
        <f ca="1">IF(Inventory[[#This Row],[Product Category]]="","",IF(E459&lt;TODAY(),"EXPIRED",
IF(E459&lt;=TODAY()+30,"&lt;30 DAYS",
IF(E459&lt;=TODAY()+60,"&lt;60 DAYS",IF(E459=0,"","")))))</f>
        <v/>
      </c>
      <c r="H459">
        <f>SUMIF(Purchases[Product ID],A459,Purchases[Quantity])</f>
        <v>0</v>
      </c>
      <c r="I459">
        <f>SUMIF(Sales[Product Name],Inventory[[#This Row],[Product Name]],Sales[Quantity Sold])</f>
        <v>0</v>
      </c>
      <c r="J459">
        <f t="shared" si="15"/>
        <v>0</v>
      </c>
      <c r="N459">
        <f t="shared" si="16"/>
        <v>0</v>
      </c>
    </row>
    <row r="460" spans="4:14" ht="15">
      <c r="D460" s="26"/>
      <c r="E460" s="26"/>
      <c r="F460" t="str">
        <f ca="1">IF(Inventory[[#This Row],[Product Category]]="","",IF(E460&lt;TODAY(),"EXPIRED",
IF(E460&lt;=TODAY()+30,"&lt;30 DAYS",
IF(E460&lt;=TODAY()+60,"&lt;60 DAYS",IF(E460=0,"","")))))</f>
        <v/>
      </c>
      <c r="H460">
        <f>SUMIF(Purchases[Product ID],A460,Purchases[Quantity])</f>
        <v>0</v>
      </c>
      <c r="I460">
        <f>SUMIF(Sales[Product Name],Inventory[[#This Row],[Product Name]],Sales[Quantity Sold])</f>
        <v>0</v>
      </c>
      <c r="J460">
        <f t="shared" si="15"/>
        <v>0</v>
      </c>
      <c r="N460">
        <f t="shared" si="16"/>
        <v>0</v>
      </c>
    </row>
    <row r="461" spans="4:14" ht="15">
      <c r="D461" s="26"/>
      <c r="E461" s="26"/>
      <c r="F461" t="str">
        <f ca="1">IF(Inventory[[#This Row],[Product Category]]="","",IF(E461&lt;TODAY(),"EXPIRED",
IF(E461&lt;=TODAY()+30,"&lt;30 DAYS",
IF(E461&lt;=TODAY()+60,"&lt;60 DAYS",IF(E461=0,"","")))))</f>
        <v/>
      </c>
      <c r="H461">
        <f>SUMIF(Purchases[Product ID],A461,Purchases[Quantity])</f>
        <v>0</v>
      </c>
      <c r="I461">
        <f>SUMIF(Sales[Product Name],Inventory[[#This Row],[Product Name]],Sales[Quantity Sold])</f>
        <v>0</v>
      </c>
      <c r="J461">
        <f t="shared" si="15"/>
        <v>0</v>
      </c>
      <c r="N461">
        <f t="shared" si="16"/>
        <v>0</v>
      </c>
    </row>
    <row r="462" spans="4:14" ht="15">
      <c r="D462" s="26"/>
      <c r="E462" s="26"/>
      <c r="F462" t="str">
        <f ca="1">IF(Inventory[[#This Row],[Product Category]]="","",IF(E462&lt;TODAY(),"EXPIRED",
IF(E462&lt;=TODAY()+30,"&lt;30 DAYS",
IF(E462&lt;=TODAY()+60,"&lt;60 DAYS",IF(E462=0,"","")))))</f>
        <v/>
      </c>
      <c r="H462">
        <f>SUMIF(Purchases[Product ID],A462,Purchases[Quantity])</f>
        <v>0</v>
      </c>
      <c r="I462">
        <f>SUMIF(Sales[Product Name],Inventory[[#This Row],[Product Name]],Sales[Quantity Sold])</f>
        <v>0</v>
      </c>
      <c r="J462">
        <f t="shared" si="15"/>
        <v>0</v>
      </c>
      <c r="N462">
        <f t="shared" si="16"/>
        <v>0</v>
      </c>
    </row>
    <row r="463" spans="4:14" ht="15">
      <c r="D463" s="26"/>
      <c r="E463" s="26"/>
      <c r="F463" t="str">
        <f ca="1">IF(Inventory[[#This Row],[Product Category]]="","",IF(E463&lt;TODAY(),"EXPIRED",
IF(E463&lt;=TODAY()+30,"&lt;30 DAYS",
IF(E463&lt;=TODAY()+60,"&lt;60 DAYS",IF(E463=0,"","")))))</f>
        <v/>
      </c>
      <c r="H463">
        <f>SUMIF(Purchases[Product ID],A463,Purchases[Quantity])</f>
        <v>0</v>
      </c>
      <c r="I463">
        <f>SUMIF(Sales[Product Name],Inventory[[#This Row],[Product Name]],Sales[Quantity Sold])</f>
        <v>0</v>
      </c>
      <c r="J463">
        <f t="shared" si="15"/>
        <v>0</v>
      </c>
      <c r="N463">
        <f t="shared" si="16"/>
        <v>0</v>
      </c>
    </row>
    <row r="464" spans="4:14" ht="15">
      <c r="D464" s="26"/>
      <c r="E464" s="26"/>
      <c r="F464" t="str">
        <f ca="1">IF(Inventory[[#This Row],[Product Category]]="","",IF(E464&lt;TODAY(),"EXPIRED",
IF(E464&lt;=TODAY()+30,"&lt;30 DAYS",
IF(E464&lt;=TODAY()+60,"&lt;60 DAYS",IF(E464=0,"","")))))</f>
        <v/>
      </c>
      <c r="H464">
        <f>SUMIF(Purchases[Product ID],A464,Purchases[Quantity])</f>
        <v>0</v>
      </c>
      <c r="I464">
        <f>SUMIF(Sales[Product Name],Inventory[[#This Row],[Product Name]],Sales[Quantity Sold])</f>
        <v>0</v>
      </c>
      <c r="J464">
        <f t="shared" si="15"/>
        <v>0</v>
      </c>
      <c r="N464">
        <f t="shared" si="16"/>
        <v>0</v>
      </c>
    </row>
    <row r="465" spans="4:14" ht="15">
      <c r="D465" s="26"/>
      <c r="E465" s="26"/>
      <c r="F465" t="str">
        <f ca="1">IF(Inventory[[#This Row],[Product Category]]="","",IF(E465&lt;TODAY(),"EXPIRED",
IF(E465&lt;=TODAY()+30,"&lt;30 DAYS",
IF(E465&lt;=TODAY()+60,"&lt;60 DAYS",IF(E465=0,"","")))))</f>
        <v/>
      </c>
      <c r="H465">
        <f>SUMIF(Purchases[Product ID],A465,Purchases[Quantity])</f>
        <v>0</v>
      </c>
      <c r="I465">
        <f>SUMIF(Sales[Product Name],Inventory[[#This Row],[Product Name]],Sales[Quantity Sold])</f>
        <v>0</v>
      </c>
      <c r="J465">
        <f t="shared" si="15"/>
        <v>0</v>
      </c>
      <c r="N465">
        <f t="shared" si="16"/>
        <v>0</v>
      </c>
    </row>
    <row r="466" spans="4:14" ht="15">
      <c r="D466" s="26"/>
      <c r="E466" s="26"/>
      <c r="F466" t="str">
        <f ca="1">IF(Inventory[[#This Row],[Product Category]]="","",IF(E466&lt;TODAY(),"EXPIRED",
IF(E466&lt;=TODAY()+30,"&lt;30 DAYS",
IF(E466&lt;=TODAY()+60,"&lt;60 DAYS",IF(E466=0,"","")))))</f>
        <v/>
      </c>
      <c r="H466">
        <f>SUMIF(Purchases[Product ID],A466,Purchases[Quantity])</f>
        <v>0</v>
      </c>
      <c r="I466">
        <f>SUMIF(Sales[Product Name],Inventory[[#This Row],[Product Name]],Sales[Quantity Sold])</f>
        <v>0</v>
      </c>
      <c r="J466">
        <f t="shared" si="15"/>
        <v>0</v>
      </c>
      <c r="N466">
        <f t="shared" si="16"/>
        <v>0</v>
      </c>
    </row>
    <row r="467" spans="4:14" ht="15">
      <c r="D467" s="26"/>
      <c r="E467" s="26"/>
      <c r="F467" t="str">
        <f ca="1">IF(Inventory[[#This Row],[Product Category]]="","",IF(E467&lt;TODAY(),"EXPIRED",
IF(E467&lt;=TODAY()+30,"&lt;30 DAYS",
IF(E467&lt;=TODAY()+60,"&lt;60 DAYS",IF(E467=0,"","")))))</f>
        <v/>
      </c>
      <c r="H467">
        <f>SUMIF(Purchases[Product ID],A467,Purchases[Quantity])</f>
        <v>0</v>
      </c>
      <c r="I467">
        <f>SUMIF(Sales[Product Name],Inventory[[#This Row],[Product Name]],Sales[Quantity Sold])</f>
        <v>0</v>
      </c>
      <c r="J467">
        <f t="shared" si="15"/>
        <v>0</v>
      </c>
      <c r="N467">
        <f t="shared" si="16"/>
        <v>0</v>
      </c>
    </row>
    <row r="468" spans="4:14" ht="15">
      <c r="D468" s="26"/>
      <c r="E468" s="26"/>
      <c r="F468" t="str">
        <f ca="1">IF(Inventory[[#This Row],[Product Category]]="","",IF(E468&lt;TODAY(),"EXPIRED",
IF(E468&lt;=TODAY()+30,"&lt;30 DAYS",
IF(E468&lt;=TODAY()+60,"&lt;60 DAYS",IF(E468=0,"","")))))</f>
        <v/>
      </c>
      <c r="H468">
        <f>SUMIF(Purchases[Product ID],A468,Purchases[Quantity])</f>
        <v>0</v>
      </c>
      <c r="I468">
        <f>SUMIF(Sales[Product Name],Inventory[[#This Row],[Product Name]],Sales[Quantity Sold])</f>
        <v>0</v>
      </c>
      <c r="J468">
        <f t="shared" si="15"/>
        <v>0</v>
      </c>
      <c r="N468">
        <f t="shared" si="16"/>
        <v>0</v>
      </c>
    </row>
    <row r="469" spans="4:14" ht="15">
      <c r="D469" s="26"/>
      <c r="E469" s="26"/>
      <c r="F469" t="str">
        <f ca="1">IF(Inventory[[#This Row],[Product Category]]="","",IF(E469&lt;TODAY(),"EXPIRED",
IF(E469&lt;=TODAY()+30,"&lt;30 DAYS",
IF(E469&lt;=TODAY()+60,"&lt;60 DAYS",IF(E469=0,"","")))))</f>
        <v/>
      </c>
      <c r="H469">
        <f>SUMIF(Purchases[Product ID],A469,Purchases[Quantity])</f>
        <v>0</v>
      </c>
      <c r="I469">
        <f>SUMIF(Sales[Product Name],Inventory[[#This Row],[Product Name]],Sales[Quantity Sold])</f>
        <v>0</v>
      </c>
      <c r="J469">
        <f t="shared" si="15"/>
        <v>0</v>
      </c>
      <c r="N469">
        <f t="shared" si="16"/>
        <v>0</v>
      </c>
    </row>
    <row r="470" spans="4:14" ht="15">
      <c r="D470" s="26"/>
      <c r="E470" s="26"/>
      <c r="F470" t="str">
        <f ca="1">IF(Inventory[[#This Row],[Product Category]]="","",IF(E470&lt;TODAY(),"EXPIRED",
IF(E470&lt;=TODAY()+30,"&lt;30 DAYS",
IF(E470&lt;=TODAY()+60,"&lt;60 DAYS",IF(E470=0,"","")))))</f>
        <v/>
      </c>
      <c r="H470">
        <f>SUMIF(Purchases[Product ID],A470,Purchases[Quantity])</f>
        <v>0</v>
      </c>
      <c r="I470">
        <f>SUMIF(Sales[Product Name],Inventory[[#This Row],[Product Name]],Sales[Quantity Sold])</f>
        <v>0</v>
      </c>
      <c r="J470">
        <f t="shared" si="15"/>
        <v>0</v>
      </c>
      <c r="N470">
        <f t="shared" si="16"/>
        <v>0</v>
      </c>
    </row>
    <row r="471" spans="4:14" ht="15">
      <c r="D471" s="26"/>
      <c r="E471" s="26"/>
      <c r="F471" t="str">
        <f ca="1">IF(Inventory[[#This Row],[Product Category]]="","",IF(E471&lt;TODAY(),"EXPIRED",
IF(E471&lt;=TODAY()+30,"&lt;30 DAYS",
IF(E471&lt;=TODAY()+60,"&lt;60 DAYS",IF(E471=0,"","")))))</f>
        <v/>
      </c>
      <c r="H471">
        <f>SUMIF(Purchases[Product ID],A471,Purchases[Quantity])</f>
        <v>0</v>
      </c>
      <c r="I471">
        <f>SUMIF(Sales[Product Name],Inventory[[#This Row],[Product Name]],Sales[Quantity Sold])</f>
        <v>0</v>
      </c>
      <c r="J471">
        <f t="shared" si="15"/>
        <v>0</v>
      </c>
      <c r="N471">
        <f t="shared" si="16"/>
        <v>0</v>
      </c>
    </row>
    <row r="472" spans="4:14" ht="15">
      <c r="D472" s="26"/>
      <c r="E472" s="26"/>
      <c r="F472" t="str">
        <f ca="1">IF(Inventory[[#This Row],[Product Category]]="","",IF(E472&lt;TODAY(),"EXPIRED",
IF(E472&lt;=TODAY()+30,"&lt;30 DAYS",
IF(E472&lt;=TODAY()+60,"&lt;60 DAYS",IF(E472=0,"","")))))</f>
        <v/>
      </c>
      <c r="H472">
        <f>SUMIF(Purchases[Product ID],A472,Purchases[Quantity])</f>
        <v>0</v>
      </c>
      <c r="I472">
        <f>SUMIF(Sales[Product Name],Inventory[[#This Row],[Product Name]],Sales[Quantity Sold])</f>
        <v>0</v>
      </c>
      <c r="J472">
        <f t="shared" si="15"/>
        <v>0</v>
      </c>
      <c r="N472">
        <f t="shared" si="16"/>
        <v>0</v>
      </c>
    </row>
    <row r="473" spans="4:14" ht="15">
      <c r="D473" s="26"/>
      <c r="E473" s="26"/>
      <c r="F473" t="str">
        <f ca="1">IF(Inventory[[#This Row],[Product Category]]="","",IF(E473&lt;TODAY(),"EXPIRED",
IF(E473&lt;=TODAY()+30,"&lt;30 DAYS",
IF(E473&lt;=TODAY()+60,"&lt;60 DAYS",IF(E473=0,"","")))))</f>
        <v/>
      </c>
      <c r="H473">
        <f>SUMIF(Purchases[Product ID],A473,Purchases[Quantity])</f>
        <v>0</v>
      </c>
      <c r="I473">
        <f>SUMIF(Sales[Product Name],Inventory[[#This Row],[Product Name]],Sales[Quantity Sold])</f>
        <v>0</v>
      </c>
      <c r="J473">
        <f t="shared" si="15"/>
        <v>0</v>
      </c>
      <c r="N473">
        <f t="shared" si="16"/>
        <v>0</v>
      </c>
    </row>
    <row r="474" spans="4:14" ht="15">
      <c r="D474" s="26"/>
      <c r="E474" s="26"/>
      <c r="F474" t="str">
        <f ca="1">IF(Inventory[[#This Row],[Product Category]]="","",IF(E474&lt;TODAY(),"EXPIRED",
IF(E474&lt;=TODAY()+30,"&lt;30 DAYS",
IF(E474&lt;=TODAY()+60,"&lt;60 DAYS",IF(E474=0,"","")))))</f>
        <v/>
      </c>
      <c r="H474">
        <f>SUMIF(Purchases[Product ID],A474,Purchases[Quantity])</f>
        <v>0</v>
      </c>
      <c r="I474">
        <f>SUMIF(Sales[Product Name],Inventory[[#This Row],[Product Name]],Sales[Quantity Sold])</f>
        <v>0</v>
      </c>
      <c r="J474">
        <f t="shared" si="15"/>
        <v>0</v>
      </c>
      <c r="N474">
        <f t="shared" si="16"/>
        <v>0</v>
      </c>
    </row>
    <row r="475" spans="4:14" ht="15">
      <c r="D475" s="26"/>
      <c r="E475" s="26"/>
      <c r="F475" t="str">
        <f ca="1">IF(Inventory[[#This Row],[Product Category]]="","",IF(E475&lt;TODAY(),"EXPIRED",
IF(E475&lt;=TODAY()+30,"&lt;30 DAYS",
IF(E475&lt;=TODAY()+60,"&lt;60 DAYS",IF(E475=0,"","")))))</f>
        <v/>
      </c>
      <c r="H475">
        <f>SUMIF(Purchases[Product ID],A475,Purchases[Quantity])</f>
        <v>0</v>
      </c>
      <c r="I475">
        <f>SUMIF(Sales[Product Name],Inventory[[#This Row],[Product Name]],Sales[Quantity Sold])</f>
        <v>0</v>
      </c>
      <c r="J475">
        <f t="shared" si="15"/>
        <v>0</v>
      </c>
      <c r="N475">
        <f t="shared" si="16"/>
        <v>0</v>
      </c>
    </row>
    <row r="476" spans="4:14" ht="15">
      <c r="D476" s="26"/>
      <c r="E476" s="26"/>
      <c r="F476" t="str">
        <f ca="1">IF(Inventory[[#This Row],[Product Category]]="","",IF(E476&lt;TODAY(),"EXPIRED",
IF(E476&lt;=TODAY()+30,"&lt;30 DAYS",
IF(E476&lt;=TODAY()+60,"&lt;60 DAYS",IF(E476=0,"","")))))</f>
        <v/>
      </c>
      <c r="H476">
        <f>SUMIF(Purchases[Product ID],A476,Purchases[Quantity])</f>
        <v>0</v>
      </c>
      <c r="I476">
        <f>SUMIF(Sales[Product Name],Inventory[[#This Row],[Product Name]],Sales[Quantity Sold])</f>
        <v>0</v>
      </c>
      <c r="J476">
        <f t="shared" si="15"/>
        <v>0</v>
      </c>
      <c r="N476">
        <f t="shared" si="16"/>
        <v>0</v>
      </c>
    </row>
    <row r="477" spans="4:14" ht="15">
      <c r="D477" s="26"/>
      <c r="E477" s="26"/>
      <c r="F477" t="str">
        <f ca="1">IF(Inventory[[#This Row],[Product Category]]="","",IF(E477&lt;TODAY(),"EXPIRED",
IF(E477&lt;=TODAY()+30,"&lt;30 DAYS",
IF(E477&lt;=TODAY()+60,"&lt;60 DAYS",IF(E477=0,"","")))))</f>
        <v/>
      </c>
      <c r="H477">
        <f>SUMIF(Purchases[Product ID],A477,Purchases[Quantity])</f>
        <v>0</v>
      </c>
      <c r="I477">
        <f>SUMIF(Sales[Product Name],Inventory[[#This Row],[Product Name]],Sales[Quantity Sold])</f>
        <v>0</v>
      </c>
      <c r="J477">
        <f t="shared" si="15"/>
        <v>0</v>
      </c>
      <c r="N477">
        <f t="shared" si="16"/>
        <v>0</v>
      </c>
    </row>
    <row r="478" spans="4:14" ht="15">
      <c r="D478" s="26"/>
      <c r="E478" s="26"/>
      <c r="F478" t="str">
        <f ca="1">IF(Inventory[[#This Row],[Product Category]]="","",IF(E478&lt;TODAY(),"EXPIRED",
IF(E478&lt;=TODAY()+30,"&lt;30 DAYS",
IF(E478&lt;=TODAY()+60,"&lt;60 DAYS",IF(E478=0,"","")))))</f>
        <v/>
      </c>
      <c r="H478">
        <f>SUMIF(Purchases[Product ID],A478,Purchases[Quantity])</f>
        <v>0</v>
      </c>
      <c r="I478">
        <f>SUMIF(Sales[Product Name],Inventory[[#This Row],[Product Name]],Sales[Quantity Sold])</f>
        <v>0</v>
      </c>
      <c r="J478">
        <f t="shared" si="15"/>
        <v>0</v>
      </c>
      <c r="N478">
        <f t="shared" si="16"/>
        <v>0</v>
      </c>
    </row>
    <row r="479" spans="4:14" ht="15">
      <c r="D479" s="26"/>
      <c r="E479" s="26"/>
      <c r="F479" t="str">
        <f ca="1">IF(Inventory[[#This Row],[Product Category]]="","",IF(E479&lt;TODAY(),"EXPIRED",
IF(E479&lt;=TODAY()+30,"&lt;30 DAYS",
IF(E479&lt;=TODAY()+60,"&lt;60 DAYS",IF(E479=0,"","")))))</f>
        <v/>
      </c>
      <c r="H479">
        <f>SUMIF(Purchases[Product ID],A479,Purchases[Quantity])</f>
        <v>0</v>
      </c>
      <c r="I479">
        <f>SUMIF(Sales[Product Name],Inventory[[#This Row],[Product Name]],Sales[Quantity Sold])</f>
        <v>0</v>
      </c>
      <c r="J479">
        <f t="shared" si="15"/>
        <v>0</v>
      </c>
      <c r="N479">
        <f t="shared" si="16"/>
        <v>0</v>
      </c>
    </row>
    <row r="480" spans="4:14" ht="15">
      <c r="D480" s="26"/>
      <c r="E480" s="26"/>
      <c r="F480" t="str">
        <f ca="1">IF(Inventory[[#This Row],[Product Category]]="","",IF(E480&lt;TODAY(),"EXPIRED",
IF(E480&lt;=TODAY()+30,"&lt;30 DAYS",
IF(E480&lt;=TODAY()+60,"&lt;60 DAYS",IF(E480=0,"","")))))</f>
        <v/>
      </c>
      <c r="H480">
        <f>SUMIF(Purchases[Product ID],A480,Purchases[Quantity])</f>
        <v>0</v>
      </c>
      <c r="I480">
        <f>SUMIF(Sales[Product Name],Inventory[[#This Row],[Product Name]],Sales[Quantity Sold])</f>
        <v>0</v>
      </c>
      <c r="J480">
        <f t="shared" si="15"/>
        <v>0</v>
      </c>
      <c r="N480">
        <f t="shared" si="16"/>
        <v>0</v>
      </c>
    </row>
    <row r="481" spans="4:14" ht="15">
      <c r="D481" s="26"/>
      <c r="E481" s="26"/>
      <c r="F481" t="str">
        <f ca="1">IF(Inventory[[#This Row],[Product Category]]="","",IF(E481&lt;TODAY(),"EXPIRED",
IF(E481&lt;=TODAY()+30,"&lt;30 DAYS",
IF(E481&lt;=TODAY()+60,"&lt;60 DAYS",IF(E481=0,"","")))))</f>
        <v/>
      </c>
      <c r="H481">
        <f>SUMIF(Purchases[Product ID],A481,Purchases[Quantity])</f>
        <v>0</v>
      </c>
      <c r="I481">
        <f>SUMIF(Sales[Product Name],Inventory[[#This Row],[Product Name]],Sales[Quantity Sold])</f>
        <v>0</v>
      </c>
      <c r="J481">
        <f t="shared" si="15"/>
        <v>0</v>
      </c>
      <c r="N481">
        <f t="shared" si="16"/>
        <v>0</v>
      </c>
    </row>
    <row r="482" spans="4:14" ht="15">
      <c r="D482" s="26"/>
      <c r="E482" s="26"/>
      <c r="F482" t="str">
        <f ca="1">IF(Inventory[[#This Row],[Product Category]]="","",IF(E482&lt;TODAY(),"EXPIRED",
IF(E482&lt;=TODAY()+30,"&lt;30 DAYS",
IF(E482&lt;=TODAY()+60,"&lt;60 DAYS",IF(E482=0,"","")))))</f>
        <v/>
      </c>
      <c r="H482">
        <f>SUMIF(Purchases[Product ID],A482,Purchases[Quantity])</f>
        <v>0</v>
      </c>
      <c r="I482">
        <f>SUMIF(Sales[Product Name],Inventory[[#This Row],[Product Name]],Sales[Quantity Sold])</f>
        <v>0</v>
      </c>
      <c r="J482">
        <f t="shared" si="15"/>
        <v>0</v>
      </c>
      <c r="N482">
        <f t="shared" si="16"/>
        <v>0</v>
      </c>
    </row>
    <row r="483" spans="4:14" ht="15">
      <c r="D483" s="26"/>
      <c r="E483" s="26"/>
      <c r="F483" t="str">
        <f ca="1">IF(Inventory[[#This Row],[Product Category]]="","",IF(E483&lt;TODAY(),"EXPIRED",
IF(E483&lt;=TODAY()+30,"&lt;30 DAYS",
IF(E483&lt;=TODAY()+60,"&lt;60 DAYS",IF(E483=0,"","")))))</f>
        <v/>
      </c>
      <c r="H483">
        <f>SUMIF(Purchases[Product ID],A483,Purchases[Quantity])</f>
        <v>0</v>
      </c>
      <c r="I483">
        <f>SUMIF(Sales[Product Name],Inventory[[#This Row],[Product Name]],Sales[Quantity Sold])</f>
        <v>0</v>
      </c>
      <c r="J483">
        <f t="shared" si="15"/>
        <v>0</v>
      </c>
      <c r="N483">
        <f t="shared" si="16"/>
        <v>0</v>
      </c>
    </row>
    <row r="484" spans="4:14" ht="15">
      <c r="D484" s="26"/>
      <c r="E484" s="26"/>
      <c r="F484" t="str">
        <f ca="1">IF(Inventory[[#This Row],[Product Category]]="","",IF(E484&lt;TODAY(),"EXPIRED",
IF(E484&lt;=TODAY()+30,"&lt;30 DAYS",
IF(E484&lt;=TODAY()+60,"&lt;60 DAYS",IF(E484=0,"","")))))</f>
        <v/>
      </c>
      <c r="H484">
        <f>SUMIF(Purchases[Product ID],A484,Purchases[Quantity])</f>
        <v>0</v>
      </c>
      <c r="I484">
        <f>SUMIF(Sales[Product Name],Inventory[[#This Row],[Product Name]],Sales[Quantity Sold])</f>
        <v>0</v>
      </c>
      <c r="J484">
        <f t="shared" si="15"/>
        <v>0</v>
      </c>
      <c r="N484">
        <f t="shared" si="16"/>
        <v>0</v>
      </c>
    </row>
    <row r="485" spans="4:14" ht="15">
      <c r="D485" s="26"/>
      <c r="E485" s="26"/>
      <c r="F485" t="str">
        <f ca="1">IF(Inventory[[#This Row],[Product Category]]="","",IF(E485&lt;TODAY(),"EXPIRED",
IF(E485&lt;=TODAY()+30,"&lt;30 DAYS",
IF(E485&lt;=TODAY()+60,"&lt;60 DAYS",IF(E485=0,"","")))))</f>
        <v/>
      </c>
      <c r="H485">
        <f>SUMIF(Purchases[Product ID],A485,Purchases[Quantity])</f>
        <v>0</v>
      </c>
      <c r="I485">
        <f>SUMIF(Sales[Product Name],Inventory[[#This Row],[Product Name]],Sales[Quantity Sold])</f>
        <v>0</v>
      </c>
      <c r="J485">
        <f t="shared" si="15"/>
        <v>0</v>
      </c>
      <c r="N485">
        <f t="shared" si="16"/>
        <v>0</v>
      </c>
    </row>
    <row r="486" spans="4:14" ht="15">
      <c r="D486" s="26"/>
      <c r="E486" s="26"/>
      <c r="F486" t="str">
        <f ca="1">IF(Inventory[[#This Row],[Product Category]]="","",IF(E486&lt;TODAY(),"EXPIRED",
IF(E486&lt;=TODAY()+30,"&lt;30 DAYS",
IF(E486&lt;=TODAY()+60,"&lt;60 DAYS",IF(E486=0,"","")))))</f>
        <v/>
      </c>
      <c r="H486">
        <f>SUMIF(Purchases[Product ID],A486,Purchases[Quantity])</f>
        <v>0</v>
      </c>
      <c r="I486">
        <f>SUMIF(Sales[Product Name],Inventory[[#This Row],[Product Name]],Sales[Quantity Sold])</f>
        <v>0</v>
      </c>
      <c r="J486">
        <f t="shared" si="15"/>
        <v>0</v>
      </c>
      <c r="N486">
        <f t="shared" si="16"/>
        <v>0</v>
      </c>
    </row>
    <row r="487" spans="4:14" ht="15">
      <c r="D487" s="26"/>
      <c r="E487" s="26"/>
      <c r="F487" t="str">
        <f ca="1">IF(Inventory[[#This Row],[Product Category]]="","",IF(E487&lt;TODAY(),"EXPIRED",
IF(E487&lt;=TODAY()+30,"&lt;30 DAYS",
IF(E487&lt;=TODAY()+60,"&lt;60 DAYS",IF(E487=0,"","")))))</f>
        <v/>
      </c>
      <c r="H487">
        <f>SUMIF(Purchases[Product ID],A487,Purchases[Quantity])</f>
        <v>0</v>
      </c>
      <c r="I487">
        <f>SUMIF(Sales[Product Name],Inventory[[#This Row],[Product Name]],Sales[Quantity Sold])</f>
        <v>0</v>
      </c>
      <c r="J487">
        <f t="shared" si="15"/>
        <v>0</v>
      </c>
      <c r="N487">
        <f t="shared" si="16"/>
        <v>0</v>
      </c>
    </row>
    <row r="488" spans="4:14" ht="15">
      <c r="D488" s="26"/>
      <c r="E488" s="26"/>
      <c r="F488" t="str">
        <f ca="1">IF(Inventory[[#This Row],[Product Category]]="","",IF(E488&lt;TODAY(),"EXPIRED",
IF(E488&lt;=TODAY()+30,"&lt;30 DAYS",
IF(E488&lt;=TODAY()+60,"&lt;60 DAYS",IF(E488=0,"","")))))</f>
        <v/>
      </c>
      <c r="H488">
        <f>SUMIF(Purchases[Product ID],A488,Purchases[Quantity])</f>
        <v>0</v>
      </c>
      <c r="I488">
        <f>SUMIF(Sales[Product Name],Inventory[[#This Row],[Product Name]],Sales[Quantity Sold])</f>
        <v>0</v>
      </c>
      <c r="J488">
        <f t="shared" si="15"/>
        <v>0</v>
      </c>
      <c r="N488">
        <f t="shared" si="16"/>
        <v>0</v>
      </c>
    </row>
    <row r="489" spans="4:14" ht="15">
      <c r="D489" s="26"/>
      <c r="E489" s="26"/>
      <c r="F489" t="str">
        <f ca="1">IF(Inventory[[#This Row],[Product Category]]="","",IF(E489&lt;TODAY(),"EXPIRED",
IF(E489&lt;=TODAY()+30,"&lt;30 DAYS",
IF(E489&lt;=TODAY()+60,"&lt;60 DAYS",IF(E489=0,"","")))))</f>
        <v/>
      </c>
      <c r="H489">
        <f>SUMIF(Purchases[Product ID],A489,Purchases[Quantity])</f>
        <v>0</v>
      </c>
      <c r="I489">
        <f>SUMIF(Sales[Product Name],Inventory[[#This Row],[Product Name]],Sales[Quantity Sold])</f>
        <v>0</v>
      </c>
      <c r="J489">
        <f t="shared" si="15"/>
        <v>0</v>
      </c>
      <c r="N489">
        <f t="shared" si="16"/>
        <v>0</v>
      </c>
    </row>
    <row r="490" spans="4:14" ht="15">
      <c r="D490" s="26"/>
      <c r="E490" s="26"/>
      <c r="F490" t="str">
        <f ca="1">IF(Inventory[[#This Row],[Product Category]]="","",IF(E490&lt;TODAY(),"EXPIRED",
IF(E490&lt;=TODAY()+30,"&lt;30 DAYS",
IF(E490&lt;=TODAY()+60,"&lt;60 DAYS",IF(E490=0,"","")))))</f>
        <v/>
      </c>
      <c r="H490">
        <f>SUMIF(Purchases[Product ID],A490,Purchases[Quantity])</f>
        <v>0</v>
      </c>
      <c r="I490">
        <f>SUMIF(Sales[Product Name],Inventory[[#This Row],[Product Name]],Sales[Quantity Sold])</f>
        <v>0</v>
      </c>
      <c r="J490">
        <f t="shared" si="15"/>
        <v>0</v>
      </c>
      <c r="N490">
        <f t="shared" si="16"/>
        <v>0</v>
      </c>
    </row>
    <row r="491" spans="4:14" ht="15">
      <c r="D491" s="26"/>
      <c r="E491" s="26"/>
      <c r="F491" t="str">
        <f ca="1">IF(Inventory[[#This Row],[Product Category]]="","",IF(E491&lt;TODAY(),"EXPIRED",
IF(E491&lt;=TODAY()+30,"&lt;30 DAYS",
IF(E491&lt;=TODAY()+60,"&lt;60 DAYS",IF(E491=0,"","")))))</f>
        <v/>
      </c>
      <c r="H491">
        <f>SUMIF(Purchases[Product ID],A491,Purchases[Quantity])</f>
        <v>0</v>
      </c>
      <c r="I491">
        <f>SUMIF(Sales[Product Name],Inventory[[#This Row],[Product Name]],Sales[Quantity Sold])</f>
        <v>0</v>
      </c>
      <c r="J491">
        <f t="shared" si="15"/>
        <v>0</v>
      </c>
      <c r="N491">
        <f t="shared" si="16"/>
        <v>0</v>
      </c>
    </row>
    <row r="492" spans="4:14" ht="15">
      <c r="D492" s="26"/>
      <c r="E492" s="26"/>
      <c r="F492" t="str">
        <f ca="1">IF(Inventory[[#This Row],[Product Category]]="","",IF(E492&lt;TODAY(),"EXPIRED",
IF(E492&lt;=TODAY()+30,"&lt;30 DAYS",
IF(E492&lt;=TODAY()+60,"&lt;60 DAYS",IF(E492=0,"","")))))</f>
        <v/>
      </c>
      <c r="H492">
        <f>SUMIF(Purchases[Product ID],A492,Purchases[Quantity])</f>
        <v>0</v>
      </c>
      <c r="I492">
        <f>SUMIF(Sales[Product Name],Inventory[[#This Row],[Product Name]],Sales[Quantity Sold])</f>
        <v>0</v>
      </c>
      <c r="J492">
        <f t="shared" si="15"/>
        <v>0</v>
      </c>
      <c r="N492">
        <f t="shared" si="16"/>
        <v>0</v>
      </c>
    </row>
    <row r="493" spans="4:14" ht="15">
      <c r="D493" s="26"/>
      <c r="E493" s="26"/>
      <c r="F493" t="str">
        <f ca="1">IF(Inventory[[#This Row],[Product Category]]="","",IF(E493&lt;TODAY(),"EXPIRED",
IF(E493&lt;=TODAY()+30,"&lt;30 DAYS",
IF(E493&lt;=TODAY()+60,"&lt;60 DAYS",IF(E493=0,"","")))))</f>
        <v/>
      </c>
      <c r="H493">
        <f>SUMIF(Purchases[Product ID],A493,Purchases[Quantity])</f>
        <v>0</v>
      </c>
      <c r="I493">
        <f>SUMIF(Sales[Product Name],Inventory[[#This Row],[Product Name]],Sales[Quantity Sold])</f>
        <v>0</v>
      </c>
      <c r="J493">
        <f t="shared" si="15"/>
        <v>0</v>
      </c>
      <c r="N493">
        <f t="shared" si="16"/>
        <v>0</v>
      </c>
    </row>
    <row r="494" spans="4:14" ht="15">
      <c r="D494" s="26"/>
      <c r="E494" s="26"/>
      <c r="F494" t="str">
        <f ca="1">IF(Inventory[[#This Row],[Product Category]]="","",IF(E494&lt;TODAY(),"EXPIRED",
IF(E494&lt;=TODAY()+30,"&lt;30 DAYS",
IF(E494&lt;=TODAY()+60,"&lt;60 DAYS",IF(E494=0,"","")))))</f>
        <v/>
      </c>
      <c r="H494">
        <f>SUMIF(Purchases[Product ID],A494,Purchases[Quantity])</f>
        <v>0</v>
      </c>
      <c r="I494">
        <f>SUMIF(Sales[Product Name],Inventory[[#This Row],[Product Name]],Sales[Quantity Sold])</f>
        <v>0</v>
      </c>
      <c r="J494">
        <f t="shared" si="15"/>
        <v>0</v>
      </c>
      <c r="N494">
        <f t="shared" si="16"/>
        <v>0</v>
      </c>
    </row>
    <row r="495" spans="4:14" ht="15">
      <c r="D495" s="26"/>
      <c r="E495" s="26"/>
      <c r="F495" t="str">
        <f ca="1">IF(Inventory[[#This Row],[Product Category]]="","",IF(E495&lt;TODAY(),"EXPIRED",
IF(E495&lt;=TODAY()+30,"&lt;30 DAYS",
IF(E495&lt;=TODAY()+60,"&lt;60 DAYS",IF(E495=0,"","")))))</f>
        <v/>
      </c>
      <c r="H495">
        <f>SUMIF(Purchases[Product ID],A495,Purchases[Quantity])</f>
        <v>0</v>
      </c>
      <c r="I495">
        <f>SUMIF(Sales[Product Name],Inventory[[#This Row],[Product Name]],Sales[Quantity Sold])</f>
        <v>0</v>
      </c>
      <c r="J495">
        <f t="shared" si="15"/>
        <v>0</v>
      </c>
      <c r="N495">
        <f t="shared" si="16"/>
        <v>0</v>
      </c>
    </row>
    <row r="496" spans="4:14" ht="15">
      <c r="D496" s="26"/>
      <c r="E496" s="26"/>
      <c r="F496" t="str">
        <f ca="1">IF(Inventory[[#This Row],[Product Category]]="","",IF(E496&lt;TODAY(),"EXPIRED",
IF(E496&lt;=TODAY()+30,"&lt;30 DAYS",
IF(E496&lt;=TODAY()+60,"&lt;60 DAYS",IF(E496=0,"","")))))</f>
        <v/>
      </c>
      <c r="H496">
        <f>SUMIF(Purchases[Product ID],A496,Purchases[Quantity])</f>
        <v>0</v>
      </c>
      <c r="I496">
        <f>SUMIF(Sales[Product Name],Inventory[[#This Row],[Product Name]],Sales[Quantity Sold])</f>
        <v>0</v>
      </c>
      <c r="J496">
        <f t="shared" si="15"/>
        <v>0</v>
      </c>
      <c r="N496">
        <f t="shared" si="16"/>
        <v>0</v>
      </c>
    </row>
    <row r="497" spans="4:14" ht="15">
      <c r="D497" s="26"/>
      <c r="E497" s="26"/>
      <c r="F497" t="str">
        <f ca="1">IF(Inventory[[#This Row],[Product Category]]="","",IF(E497&lt;TODAY(),"EXPIRED",
IF(E497&lt;=TODAY()+30,"&lt;30 DAYS",
IF(E497&lt;=TODAY()+60,"&lt;60 DAYS",IF(E497=0,"","")))))</f>
        <v/>
      </c>
      <c r="H497">
        <f>SUMIF(Purchases[Product ID],A497,Purchases[Quantity])</f>
        <v>0</v>
      </c>
      <c r="I497">
        <f>SUMIF(Sales[Product Name],Inventory[[#This Row],[Product Name]],Sales[Quantity Sold])</f>
        <v>0</v>
      </c>
      <c r="J497">
        <f t="shared" si="15"/>
        <v>0</v>
      </c>
      <c r="N497">
        <f t="shared" si="16"/>
        <v>0</v>
      </c>
    </row>
    <row r="498" spans="4:14" ht="15">
      <c r="D498" s="26"/>
      <c r="E498" s="26"/>
      <c r="F498" t="str">
        <f ca="1">IF(Inventory[[#This Row],[Product Category]]="","",IF(E498&lt;TODAY(),"EXPIRED",
IF(E498&lt;=TODAY()+30,"&lt;30 DAYS",
IF(E498&lt;=TODAY()+60,"&lt;60 DAYS",IF(E498=0,"","")))))</f>
        <v/>
      </c>
      <c r="H498">
        <f>SUMIF(Purchases[Product ID],A498,Purchases[Quantity])</f>
        <v>0</v>
      </c>
      <c r="I498">
        <f>SUMIF(Sales[Product Name],Inventory[[#This Row],[Product Name]],Sales[Quantity Sold])</f>
        <v>0</v>
      </c>
      <c r="J498">
        <f t="shared" si="15"/>
        <v>0</v>
      </c>
      <c r="N498">
        <f t="shared" si="16"/>
        <v>0</v>
      </c>
    </row>
    <row r="499" spans="4:14" ht="15">
      <c r="D499" s="26"/>
      <c r="E499" s="26"/>
      <c r="F499" t="str">
        <f ca="1">IF(Inventory[[#This Row],[Product Category]]="","",IF(E499&lt;TODAY(),"EXPIRED",
IF(E499&lt;=TODAY()+30,"&lt;30 DAYS",
IF(E499&lt;=TODAY()+60,"&lt;60 DAYS",IF(E499=0,"","")))))</f>
        <v/>
      </c>
      <c r="H499">
        <f>SUMIF(Purchases[Product ID],A499,Purchases[Quantity])</f>
        <v>0</v>
      </c>
      <c r="I499">
        <f>SUMIF(Sales[Product Name],Inventory[[#This Row],[Product Name]],Sales[Quantity Sold])</f>
        <v>0</v>
      </c>
      <c r="J499">
        <f t="shared" si="15"/>
        <v>0</v>
      </c>
      <c r="N499">
        <f t="shared" si="16"/>
        <v>0</v>
      </c>
    </row>
    <row r="500" spans="4:14" ht="15">
      <c r="D500" s="26"/>
      <c r="E500" s="26"/>
      <c r="F500" t="str">
        <f ca="1">IF(Inventory[[#This Row],[Product Category]]="","",IF(E500&lt;TODAY(),"EXPIRED",
IF(E500&lt;=TODAY()+30,"&lt;30 DAYS",
IF(E500&lt;=TODAY()+60,"&lt;60 DAYS",IF(E500=0,"","")))))</f>
        <v/>
      </c>
      <c r="H500">
        <f>SUMIF(Purchases[Product ID],A500,Purchases[Quantity])</f>
        <v>0</v>
      </c>
      <c r="I500">
        <f>SUMIF(Sales[Product Name],Inventory[[#This Row],[Product Name]],Sales[Quantity Sold])</f>
        <v>0</v>
      </c>
      <c r="J500">
        <f t="shared" si="15"/>
        <v>0</v>
      </c>
      <c r="N500">
        <f t="shared" si="16"/>
        <v>0</v>
      </c>
    </row>
    <row r="501" spans="4:14" ht="15">
      <c r="D501" s="26"/>
      <c r="E501" s="26"/>
      <c r="F501" t="str">
        <f ca="1">IF(Inventory[[#This Row],[Product Category]]="","",IF(E501&lt;TODAY(),"EXPIRED",
IF(E501&lt;=TODAY()+30,"&lt;30 DAYS",
IF(E501&lt;=TODAY()+60,"&lt;60 DAYS",IF(E501=0,"","")))))</f>
        <v/>
      </c>
      <c r="H501">
        <f>SUMIF(Purchases[Product ID],A501,Purchases[Quantity])</f>
        <v>0</v>
      </c>
      <c r="I501">
        <f>SUMIF(Sales[Product Name],Inventory[[#This Row],[Product Name]],Sales[Quantity Sold])</f>
        <v>0</v>
      </c>
      <c r="J501">
        <f t="shared" si="15"/>
        <v>0</v>
      </c>
      <c r="N501">
        <f t="shared" si="16"/>
        <v>0</v>
      </c>
    </row>
    <row r="502" spans="4:14" ht="15">
      <c r="D502" s="26"/>
      <c r="E502" s="26"/>
      <c r="F502" t="str">
        <f ca="1">IF(Inventory[[#This Row],[Product Category]]="","",IF(E502&lt;TODAY(),"EXPIRED",
IF(E502&lt;=TODAY()+30,"&lt;30 DAYS",
IF(E502&lt;=TODAY()+60,"&lt;60 DAYS",IF(E502=0,"","")))))</f>
        <v/>
      </c>
      <c r="H502">
        <f>SUMIF(Purchases[Product ID],A502,Purchases[Quantity])</f>
        <v>0</v>
      </c>
      <c r="I502">
        <f>SUMIF(Sales[Product Name],Inventory[[#This Row],[Product Name]],Sales[Quantity Sold])</f>
        <v>0</v>
      </c>
      <c r="J502">
        <f t="shared" si="15"/>
        <v>0</v>
      </c>
      <c r="N502">
        <f t="shared" si="16"/>
        <v>0</v>
      </c>
    </row>
    <row r="503" spans="4:14" ht="15">
      <c r="D503" s="26"/>
      <c r="E503" s="26"/>
      <c r="F503" t="str">
        <f ca="1">IF(Inventory[[#This Row],[Product Category]]="","",IF(E503&lt;TODAY(),"EXPIRED",
IF(E503&lt;=TODAY()+30,"&lt;30 DAYS",
IF(E503&lt;=TODAY()+60,"&lt;60 DAYS",IF(E503=0,"","")))))</f>
        <v/>
      </c>
      <c r="H503">
        <f>SUMIF(Purchases[Product ID],A503,Purchases[Quantity])</f>
        <v>0</v>
      </c>
      <c r="I503">
        <f>SUMIF(Sales[Product Name],Inventory[[#This Row],[Product Name]],Sales[Quantity Sold])</f>
        <v>0</v>
      </c>
      <c r="J503">
        <f t="shared" si="15"/>
        <v>0</v>
      </c>
      <c r="N503">
        <f t="shared" si="16"/>
        <v>0</v>
      </c>
    </row>
    <row r="504" spans="4:14" ht="15">
      <c r="D504" s="26"/>
      <c r="E504" s="26"/>
      <c r="F504" t="str">
        <f ca="1">IF(Inventory[[#This Row],[Product Category]]="","",IF(E504&lt;TODAY(),"EXPIRED",
IF(E504&lt;=TODAY()+30,"&lt;30 DAYS",
IF(E504&lt;=TODAY()+60,"&lt;60 DAYS",IF(E504=0,"","")))))</f>
        <v/>
      </c>
      <c r="H504">
        <f>SUMIF(Purchases[Product ID],A504,Purchases[Quantity])</f>
        <v>0</v>
      </c>
      <c r="I504">
        <f>SUMIF(Sales[Product Name],Inventory[[#This Row],[Product Name]],Sales[Quantity Sold])</f>
        <v>0</v>
      </c>
      <c r="J504">
        <f t="shared" si="15"/>
        <v>0</v>
      </c>
      <c r="N504">
        <f t="shared" si="16"/>
        <v>0</v>
      </c>
    </row>
    <row r="505" spans="4:14" ht="15">
      <c r="D505" s="26"/>
      <c r="E505" s="26"/>
      <c r="F505" t="str">
        <f ca="1">IF(Inventory[[#This Row],[Product Category]]="","",IF(E505&lt;TODAY(),"EXPIRED",
IF(E505&lt;=TODAY()+30,"&lt;30 DAYS",
IF(E505&lt;=TODAY()+60,"&lt;60 DAYS",IF(E505=0,"","")))))</f>
        <v/>
      </c>
      <c r="H505">
        <f>SUMIF(Purchases[Product ID],A505,Purchases[Quantity])</f>
        <v>0</v>
      </c>
      <c r="I505">
        <f>SUMIF(Sales[Product Name],Inventory[[#This Row],[Product Name]],Sales[Quantity Sold])</f>
        <v>0</v>
      </c>
      <c r="J505">
        <f t="shared" si="15"/>
        <v>0</v>
      </c>
      <c r="N505">
        <f t="shared" si="16"/>
        <v>0</v>
      </c>
    </row>
    <row r="506" spans="4:14" ht="15">
      <c r="D506" s="26"/>
      <c r="E506" s="26"/>
      <c r="F506" t="str">
        <f ca="1">IF(Inventory[[#This Row],[Product Category]]="","",IF(E506&lt;TODAY(),"EXPIRED",
IF(E506&lt;=TODAY()+30,"&lt;30 DAYS",
IF(E506&lt;=TODAY()+60,"&lt;60 DAYS",IF(E506=0,"","")))))</f>
        <v/>
      </c>
      <c r="H506">
        <f>SUMIF(Purchases[Product ID],A506,Purchases[Quantity])</f>
        <v>0</v>
      </c>
      <c r="I506">
        <f>SUMIF(Sales[Product Name],Inventory[[#This Row],[Product Name]],Sales[Quantity Sold])</f>
        <v>0</v>
      </c>
      <c r="J506">
        <f t="shared" si="15"/>
        <v>0</v>
      </c>
      <c r="N506">
        <f t="shared" si="16"/>
        <v>0</v>
      </c>
    </row>
    <row r="507" spans="4:14" ht="15">
      <c r="D507" s="26"/>
      <c r="E507" s="26"/>
      <c r="F507" t="str">
        <f ca="1">IF(Inventory[[#This Row],[Product Category]]="","",IF(E507&lt;TODAY(),"EXPIRED",
IF(E507&lt;=TODAY()+30,"&lt;30 DAYS",
IF(E507&lt;=TODAY()+60,"&lt;60 DAYS",IF(E507=0,"","")))))</f>
        <v/>
      </c>
      <c r="H507">
        <f>SUMIF(Purchases[Product ID],A507,Purchases[Quantity])</f>
        <v>0</v>
      </c>
      <c r="I507">
        <f>SUMIF(Sales[Product Name],Inventory[[#This Row],[Product Name]],Sales[Quantity Sold])</f>
        <v>0</v>
      </c>
      <c r="J507">
        <f t="shared" si="15"/>
        <v>0</v>
      </c>
      <c r="N507">
        <f t="shared" si="16"/>
        <v>0</v>
      </c>
    </row>
    <row r="508" spans="4:14" ht="15">
      <c r="D508" s="26"/>
      <c r="E508" s="26"/>
      <c r="F508" t="str">
        <f ca="1">IF(Inventory[[#This Row],[Product Category]]="","",IF(E508&lt;TODAY(),"EXPIRED",
IF(E508&lt;=TODAY()+30,"&lt;30 DAYS",
IF(E508&lt;=TODAY()+60,"&lt;60 DAYS",IF(E508=0,"","")))))</f>
        <v/>
      </c>
      <c r="H508">
        <f>SUMIF(Purchases[Product ID],A508,Purchases[Quantity])</f>
        <v>0</v>
      </c>
      <c r="I508">
        <f>SUMIF(Sales[Product Name],Inventory[[#This Row],[Product Name]],Sales[Quantity Sold])</f>
        <v>0</v>
      </c>
      <c r="J508">
        <f t="shared" si="15"/>
        <v>0</v>
      </c>
      <c r="N508">
        <f t="shared" si="16"/>
        <v>0</v>
      </c>
    </row>
    <row r="509" spans="4:14" ht="15">
      <c r="D509" s="26"/>
      <c r="E509" s="26"/>
      <c r="F509" t="str">
        <f ca="1">IF(Inventory[[#This Row],[Product Category]]="","",IF(E509&lt;TODAY(),"EXPIRED",
IF(E509&lt;=TODAY()+30,"&lt;30 DAYS",
IF(E509&lt;=TODAY()+60,"&lt;60 DAYS",IF(E509=0,"","")))))</f>
        <v/>
      </c>
      <c r="H509">
        <f>SUMIF(Purchases[Product ID],A509,Purchases[Quantity])</f>
        <v>0</v>
      </c>
      <c r="I509">
        <f>SUMIF(Sales[Product Name],Inventory[[#This Row],[Product Name]],Sales[Quantity Sold])</f>
        <v>0</v>
      </c>
      <c r="J509">
        <f t="shared" si="15"/>
        <v>0</v>
      </c>
      <c r="N509">
        <f t="shared" si="16"/>
        <v>0</v>
      </c>
    </row>
    <row r="510" spans="4:14" ht="15">
      <c r="D510" s="26"/>
      <c r="E510" s="26"/>
      <c r="F510" t="str">
        <f ca="1">IF(Inventory[[#This Row],[Product Category]]="","",IF(E510&lt;TODAY(),"EXPIRED",
IF(E510&lt;=TODAY()+30,"&lt;30 DAYS",
IF(E510&lt;=TODAY()+60,"&lt;60 DAYS",IF(E510=0,"","")))))</f>
        <v/>
      </c>
      <c r="H510">
        <f>SUMIF(Purchases[Product ID],A510,Purchases[Quantity])</f>
        <v>0</v>
      </c>
      <c r="I510">
        <f>SUMIF(Sales[Product Name],Inventory[[#This Row],[Product Name]],Sales[Quantity Sold])</f>
        <v>0</v>
      </c>
      <c r="J510">
        <f t="shared" si="15"/>
        <v>0</v>
      </c>
      <c r="N510">
        <f t="shared" si="16"/>
        <v>0</v>
      </c>
    </row>
    <row r="511" spans="4:14" ht="15">
      <c r="D511" s="26"/>
      <c r="E511" s="26"/>
      <c r="F511" t="str">
        <f ca="1">IF(Inventory[[#This Row],[Product Category]]="","",IF(E511&lt;TODAY(),"EXPIRED",
IF(E511&lt;=TODAY()+30,"&lt;30 DAYS",
IF(E511&lt;=TODAY()+60,"&lt;60 DAYS",IF(E511=0,"","")))))</f>
        <v/>
      </c>
      <c r="H511">
        <f>SUMIF(Purchases[Product ID],A511,Purchases[Quantity])</f>
        <v>0</v>
      </c>
      <c r="I511">
        <f>SUMIF(Sales[Product Name],Inventory[[#This Row],[Product Name]],Sales[Quantity Sold])</f>
        <v>0</v>
      </c>
      <c r="J511">
        <f t="shared" si="15"/>
        <v>0</v>
      </c>
      <c r="N511">
        <f t="shared" si="16"/>
        <v>0</v>
      </c>
    </row>
    <row r="512" spans="4:14" ht="15">
      <c r="D512" s="26"/>
      <c r="E512" s="26"/>
      <c r="F512" t="str">
        <f ca="1">IF(Inventory[[#This Row],[Product Category]]="","",IF(E512&lt;TODAY(),"EXPIRED",
IF(E512&lt;=TODAY()+30,"&lt;30 DAYS",
IF(E512&lt;=TODAY()+60,"&lt;60 DAYS",IF(E512=0,"","")))))</f>
        <v/>
      </c>
      <c r="H512">
        <f>SUMIF(Purchases[Product ID],A512,Purchases[Quantity])</f>
        <v>0</v>
      </c>
      <c r="I512">
        <f>SUMIF(Sales[Product Name],Inventory[[#This Row],[Product Name]],Sales[Quantity Sold])</f>
        <v>0</v>
      </c>
      <c r="J512">
        <f t="shared" si="15"/>
        <v>0</v>
      </c>
      <c r="N512">
        <f t="shared" si="16"/>
        <v>0</v>
      </c>
    </row>
    <row r="513" spans="4:14" ht="15">
      <c r="D513" s="26"/>
      <c r="E513" s="26"/>
      <c r="F513" t="str">
        <f ca="1">IF(Inventory[[#This Row],[Product Category]]="","",IF(E513&lt;TODAY(),"EXPIRED",
IF(E513&lt;=TODAY()+30,"&lt;30 DAYS",
IF(E513&lt;=TODAY()+60,"&lt;60 DAYS",IF(E513=0,"","")))))</f>
        <v/>
      </c>
      <c r="H513">
        <f>SUMIF(Purchases[Product ID],A513,Purchases[Quantity])</f>
        <v>0</v>
      </c>
      <c r="I513">
        <f>SUMIF(Sales[Product Name],Inventory[[#This Row],[Product Name]],Sales[Quantity Sold])</f>
        <v>0</v>
      </c>
      <c r="J513">
        <f t="shared" si="15"/>
        <v>0</v>
      </c>
      <c r="N513">
        <f t="shared" si="16"/>
        <v>0</v>
      </c>
    </row>
    <row r="514" spans="4:14" ht="15">
      <c r="D514" s="26"/>
      <c r="E514" s="26"/>
      <c r="F514" t="str">
        <f ca="1">IF(Inventory[[#This Row],[Product Category]]="","",IF(E514&lt;TODAY(),"EXPIRED",
IF(E514&lt;=TODAY()+30,"&lt;30 DAYS",
IF(E514&lt;=TODAY()+60,"&lt;60 DAYS",IF(E514=0,"","")))))</f>
        <v/>
      </c>
      <c r="H514">
        <f>SUMIF(Purchases[Product ID],A514,Purchases[Quantity])</f>
        <v>0</v>
      </c>
      <c r="I514">
        <f>SUMIF(Sales[Product Name],Inventory[[#This Row],[Product Name]],Sales[Quantity Sold])</f>
        <v>0</v>
      </c>
      <c r="J514">
        <f t="shared" si="15"/>
        <v>0</v>
      </c>
      <c r="N514">
        <f t="shared" si="16"/>
        <v>0</v>
      </c>
    </row>
    <row r="515" spans="4:14" ht="15">
      <c r="D515" s="26"/>
      <c r="E515" s="26"/>
      <c r="F515" t="str">
        <f ca="1">IF(Inventory[[#This Row],[Product Category]]="","",IF(E515&lt;TODAY(),"EXPIRED",
IF(E515&lt;=TODAY()+30,"&lt;30 DAYS",
IF(E515&lt;=TODAY()+60,"&lt;60 DAYS",IF(E515=0,"","")))))</f>
        <v/>
      </c>
      <c r="H515">
        <f>SUMIF(Purchases[Product ID],A515,Purchases[Quantity])</f>
        <v>0</v>
      </c>
      <c r="I515">
        <f>SUMIF(Sales[Product Name],Inventory[[#This Row],[Product Name]],Sales[Quantity Sold])</f>
        <v>0</v>
      </c>
      <c r="J515">
        <f t="shared" si="15"/>
        <v>0</v>
      </c>
      <c r="N515">
        <f t="shared" si="16"/>
        <v>0</v>
      </c>
    </row>
    <row r="516" spans="4:14" ht="15">
      <c r="D516" s="26"/>
      <c r="E516" s="26"/>
      <c r="F516" t="str">
        <f ca="1">IF(Inventory[[#This Row],[Product Category]]="","",IF(E516&lt;TODAY(),"EXPIRED",
IF(E516&lt;=TODAY()+30,"&lt;30 DAYS",
IF(E516&lt;=TODAY()+60,"&lt;60 DAYS",IF(E516=0,"","")))))</f>
        <v/>
      </c>
      <c r="H516">
        <f>SUMIF(Purchases[Product ID],A516,Purchases[Quantity])</f>
        <v>0</v>
      </c>
      <c r="I516">
        <f>SUMIF(Sales[Product Name],Inventory[[#This Row],[Product Name]],Sales[Quantity Sold])</f>
        <v>0</v>
      </c>
      <c r="J516">
        <f t="shared" si="15"/>
        <v>0</v>
      </c>
      <c r="N516">
        <f t="shared" si="16"/>
        <v>0</v>
      </c>
    </row>
    <row r="517" spans="4:14" ht="15">
      <c r="D517" s="26"/>
      <c r="E517" s="26"/>
      <c r="F517" t="str">
        <f ca="1">IF(Inventory[[#This Row],[Product Category]]="","",IF(E517&lt;TODAY(),"EXPIRED",
IF(E517&lt;=TODAY()+30,"&lt;30 DAYS",
IF(E517&lt;=TODAY()+60,"&lt;60 DAYS",IF(E517=0,"","")))))</f>
        <v/>
      </c>
      <c r="H517">
        <f>SUMIF(Purchases[Product ID],A517,Purchases[Quantity])</f>
        <v>0</v>
      </c>
      <c r="I517">
        <f>SUMIF(Sales[Product Name],Inventory[[#This Row],[Product Name]],Sales[Quantity Sold])</f>
        <v>0</v>
      </c>
      <c r="J517">
        <f t="shared" si="15"/>
        <v>0</v>
      </c>
      <c r="N517">
        <f t="shared" si="16"/>
        <v>0</v>
      </c>
    </row>
    <row r="518" spans="4:14" ht="15">
      <c r="D518" s="26"/>
      <c r="E518" s="26"/>
      <c r="F518" t="str">
        <f ca="1">IF(Inventory[[#This Row],[Product Category]]="","",IF(E518&lt;TODAY(),"EXPIRED",
IF(E518&lt;=TODAY()+30,"&lt;30 DAYS",
IF(E518&lt;=TODAY()+60,"&lt;60 DAYS",IF(E518=0,"","")))))</f>
        <v/>
      </c>
      <c r="H518">
        <f>SUMIF(Purchases[Product ID],A518,Purchases[Quantity])</f>
        <v>0</v>
      </c>
      <c r="I518">
        <f>SUMIF(Sales[Product Name],Inventory[[#This Row],[Product Name]],Sales[Quantity Sold])</f>
        <v>0</v>
      </c>
      <c r="J518">
        <f t="shared" si="15"/>
        <v>0</v>
      </c>
      <c r="N518">
        <f t="shared" si="16"/>
        <v>0</v>
      </c>
    </row>
    <row r="519" spans="4:14" ht="15">
      <c r="D519" s="26"/>
      <c r="E519" s="26"/>
      <c r="F519" t="str">
        <f ca="1">IF(Inventory[[#This Row],[Product Category]]="","",IF(E519&lt;TODAY(),"EXPIRED",
IF(E519&lt;=TODAY()+30,"&lt;30 DAYS",
IF(E519&lt;=TODAY()+60,"&lt;60 DAYS",IF(E519=0,"","")))))</f>
        <v/>
      </c>
      <c r="H519">
        <f>SUMIF(Purchases[Product ID],A519,Purchases[Quantity])</f>
        <v>0</v>
      </c>
      <c r="I519">
        <f>SUMIF(Sales[Product Name],Inventory[[#This Row],[Product Name]],Sales[Quantity Sold])</f>
        <v>0</v>
      </c>
      <c r="J519">
        <f t="shared" si="15"/>
        <v>0</v>
      </c>
      <c r="N519">
        <f t="shared" si="16"/>
        <v>0</v>
      </c>
    </row>
    <row r="520" spans="4:14" ht="15">
      <c r="D520" s="26"/>
      <c r="E520" s="26"/>
      <c r="F520" t="str">
        <f ca="1">IF(Inventory[[#This Row],[Product Category]]="","",IF(E520&lt;TODAY(),"EXPIRED",
IF(E520&lt;=TODAY()+30,"&lt;30 DAYS",
IF(E520&lt;=TODAY()+60,"&lt;60 DAYS",IF(E520=0,"","")))))</f>
        <v/>
      </c>
      <c r="H520">
        <f>SUMIF(Purchases[Product ID],A520,Purchases[Quantity])</f>
        <v>0</v>
      </c>
      <c r="I520">
        <f>SUMIF(Sales[Product Name],Inventory[[#This Row],[Product Name]],Sales[Quantity Sold])</f>
        <v>0</v>
      </c>
      <c r="J520">
        <f t="shared" ref="J520:J583" si="17">G520+H520-I520</f>
        <v>0</v>
      </c>
      <c r="N520">
        <f t="shared" ref="N520:N583" si="18">J520*L520</f>
        <v>0</v>
      </c>
    </row>
    <row r="521" spans="4:14" ht="15">
      <c r="D521" s="26"/>
      <c r="E521" s="26"/>
      <c r="F521" t="str">
        <f ca="1">IF(Inventory[[#This Row],[Product Category]]="","",IF(E521&lt;TODAY(),"EXPIRED",
IF(E521&lt;=TODAY()+30,"&lt;30 DAYS",
IF(E521&lt;=TODAY()+60,"&lt;60 DAYS",IF(E521=0,"","")))))</f>
        <v/>
      </c>
      <c r="H521">
        <f>SUMIF(Purchases[Product ID],A521,Purchases[Quantity])</f>
        <v>0</v>
      </c>
      <c r="I521">
        <f>SUMIF(Sales[Product Name],Inventory[[#This Row],[Product Name]],Sales[Quantity Sold])</f>
        <v>0</v>
      </c>
      <c r="J521">
        <f t="shared" si="17"/>
        <v>0</v>
      </c>
      <c r="N521">
        <f t="shared" si="18"/>
        <v>0</v>
      </c>
    </row>
    <row r="522" spans="4:14" ht="15">
      <c r="D522" s="26"/>
      <c r="E522" s="26"/>
      <c r="F522" t="str">
        <f ca="1">IF(Inventory[[#This Row],[Product Category]]="","",IF(E522&lt;TODAY(),"EXPIRED",
IF(E522&lt;=TODAY()+30,"&lt;30 DAYS",
IF(E522&lt;=TODAY()+60,"&lt;60 DAYS",IF(E522=0,"","")))))</f>
        <v/>
      </c>
      <c r="H522">
        <f>SUMIF(Purchases[Product ID],A522,Purchases[Quantity])</f>
        <v>0</v>
      </c>
      <c r="I522">
        <f>SUMIF(Sales[Product Name],Inventory[[#This Row],[Product Name]],Sales[Quantity Sold])</f>
        <v>0</v>
      </c>
      <c r="J522">
        <f t="shared" si="17"/>
        <v>0</v>
      </c>
      <c r="N522">
        <f t="shared" si="18"/>
        <v>0</v>
      </c>
    </row>
    <row r="523" spans="4:14" ht="15">
      <c r="D523" s="26"/>
      <c r="E523" s="26"/>
      <c r="F523" t="str">
        <f ca="1">IF(Inventory[[#This Row],[Product Category]]="","",IF(E523&lt;TODAY(),"EXPIRED",
IF(E523&lt;=TODAY()+30,"&lt;30 DAYS",
IF(E523&lt;=TODAY()+60,"&lt;60 DAYS",IF(E523=0,"","")))))</f>
        <v/>
      </c>
      <c r="H523">
        <f>SUMIF(Purchases[Product ID],A523,Purchases[Quantity])</f>
        <v>0</v>
      </c>
      <c r="I523">
        <f>SUMIF(Sales[Product Name],Inventory[[#This Row],[Product Name]],Sales[Quantity Sold])</f>
        <v>0</v>
      </c>
      <c r="J523">
        <f t="shared" si="17"/>
        <v>0</v>
      </c>
      <c r="N523">
        <f t="shared" si="18"/>
        <v>0</v>
      </c>
    </row>
    <row r="524" spans="4:14" ht="15">
      <c r="D524" s="26"/>
      <c r="E524" s="26"/>
      <c r="F524" t="str">
        <f ca="1">IF(Inventory[[#This Row],[Product Category]]="","",IF(E524&lt;TODAY(),"EXPIRED",
IF(E524&lt;=TODAY()+30,"&lt;30 DAYS",
IF(E524&lt;=TODAY()+60,"&lt;60 DAYS",IF(E524=0,"","")))))</f>
        <v/>
      </c>
      <c r="H524">
        <f>SUMIF(Purchases[Product ID],A524,Purchases[Quantity])</f>
        <v>0</v>
      </c>
      <c r="I524">
        <f>SUMIF(Sales[Product Name],Inventory[[#This Row],[Product Name]],Sales[Quantity Sold])</f>
        <v>0</v>
      </c>
      <c r="J524">
        <f t="shared" si="17"/>
        <v>0</v>
      </c>
      <c r="N524">
        <f t="shared" si="18"/>
        <v>0</v>
      </c>
    </row>
    <row r="525" spans="4:14" ht="15">
      <c r="D525" s="26"/>
      <c r="E525" s="26"/>
      <c r="F525" t="str">
        <f ca="1">IF(Inventory[[#This Row],[Product Category]]="","",IF(E525&lt;TODAY(),"EXPIRED",
IF(E525&lt;=TODAY()+30,"&lt;30 DAYS",
IF(E525&lt;=TODAY()+60,"&lt;60 DAYS",IF(E525=0,"","")))))</f>
        <v/>
      </c>
      <c r="H525">
        <f>SUMIF(Purchases[Product ID],A525,Purchases[Quantity])</f>
        <v>0</v>
      </c>
      <c r="I525">
        <f>SUMIF(Sales[Product Name],Inventory[[#This Row],[Product Name]],Sales[Quantity Sold])</f>
        <v>0</v>
      </c>
      <c r="J525">
        <f t="shared" si="17"/>
        <v>0</v>
      </c>
      <c r="N525">
        <f t="shared" si="18"/>
        <v>0</v>
      </c>
    </row>
    <row r="526" spans="4:14" ht="15">
      <c r="D526" s="26"/>
      <c r="E526" s="26"/>
      <c r="F526" t="str">
        <f ca="1">IF(Inventory[[#This Row],[Product Category]]="","",IF(E526&lt;TODAY(),"EXPIRED",
IF(E526&lt;=TODAY()+30,"&lt;30 DAYS",
IF(E526&lt;=TODAY()+60,"&lt;60 DAYS",IF(E526=0,"","")))))</f>
        <v/>
      </c>
      <c r="H526">
        <f>SUMIF(Purchases[Product ID],A526,Purchases[Quantity])</f>
        <v>0</v>
      </c>
      <c r="I526">
        <f>SUMIF(Sales[Product Name],Inventory[[#This Row],[Product Name]],Sales[Quantity Sold])</f>
        <v>0</v>
      </c>
      <c r="J526">
        <f t="shared" si="17"/>
        <v>0</v>
      </c>
      <c r="N526">
        <f t="shared" si="18"/>
        <v>0</v>
      </c>
    </row>
    <row r="527" spans="4:14" ht="15">
      <c r="D527" s="26"/>
      <c r="E527" s="26"/>
      <c r="F527" t="str">
        <f ca="1">IF(Inventory[[#This Row],[Product Category]]="","",IF(E527&lt;TODAY(),"EXPIRED",
IF(E527&lt;=TODAY()+30,"&lt;30 DAYS",
IF(E527&lt;=TODAY()+60,"&lt;60 DAYS",IF(E527=0,"","")))))</f>
        <v/>
      </c>
      <c r="H527">
        <f>SUMIF(Purchases[Product ID],A527,Purchases[Quantity])</f>
        <v>0</v>
      </c>
      <c r="I527">
        <f>SUMIF(Sales[Product Name],Inventory[[#This Row],[Product Name]],Sales[Quantity Sold])</f>
        <v>0</v>
      </c>
      <c r="J527">
        <f t="shared" si="17"/>
        <v>0</v>
      </c>
      <c r="N527">
        <f t="shared" si="18"/>
        <v>0</v>
      </c>
    </row>
    <row r="528" spans="4:14" ht="15">
      <c r="D528" s="26"/>
      <c r="E528" s="26"/>
      <c r="F528" t="str">
        <f ca="1">IF(Inventory[[#This Row],[Product Category]]="","",IF(E528&lt;TODAY(),"EXPIRED",
IF(E528&lt;=TODAY()+30,"&lt;30 DAYS",
IF(E528&lt;=TODAY()+60,"&lt;60 DAYS",IF(E528=0,"","")))))</f>
        <v/>
      </c>
      <c r="H528">
        <f>SUMIF(Purchases[Product ID],A528,Purchases[Quantity])</f>
        <v>0</v>
      </c>
      <c r="I528">
        <f>SUMIF(Sales[Product Name],Inventory[[#This Row],[Product Name]],Sales[Quantity Sold])</f>
        <v>0</v>
      </c>
      <c r="J528">
        <f t="shared" si="17"/>
        <v>0</v>
      </c>
      <c r="N528">
        <f t="shared" si="18"/>
        <v>0</v>
      </c>
    </row>
    <row r="529" spans="4:14" ht="15">
      <c r="D529" s="26"/>
      <c r="E529" s="26"/>
      <c r="F529" t="str">
        <f ca="1">IF(Inventory[[#This Row],[Product Category]]="","",IF(E529&lt;TODAY(),"EXPIRED",
IF(E529&lt;=TODAY()+30,"&lt;30 DAYS",
IF(E529&lt;=TODAY()+60,"&lt;60 DAYS",IF(E529=0,"","")))))</f>
        <v/>
      </c>
      <c r="H529">
        <f>SUMIF(Purchases[Product ID],A529,Purchases[Quantity])</f>
        <v>0</v>
      </c>
      <c r="I529">
        <f>SUMIF(Sales[Product Name],Inventory[[#This Row],[Product Name]],Sales[Quantity Sold])</f>
        <v>0</v>
      </c>
      <c r="J529">
        <f t="shared" si="17"/>
        <v>0</v>
      </c>
      <c r="N529">
        <f t="shared" si="18"/>
        <v>0</v>
      </c>
    </row>
    <row r="530" spans="4:14" ht="15">
      <c r="D530" s="26"/>
      <c r="E530" s="26"/>
      <c r="F530" t="str">
        <f ca="1">IF(Inventory[[#This Row],[Product Category]]="","",IF(E530&lt;TODAY(),"EXPIRED",
IF(E530&lt;=TODAY()+30,"&lt;30 DAYS",
IF(E530&lt;=TODAY()+60,"&lt;60 DAYS",IF(E530=0,"","")))))</f>
        <v/>
      </c>
      <c r="H530">
        <f>SUMIF(Purchases[Product ID],A530,Purchases[Quantity])</f>
        <v>0</v>
      </c>
      <c r="I530">
        <f>SUMIF(Sales[Product Name],Inventory[[#This Row],[Product Name]],Sales[Quantity Sold])</f>
        <v>0</v>
      </c>
      <c r="J530">
        <f t="shared" si="17"/>
        <v>0</v>
      </c>
      <c r="N530">
        <f t="shared" si="18"/>
        <v>0</v>
      </c>
    </row>
    <row r="531" spans="4:14" ht="15">
      <c r="D531" s="26"/>
      <c r="E531" s="26"/>
      <c r="F531" t="str">
        <f ca="1">IF(Inventory[[#This Row],[Product Category]]="","",IF(E531&lt;TODAY(),"EXPIRED",
IF(E531&lt;=TODAY()+30,"&lt;30 DAYS",
IF(E531&lt;=TODAY()+60,"&lt;60 DAYS",IF(E531=0,"","")))))</f>
        <v/>
      </c>
      <c r="H531">
        <f>SUMIF(Purchases[Product ID],A531,Purchases[Quantity])</f>
        <v>0</v>
      </c>
      <c r="I531">
        <f>SUMIF(Sales[Product Name],Inventory[[#This Row],[Product Name]],Sales[Quantity Sold])</f>
        <v>0</v>
      </c>
      <c r="J531">
        <f t="shared" si="17"/>
        <v>0</v>
      </c>
      <c r="N531">
        <f t="shared" si="18"/>
        <v>0</v>
      </c>
    </row>
    <row r="532" spans="4:14" ht="15">
      <c r="D532" s="26"/>
      <c r="E532" s="26"/>
      <c r="F532" t="str">
        <f ca="1">IF(Inventory[[#This Row],[Product Category]]="","",IF(E532&lt;TODAY(),"EXPIRED",
IF(E532&lt;=TODAY()+30,"&lt;30 DAYS",
IF(E532&lt;=TODAY()+60,"&lt;60 DAYS",IF(E532=0,"","")))))</f>
        <v/>
      </c>
      <c r="H532">
        <f>SUMIF(Purchases[Product ID],A532,Purchases[Quantity])</f>
        <v>0</v>
      </c>
      <c r="I532">
        <f>SUMIF(Sales[Product Name],Inventory[[#This Row],[Product Name]],Sales[Quantity Sold])</f>
        <v>0</v>
      </c>
      <c r="J532">
        <f t="shared" si="17"/>
        <v>0</v>
      </c>
      <c r="N532">
        <f t="shared" si="18"/>
        <v>0</v>
      </c>
    </row>
    <row r="533" spans="4:14" ht="15">
      <c r="D533" s="26"/>
      <c r="E533" s="26"/>
      <c r="F533" t="str">
        <f ca="1">IF(Inventory[[#This Row],[Product Category]]="","",IF(E533&lt;TODAY(),"EXPIRED",
IF(E533&lt;=TODAY()+30,"&lt;30 DAYS",
IF(E533&lt;=TODAY()+60,"&lt;60 DAYS",IF(E533=0,"","")))))</f>
        <v/>
      </c>
      <c r="H533">
        <f>SUMIF(Purchases[Product ID],A533,Purchases[Quantity])</f>
        <v>0</v>
      </c>
      <c r="I533">
        <f>SUMIF(Sales[Product Name],Inventory[[#This Row],[Product Name]],Sales[Quantity Sold])</f>
        <v>0</v>
      </c>
      <c r="J533">
        <f t="shared" si="17"/>
        <v>0</v>
      </c>
      <c r="N533">
        <f t="shared" si="18"/>
        <v>0</v>
      </c>
    </row>
    <row r="534" spans="4:14" ht="15">
      <c r="D534" s="26"/>
      <c r="E534" s="26"/>
      <c r="F534" t="str">
        <f ca="1">IF(Inventory[[#This Row],[Product Category]]="","",IF(E534&lt;TODAY(),"EXPIRED",
IF(E534&lt;=TODAY()+30,"&lt;30 DAYS",
IF(E534&lt;=TODAY()+60,"&lt;60 DAYS",IF(E534=0,"","")))))</f>
        <v/>
      </c>
      <c r="H534">
        <f>SUMIF(Purchases[Product ID],A534,Purchases[Quantity])</f>
        <v>0</v>
      </c>
      <c r="I534">
        <f>SUMIF(Sales[Product Name],Inventory[[#This Row],[Product Name]],Sales[Quantity Sold])</f>
        <v>0</v>
      </c>
      <c r="J534">
        <f t="shared" si="17"/>
        <v>0</v>
      </c>
      <c r="N534">
        <f t="shared" si="18"/>
        <v>0</v>
      </c>
    </row>
    <row r="535" spans="4:14" ht="15">
      <c r="D535" s="26"/>
      <c r="E535" s="26"/>
      <c r="F535" t="str">
        <f ca="1">IF(Inventory[[#This Row],[Product Category]]="","",IF(E535&lt;TODAY(),"EXPIRED",
IF(E535&lt;=TODAY()+30,"&lt;30 DAYS",
IF(E535&lt;=TODAY()+60,"&lt;60 DAYS",IF(E535=0,"","")))))</f>
        <v/>
      </c>
      <c r="H535">
        <f>SUMIF(Purchases[Product ID],A535,Purchases[Quantity])</f>
        <v>0</v>
      </c>
      <c r="I535">
        <f>SUMIF(Sales[Product Name],Inventory[[#This Row],[Product Name]],Sales[Quantity Sold])</f>
        <v>0</v>
      </c>
      <c r="J535">
        <f t="shared" si="17"/>
        <v>0</v>
      </c>
      <c r="N535">
        <f t="shared" si="18"/>
        <v>0</v>
      </c>
    </row>
    <row r="536" spans="4:14" ht="15">
      <c r="D536" s="26"/>
      <c r="E536" s="26"/>
      <c r="F536" t="str">
        <f ca="1">IF(Inventory[[#This Row],[Product Category]]="","",IF(E536&lt;TODAY(),"EXPIRED",
IF(E536&lt;=TODAY()+30,"&lt;30 DAYS",
IF(E536&lt;=TODAY()+60,"&lt;60 DAYS",IF(E536=0,"","")))))</f>
        <v/>
      </c>
      <c r="H536">
        <f>SUMIF(Purchases[Product ID],A536,Purchases[Quantity])</f>
        <v>0</v>
      </c>
      <c r="I536">
        <f>SUMIF(Sales[Product Name],Inventory[[#This Row],[Product Name]],Sales[Quantity Sold])</f>
        <v>0</v>
      </c>
      <c r="J536">
        <f t="shared" si="17"/>
        <v>0</v>
      </c>
      <c r="N536">
        <f t="shared" si="18"/>
        <v>0</v>
      </c>
    </row>
    <row r="537" spans="4:14" ht="15">
      <c r="D537" s="26"/>
      <c r="E537" s="26"/>
      <c r="F537" t="str">
        <f ca="1">IF(Inventory[[#This Row],[Product Category]]="","",IF(E537&lt;TODAY(),"EXPIRED",
IF(E537&lt;=TODAY()+30,"&lt;30 DAYS",
IF(E537&lt;=TODAY()+60,"&lt;60 DAYS",IF(E537=0,"","")))))</f>
        <v/>
      </c>
      <c r="H537">
        <f>SUMIF(Purchases[Product ID],A537,Purchases[Quantity])</f>
        <v>0</v>
      </c>
      <c r="I537">
        <f>SUMIF(Sales[Product Name],Inventory[[#This Row],[Product Name]],Sales[Quantity Sold])</f>
        <v>0</v>
      </c>
      <c r="J537">
        <f t="shared" si="17"/>
        <v>0</v>
      </c>
      <c r="N537">
        <f t="shared" si="18"/>
        <v>0</v>
      </c>
    </row>
    <row r="538" spans="4:14" ht="15">
      <c r="D538" s="26"/>
      <c r="E538" s="26"/>
      <c r="F538" t="str">
        <f ca="1">IF(Inventory[[#This Row],[Product Category]]="","",IF(E538&lt;TODAY(),"EXPIRED",
IF(E538&lt;=TODAY()+30,"&lt;30 DAYS",
IF(E538&lt;=TODAY()+60,"&lt;60 DAYS",IF(E538=0,"","")))))</f>
        <v/>
      </c>
      <c r="H538">
        <f>SUMIF(Purchases[Product ID],A538,Purchases[Quantity])</f>
        <v>0</v>
      </c>
      <c r="I538">
        <f>SUMIF(Sales[Product Name],Inventory[[#This Row],[Product Name]],Sales[Quantity Sold])</f>
        <v>0</v>
      </c>
      <c r="J538">
        <f t="shared" si="17"/>
        <v>0</v>
      </c>
      <c r="N538">
        <f t="shared" si="18"/>
        <v>0</v>
      </c>
    </row>
    <row r="539" spans="4:14" ht="15">
      <c r="D539" s="26"/>
      <c r="E539" s="26"/>
      <c r="F539" t="str">
        <f ca="1">IF(Inventory[[#This Row],[Product Category]]="","",IF(E539&lt;TODAY(),"EXPIRED",
IF(E539&lt;=TODAY()+30,"&lt;30 DAYS",
IF(E539&lt;=TODAY()+60,"&lt;60 DAYS",IF(E539=0,"","")))))</f>
        <v/>
      </c>
      <c r="H539">
        <f>SUMIF(Purchases[Product ID],A539,Purchases[Quantity])</f>
        <v>0</v>
      </c>
      <c r="I539">
        <f>SUMIF(Sales[Product Name],Inventory[[#This Row],[Product Name]],Sales[Quantity Sold])</f>
        <v>0</v>
      </c>
      <c r="J539">
        <f t="shared" si="17"/>
        <v>0</v>
      </c>
      <c r="N539">
        <f t="shared" si="18"/>
        <v>0</v>
      </c>
    </row>
    <row r="540" spans="4:14" ht="15">
      <c r="D540" s="26"/>
      <c r="E540" s="26"/>
      <c r="F540" t="str">
        <f ca="1">IF(Inventory[[#This Row],[Product Category]]="","",IF(E540&lt;TODAY(),"EXPIRED",
IF(E540&lt;=TODAY()+30,"&lt;30 DAYS",
IF(E540&lt;=TODAY()+60,"&lt;60 DAYS",IF(E540=0,"","")))))</f>
        <v/>
      </c>
      <c r="H540">
        <f>SUMIF(Purchases[Product ID],A540,Purchases[Quantity])</f>
        <v>0</v>
      </c>
      <c r="I540">
        <f>SUMIF(Sales[Product Name],Inventory[[#This Row],[Product Name]],Sales[Quantity Sold])</f>
        <v>0</v>
      </c>
      <c r="J540">
        <f t="shared" si="17"/>
        <v>0</v>
      </c>
      <c r="N540">
        <f t="shared" si="18"/>
        <v>0</v>
      </c>
    </row>
    <row r="541" spans="4:14" ht="15">
      <c r="D541" s="26"/>
      <c r="E541" s="26"/>
      <c r="F541" t="str">
        <f ca="1">IF(Inventory[[#This Row],[Product Category]]="","",IF(E541&lt;TODAY(),"EXPIRED",
IF(E541&lt;=TODAY()+30,"&lt;30 DAYS",
IF(E541&lt;=TODAY()+60,"&lt;60 DAYS",IF(E541=0,"","")))))</f>
        <v/>
      </c>
      <c r="H541">
        <f>SUMIF(Purchases[Product ID],A541,Purchases[Quantity])</f>
        <v>0</v>
      </c>
      <c r="I541">
        <f>SUMIF(Sales[Product Name],Inventory[[#This Row],[Product Name]],Sales[Quantity Sold])</f>
        <v>0</v>
      </c>
      <c r="J541">
        <f t="shared" si="17"/>
        <v>0</v>
      </c>
      <c r="N541">
        <f t="shared" si="18"/>
        <v>0</v>
      </c>
    </row>
    <row r="542" spans="4:14" ht="15">
      <c r="D542" s="26"/>
      <c r="E542" s="26"/>
      <c r="F542" t="str">
        <f ca="1">IF(Inventory[[#This Row],[Product Category]]="","",IF(E542&lt;TODAY(),"EXPIRED",
IF(E542&lt;=TODAY()+30,"&lt;30 DAYS",
IF(E542&lt;=TODAY()+60,"&lt;60 DAYS",IF(E542=0,"","")))))</f>
        <v/>
      </c>
      <c r="H542">
        <f>SUMIF(Purchases[Product ID],A542,Purchases[Quantity])</f>
        <v>0</v>
      </c>
      <c r="I542">
        <f>SUMIF(Sales[Product Name],Inventory[[#This Row],[Product Name]],Sales[Quantity Sold])</f>
        <v>0</v>
      </c>
      <c r="J542">
        <f t="shared" si="17"/>
        <v>0</v>
      </c>
      <c r="N542">
        <f t="shared" si="18"/>
        <v>0</v>
      </c>
    </row>
    <row r="543" spans="4:14" ht="15">
      <c r="D543" s="26"/>
      <c r="E543" s="26"/>
      <c r="F543" t="str">
        <f ca="1">IF(Inventory[[#This Row],[Product Category]]="","",IF(E543&lt;TODAY(),"EXPIRED",
IF(E543&lt;=TODAY()+30,"&lt;30 DAYS",
IF(E543&lt;=TODAY()+60,"&lt;60 DAYS",IF(E543=0,"","")))))</f>
        <v/>
      </c>
      <c r="H543">
        <f>SUMIF(Purchases[Product ID],A543,Purchases[Quantity])</f>
        <v>0</v>
      </c>
      <c r="I543">
        <f>SUMIF(Sales[Product Name],Inventory[[#This Row],[Product Name]],Sales[Quantity Sold])</f>
        <v>0</v>
      </c>
      <c r="J543">
        <f t="shared" si="17"/>
        <v>0</v>
      </c>
      <c r="N543">
        <f t="shared" si="18"/>
        <v>0</v>
      </c>
    </row>
    <row r="544" spans="4:14" ht="15">
      <c r="D544" s="26"/>
      <c r="E544" s="26"/>
      <c r="F544" t="str">
        <f ca="1">IF(Inventory[[#This Row],[Product Category]]="","",IF(E544&lt;TODAY(),"EXPIRED",
IF(E544&lt;=TODAY()+30,"&lt;30 DAYS",
IF(E544&lt;=TODAY()+60,"&lt;60 DAYS",IF(E544=0,"","")))))</f>
        <v/>
      </c>
      <c r="H544">
        <f>SUMIF(Purchases[Product ID],A544,Purchases[Quantity])</f>
        <v>0</v>
      </c>
      <c r="I544">
        <f>SUMIF(Sales[Product Name],Inventory[[#This Row],[Product Name]],Sales[Quantity Sold])</f>
        <v>0</v>
      </c>
      <c r="J544">
        <f t="shared" si="17"/>
        <v>0</v>
      </c>
      <c r="N544">
        <f t="shared" si="18"/>
        <v>0</v>
      </c>
    </row>
    <row r="545" spans="4:14" ht="15">
      <c r="D545" s="26"/>
      <c r="E545" s="26"/>
      <c r="F545" t="str">
        <f ca="1">IF(Inventory[[#This Row],[Product Category]]="","",IF(E545&lt;TODAY(),"EXPIRED",
IF(E545&lt;=TODAY()+30,"&lt;30 DAYS",
IF(E545&lt;=TODAY()+60,"&lt;60 DAYS",IF(E545=0,"","")))))</f>
        <v/>
      </c>
      <c r="H545">
        <f>SUMIF(Purchases[Product ID],A545,Purchases[Quantity])</f>
        <v>0</v>
      </c>
      <c r="I545">
        <f>SUMIF(Sales[Product Name],Inventory[[#This Row],[Product Name]],Sales[Quantity Sold])</f>
        <v>0</v>
      </c>
      <c r="J545">
        <f t="shared" si="17"/>
        <v>0</v>
      </c>
      <c r="N545">
        <f t="shared" si="18"/>
        <v>0</v>
      </c>
    </row>
    <row r="546" spans="4:14" ht="15">
      <c r="D546" s="26"/>
      <c r="E546" s="26"/>
      <c r="F546" t="str">
        <f ca="1">IF(Inventory[[#This Row],[Product Category]]="","",IF(E546&lt;TODAY(),"EXPIRED",
IF(E546&lt;=TODAY()+30,"&lt;30 DAYS",
IF(E546&lt;=TODAY()+60,"&lt;60 DAYS",IF(E546=0,"","")))))</f>
        <v/>
      </c>
      <c r="H546">
        <f>SUMIF(Purchases[Product ID],A546,Purchases[Quantity])</f>
        <v>0</v>
      </c>
      <c r="I546">
        <f>SUMIF(Sales[Product Name],Inventory[[#This Row],[Product Name]],Sales[Quantity Sold])</f>
        <v>0</v>
      </c>
      <c r="J546">
        <f t="shared" si="17"/>
        <v>0</v>
      </c>
      <c r="N546">
        <f t="shared" si="18"/>
        <v>0</v>
      </c>
    </row>
    <row r="547" spans="4:14" ht="15">
      <c r="D547" s="26"/>
      <c r="E547" s="26"/>
      <c r="F547" t="str">
        <f ca="1">IF(Inventory[[#This Row],[Product Category]]="","",IF(E547&lt;TODAY(),"EXPIRED",
IF(E547&lt;=TODAY()+30,"&lt;30 DAYS",
IF(E547&lt;=TODAY()+60,"&lt;60 DAYS",IF(E547=0,"","")))))</f>
        <v/>
      </c>
      <c r="H547">
        <f>SUMIF(Purchases[Product ID],A547,Purchases[Quantity])</f>
        <v>0</v>
      </c>
      <c r="I547">
        <f>SUMIF(Sales[Product Name],Inventory[[#This Row],[Product Name]],Sales[Quantity Sold])</f>
        <v>0</v>
      </c>
      <c r="J547">
        <f t="shared" si="17"/>
        <v>0</v>
      </c>
      <c r="N547">
        <f t="shared" si="18"/>
        <v>0</v>
      </c>
    </row>
    <row r="548" spans="4:14" ht="15">
      <c r="D548" s="26"/>
      <c r="E548" s="26"/>
      <c r="F548" t="str">
        <f ca="1">IF(Inventory[[#This Row],[Product Category]]="","",IF(E548&lt;TODAY(),"EXPIRED",
IF(E548&lt;=TODAY()+30,"&lt;30 DAYS",
IF(E548&lt;=TODAY()+60,"&lt;60 DAYS",IF(E548=0,"","")))))</f>
        <v/>
      </c>
      <c r="H548">
        <f>SUMIF(Purchases[Product ID],A548,Purchases[Quantity])</f>
        <v>0</v>
      </c>
      <c r="I548">
        <f>SUMIF(Sales[Product Name],Inventory[[#This Row],[Product Name]],Sales[Quantity Sold])</f>
        <v>0</v>
      </c>
      <c r="J548">
        <f t="shared" si="17"/>
        <v>0</v>
      </c>
      <c r="N548">
        <f t="shared" si="18"/>
        <v>0</v>
      </c>
    </row>
    <row r="549" spans="4:14" ht="15">
      <c r="D549" s="26"/>
      <c r="E549" s="26"/>
      <c r="F549" t="str">
        <f ca="1">IF(Inventory[[#This Row],[Product Category]]="","",IF(E549&lt;TODAY(),"EXPIRED",
IF(E549&lt;=TODAY()+30,"&lt;30 DAYS",
IF(E549&lt;=TODAY()+60,"&lt;60 DAYS",IF(E549=0,"","")))))</f>
        <v/>
      </c>
      <c r="H549">
        <f>SUMIF(Purchases[Product ID],A549,Purchases[Quantity])</f>
        <v>0</v>
      </c>
      <c r="I549">
        <f>SUMIF(Sales[Product Name],Inventory[[#This Row],[Product Name]],Sales[Quantity Sold])</f>
        <v>0</v>
      </c>
      <c r="J549">
        <f t="shared" si="17"/>
        <v>0</v>
      </c>
      <c r="N549">
        <f t="shared" si="18"/>
        <v>0</v>
      </c>
    </row>
    <row r="550" spans="4:14" ht="15">
      <c r="D550" s="26"/>
      <c r="E550" s="26"/>
      <c r="F550" t="str">
        <f ca="1">IF(Inventory[[#This Row],[Product Category]]="","",IF(E550&lt;TODAY(),"EXPIRED",
IF(E550&lt;=TODAY()+30,"&lt;30 DAYS",
IF(E550&lt;=TODAY()+60,"&lt;60 DAYS",IF(E550=0,"","")))))</f>
        <v/>
      </c>
      <c r="H550">
        <f>SUMIF(Purchases[Product ID],A550,Purchases[Quantity])</f>
        <v>0</v>
      </c>
      <c r="I550">
        <f>SUMIF(Sales[Product Name],Inventory[[#This Row],[Product Name]],Sales[Quantity Sold])</f>
        <v>0</v>
      </c>
      <c r="J550">
        <f t="shared" si="17"/>
        <v>0</v>
      </c>
      <c r="N550">
        <f t="shared" si="18"/>
        <v>0</v>
      </c>
    </row>
    <row r="551" spans="4:14" ht="15">
      <c r="D551" s="26"/>
      <c r="E551" s="26"/>
      <c r="F551" t="str">
        <f ca="1">IF(Inventory[[#This Row],[Product Category]]="","",IF(E551&lt;TODAY(),"EXPIRED",
IF(E551&lt;=TODAY()+30,"&lt;30 DAYS",
IF(E551&lt;=TODAY()+60,"&lt;60 DAYS",IF(E551=0,"","")))))</f>
        <v/>
      </c>
      <c r="H551">
        <f>SUMIF(Purchases[Product ID],A551,Purchases[Quantity])</f>
        <v>0</v>
      </c>
      <c r="I551">
        <f>SUMIF(Sales[Product Name],Inventory[[#This Row],[Product Name]],Sales[Quantity Sold])</f>
        <v>0</v>
      </c>
      <c r="J551">
        <f t="shared" si="17"/>
        <v>0</v>
      </c>
      <c r="N551">
        <f t="shared" si="18"/>
        <v>0</v>
      </c>
    </row>
    <row r="552" spans="4:14" ht="15">
      <c r="D552" s="26"/>
      <c r="E552" s="26"/>
      <c r="F552" t="str">
        <f ca="1">IF(Inventory[[#This Row],[Product Category]]="","",IF(E552&lt;TODAY(),"EXPIRED",
IF(E552&lt;=TODAY()+30,"&lt;30 DAYS",
IF(E552&lt;=TODAY()+60,"&lt;60 DAYS",IF(E552=0,"","")))))</f>
        <v/>
      </c>
      <c r="H552">
        <f>SUMIF(Purchases[Product ID],A552,Purchases[Quantity])</f>
        <v>0</v>
      </c>
      <c r="I552">
        <f>SUMIF(Sales[Product Name],Inventory[[#This Row],[Product Name]],Sales[Quantity Sold])</f>
        <v>0</v>
      </c>
      <c r="J552">
        <f t="shared" si="17"/>
        <v>0</v>
      </c>
      <c r="N552">
        <f t="shared" si="18"/>
        <v>0</v>
      </c>
    </row>
    <row r="553" spans="4:14" ht="15">
      <c r="D553" s="26"/>
      <c r="E553" s="26"/>
      <c r="F553" t="str">
        <f ca="1">IF(Inventory[[#This Row],[Product Category]]="","",IF(E553&lt;TODAY(),"EXPIRED",
IF(E553&lt;=TODAY()+30,"&lt;30 DAYS",
IF(E553&lt;=TODAY()+60,"&lt;60 DAYS",IF(E553=0,"","")))))</f>
        <v/>
      </c>
      <c r="H553">
        <f>SUMIF(Purchases[Product ID],A553,Purchases[Quantity])</f>
        <v>0</v>
      </c>
      <c r="I553">
        <f>SUMIF(Sales[Product Name],Inventory[[#This Row],[Product Name]],Sales[Quantity Sold])</f>
        <v>0</v>
      </c>
      <c r="J553">
        <f t="shared" si="17"/>
        <v>0</v>
      </c>
      <c r="N553">
        <f t="shared" si="18"/>
        <v>0</v>
      </c>
    </row>
    <row r="554" spans="4:14" ht="15">
      <c r="D554" s="26"/>
      <c r="E554" s="26"/>
      <c r="F554" t="str">
        <f ca="1">IF(Inventory[[#This Row],[Product Category]]="","",IF(E554&lt;TODAY(),"EXPIRED",
IF(E554&lt;=TODAY()+30,"&lt;30 DAYS",
IF(E554&lt;=TODAY()+60,"&lt;60 DAYS",IF(E554=0,"","")))))</f>
        <v/>
      </c>
      <c r="H554">
        <f>SUMIF(Purchases[Product ID],A554,Purchases[Quantity])</f>
        <v>0</v>
      </c>
      <c r="I554">
        <f>SUMIF(Sales[Product Name],Inventory[[#This Row],[Product Name]],Sales[Quantity Sold])</f>
        <v>0</v>
      </c>
      <c r="J554">
        <f t="shared" si="17"/>
        <v>0</v>
      </c>
      <c r="N554">
        <f t="shared" si="18"/>
        <v>0</v>
      </c>
    </row>
    <row r="555" spans="4:14" ht="15">
      <c r="D555" s="26"/>
      <c r="E555" s="26"/>
      <c r="F555" t="str">
        <f ca="1">IF(Inventory[[#This Row],[Product Category]]="","",IF(E555&lt;TODAY(),"EXPIRED",
IF(E555&lt;=TODAY()+30,"&lt;30 DAYS",
IF(E555&lt;=TODAY()+60,"&lt;60 DAYS",IF(E555=0,"","")))))</f>
        <v/>
      </c>
      <c r="H555">
        <f>SUMIF(Purchases[Product ID],A555,Purchases[Quantity])</f>
        <v>0</v>
      </c>
      <c r="I555">
        <f>SUMIF(Sales[Product Name],Inventory[[#This Row],[Product Name]],Sales[Quantity Sold])</f>
        <v>0</v>
      </c>
      <c r="J555">
        <f t="shared" si="17"/>
        <v>0</v>
      </c>
      <c r="N555">
        <f t="shared" si="18"/>
        <v>0</v>
      </c>
    </row>
    <row r="556" spans="4:14" ht="15">
      <c r="D556" s="26"/>
      <c r="E556" s="26"/>
      <c r="F556" t="str">
        <f ca="1">IF(Inventory[[#This Row],[Product Category]]="","",IF(E556&lt;TODAY(),"EXPIRED",
IF(E556&lt;=TODAY()+30,"&lt;30 DAYS",
IF(E556&lt;=TODAY()+60,"&lt;60 DAYS",IF(E556=0,"","")))))</f>
        <v/>
      </c>
      <c r="H556">
        <f>SUMIF(Purchases[Product ID],A556,Purchases[Quantity])</f>
        <v>0</v>
      </c>
      <c r="I556">
        <f>SUMIF(Sales[Product Name],Inventory[[#This Row],[Product Name]],Sales[Quantity Sold])</f>
        <v>0</v>
      </c>
      <c r="J556">
        <f t="shared" si="17"/>
        <v>0</v>
      </c>
      <c r="N556">
        <f t="shared" si="18"/>
        <v>0</v>
      </c>
    </row>
    <row r="557" spans="4:14" ht="15">
      <c r="D557" s="26"/>
      <c r="E557" s="26"/>
      <c r="F557" t="str">
        <f ca="1">IF(Inventory[[#This Row],[Product Category]]="","",IF(E557&lt;TODAY(),"EXPIRED",
IF(E557&lt;=TODAY()+30,"&lt;30 DAYS",
IF(E557&lt;=TODAY()+60,"&lt;60 DAYS",IF(E557=0,"","")))))</f>
        <v/>
      </c>
      <c r="H557">
        <f>SUMIF(Purchases[Product ID],A557,Purchases[Quantity])</f>
        <v>0</v>
      </c>
      <c r="I557">
        <f>SUMIF(Sales[Product Name],Inventory[[#This Row],[Product Name]],Sales[Quantity Sold])</f>
        <v>0</v>
      </c>
      <c r="J557">
        <f t="shared" si="17"/>
        <v>0</v>
      </c>
      <c r="N557">
        <f t="shared" si="18"/>
        <v>0</v>
      </c>
    </row>
    <row r="558" spans="4:14" ht="15">
      <c r="D558" s="26"/>
      <c r="E558" s="26"/>
      <c r="F558" t="str">
        <f ca="1">IF(Inventory[[#This Row],[Product Category]]="","",IF(E558&lt;TODAY(),"EXPIRED",
IF(E558&lt;=TODAY()+30,"&lt;30 DAYS",
IF(E558&lt;=TODAY()+60,"&lt;60 DAYS",IF(E558=0,"","")))))</f>
        <v/>
      </c>
      <c r="H558">
        <f>SUMIF(Purchases[Product ID],A558,Purchases[Quantity])</f>
        <v>0</v>
      </c>
      <c r="I558">
        <f>SUMIF(Sales[Product Name],Inventory[[#This Row],[Product Name]],Sales[Quantity Sold])</f>
        <v>0</v>
      </c>
      <c r="J558">
        <f t="shared" si="17"/>
        <v>0</v>
      </c>
      <c r="N558">
        <f t="shared" si="18"/>
        <v>0</v>
      </c>
    </row>
    <row r="559" spans="4:14" ht="15">
      <c r="D559" s="26"/>
      <c r="E559" s="26"/>
      <c r="F559" t="str">
        <f ca="1">IF(Inventory[[#This Row],[Product Category]]="","",IF(E559&lt;TODAY(),"EXPIRED",
IF(E559&lt;=TODAY()+30,"&lt;30 DAYS",
IF(E559&lt;=TODAY()+60,"&lt;60 DAYS",IF(E559=0,"","")))))</f>
        <v/>
      </c>
      <c r="H559">
        <f>SUMIF(Purchases[Product ID],A559,Purchases[Quantity])</f>
        <v>0</v>
      </c>
      <c r="I559">
        <f>SUMIF(Sales[Product Name],Inventory[[#This Row],[Product Name]],Sales[Quantity Sold])</f>
        <v>0</v>
      </c>
      <c r="J559">
        <f t="shared" si="17"/>
        <v>0</v>
      </c>
      <c r="N559">
        <f t="shared" si="18"/>
        <v>0</v>
      </c>
    </row>
    <row r="560" spans="4:14" ht="15">
      <c r="D560" s="26"/>
      <c r="E560" s="26"/>
      <c r="F560" t="str">
        <f ca="1">IF(Inventory[[#This Row],[Product Category]]="","",IF(E560&lt;TODAY(),"EXPIRED",
IF(E560&lt;=TODAY()+30,"&lt;30 DAYS",
IF(E560&lt;=TODAY()+60,"&lt;60 DAYS",IF(E560=0,"","")))))</f>
        <v/>
      </c>
      <c r="H560">
        <f>SUMIF(Purchases[Product ID],A560,Purchases[Quantity])</f>
        <v>0</v>
      </c>
      <c r="I560">
        <f>SUMIF(Sales[Product Name],Inventory[[#This Row],[Product Name]],Sales[Quantity Sold])</f>
        <v>0</v>
      </c>
      <c r="J560">
        <f t="shared" si="17"/>
        <v>0</v>
      </c>
      <c r="N560">
        <f t="shared" si="18"/>
        <v>0</v>
      </c>
    </row>
    <row r="561" spans="4:14" ht="15">
      <c r="D561" s="26"/>
      <c r="E561" s="26"/>
      <c r="F561" t="str">
        <f ca="1">IF(Inventory[[#This Row],[Product Category]]="","",IF(E561&lt;TODAY(),"EXPIRED",
IF(E561&lt;=TODAY()+30,"&lt;30 DAYS",
IF(E561&lt;=TODAY()+60,"&lt;60 DAYS",IF(E561=0,"","")))))</f>
        <v/>
      </c>
      <c r="H561">
        <f>SUMIF(Purchases[Product ID],A561,Purchases[Quantity])</f>
        <v>0</v>
      </c>
      <c r="I561">
        <f>SUMIF(Sales[Product Name],Inventory[[#This Row],[Product Name]],Sales[Quantity Sold])</f>
        <v>0</v>
      </c>
      <c r="J561">
        <f t="shared" si="17"/>
        <v>0</v>
      </c>
      <c r="N561">
        <f t="shared" si="18"/>
        <v>0</v>
      </c>
    </row>
    <row r="562" spans="4:14" ht="15">
      <c r="D562" s="26"/>
      <c r="E562" s="26"/>
      <c r="F562" t="str">
        <f ca="1">IF(Inventory[[#This Row],[Product Category]]="","",IF(E562&lt;TODAY(),"EXPIRED",
IF(E562&lt;=TODAY()+30,"&lt;30 DAYS",
IF(E562&lt;=TODAY()+60,"&lt;60 DAYS",IF(E562=0,"","")))))</f>
        <v/>
      </c>
      <c r="H562">
        <f>SUMIF(Purchases[Product ID],A562,Purchases[Quantity])</f>
        <v>0</v>
      </c>
      <c r="I562">
        <f>SUMIF(Sales[Product Name],Inventory[[#This Row],[Product Name]],Sales[Quantity Sold])</f>
        <v>0</v>
      </c>
      <c r="J562">
        <f t="shared" si="17"/>
        <v>0</v>
      </c>
      <c r="N562">
        <f t="shared" si="18"/>
        <v>0</v>
      </c>
    </row>
    <row r="563" spans="4:14" ht="15">
      <c r="D563" s="26"/>
      <c r="E563" s="26"/>
      <c r="F563" t="str">
        <f ca="1">IF(Inventory[[#This Row],[Product Category]]="","",IF(E563&lt;TODAY(),"EXPIRED",
IF(E563&lt;=TODAY()+30,"&lt;30 DAYS",
IF(E563&lt;=TODAY()+60,"&lt;60 DAYS",IF(E563=0,"","")))))</f>
        <v/>
      </c>
      <c r="H563">
        <f>SUMIF(Purchases[Product ID],A563,Purchases[Quantity])</f>
        <v>0</v>
      </c>
      <c r="I563">
        <f>SUMIF(Sales[Product Name],Inventory[[#This Row],[Product Name]],Sales[Quantity Sold])</f>
        <v>0</v>
      </c>
      <c r="J563">
        <f t="shared" si="17"/>
        <v>0</v>
      </c>
      <c r="N563">
        <f t="shared" si="18"/>
        <v>0</v>
      </c>
    </row>
    <row r="564" spans="4:14" ht="15">
      <c r="D564" s="26"/>
      <c r="E564" s="26"/>
      <c r="F564" t="str">
        <f ca="1">IF(Inventory[[#This Row],[Product Category]]="","",IF(E564&lt;TODAY(),"EXPIRED",
IF(E564&lt;=TODAY()+30,"&lt;30 DAYS",
IF(E564&lt;=TODAY()+60,"&lt;60 DAYS",IF(E564=0,"","")))))</f>
        <v/>
      </c>
      <c r="H564">
        <f>SUMIF(Purchases[Product ID],A564,Purchases[Quantity])</f>
        <v>0</v>
      </c>
      <c r="I564">
        <f>SUMIF(Sales[Product Name],Inventory[[#This Row],[Product Name]],Sales[Quantity Sold])</f>
        <v>0</v>
      </c>
      <c r="J564">
        <f t="shared" si="17"/>
        <v>0</v>
      </c>
      <c r="N564">
        <f t="shared" si="18"/>
        <v>0</v>
      </c>
    </row>
    <row r="565" spans="4:14" ht="15">
      <c r="D565" s="26"/>
      <c r="E565" s="26"/>
      <c r="F565" t="str">
        <f ca="1">IF(Inventory[[#This Row],[Product Category]]="","",IF(E565&lt;TODAY(),"EXPIRED",
IF(E565&lt;=TODAY()+30,"&lt;30 DAYS",
IF(E565&lt;=TODAY()+60,"&lt;60 DAYS",IF(E565=0,"","")))))</f>
        <v/>
      </c>
      <c r="H565">
        <f>SUMIF(Purchases[Product ID],A565,Purchases[Quantity])</f>
        <v>0</v>
      </c>
      <c r="I565">
        <f>SUMIF(Sales[Product Name],Inventory[[#This Row],[Product Name]],Sales[Quantity Sold])</f>
        <v>0</v>
      </c>
      <c r="J565">
        <f t="shared" si="17"/>
        <v>0</v>
      </c>
      <c r="N565">
        <f t="shared" si="18"/>
        <v>0</v>
      </c>
    </row>
    <row r="566" spans="4:14" ht="15">
      <c r="D566" s="26"/>
      <c r="E566" s="26"/>
      <c r="F566" t="str">
        <f ca="1">IF(Inventory[[#This Row],[Product Category]]="","",IF(E566&lt;TODAY(),"EXPIRED",
IF(E566&lt;=TODAY()+30,"&lt;30 DAYS",
IF(E566&lt;=TODAY()+60,"&lt;60 DAYS",IF(E566=0,"","")))))</f>
        <v/>
      </c>
      <c r="H566">
        <f>SUMIF(Purchases[Product ID],A566,Purchases[Quantity])</f>
        <v>0</v>
      </c>
      <c r="I566">
        <f>SUMIF(Sales[Product Name],Inventory[[#This Row],[Product Name]],Sales[Quantity Sold])</f>
        <v>0</v>
      </c>
      <c r="J566">
        <f t="shared" si="17"/>
        <v>0</v>
      </c>
      <c r="N566">
        <f t="shared" si="18"/>
        <v>0</v>
      </c>
    </row>
    <row r="567" spans="4:14" ht="15">
      <c r="D567" s="26"/>
      <c r="E567" s="26"/>
      <c r="F567" t="str">
        <f ca="1">IF(Inventory[[#This Row],[Product Category]]="","",IF(E567&lt;TODAY(),"EXPIRED",
IF(E567&lt;=TODAY()+30,"&lt;30 DAYS",
IF(E567&lt;=TODAY()+60,"&lt;60 DAYS",IF(E567=0,"","")))))</f>
        <v/>
      </c>
      <c r="H567">
        <f>SUMIF(Purchases[Product ID],A567,Purchases[Quantity])</f>
        <v>0</v>
      </c>
      <c r="I567">
        <f>SUMIF(Sales[Product Name],Inventory[[#This Row],[Product Name]],Sales[Quantity Sold])</f>
        <v>0</v>
      </c>
      <c r="J567">
        <f t="shared" si="17"/>
        <v>0</v>
      </c>
      <c r="N567">
        <f t="shared" si="18"/>
        <v>0</v>
      </c>
    </row>
    <row r="568" spans="4:14" ht="15">
      <c r="D568" s="26"/>
      <c r="E568" s="26"/>
      <c r="F568" t="str">
        <f ca="1">IF(Inventory[[#This Row],[Product Category]]="","",IF(E568&lt;TODAY(),"EXPIRED",
IF(E568&lt;=TODAY()+30,"&lt;30 DAYS",
IF(E568&lt;=TODAY()+60,"&lt;60 DAYS",IF(E568=0,"","")))))</f>
        <v/>
      </c>
      <c r="H568">
        <f>SUMIF(Purchases[Product ID],A568,Purchases[Quantity])</f>
        <v>0</v>
      </c>
      <c r="I568">
        <f>SUMIF(Sales[Product Name],Inventory[[#This Row],[Product Name]],Sales[Quantity Sold])</f>
        <v>0</v>
      </c>
      <c r="J568">
        <f t="shared" si="17"/>
        <v>0</v>
      </c>
      <c r="N568">
        <f t="shared" si="18"/>
        <v>0</v>
      </c>
    </row>
    <row r="569" spans="4:14" ht="15">
      <c r="D569" s="26"/>
      <c r="E569" s="26"/>
      <c r="F569" t="str">
        <f ca="1">IF(Inventory[[#This Row],[Product Category]]="","",IF(E569&lt;TODAY(),"EXPIRED",
IF(E569&lt;=TODAY()+30,"&lt;30 DAYS",
IF(E569&lt;=TODAY()+60,"&lt;60 DAYS",IF(E569=0,"","")))))</f>
        <v/>
      </c>
      <c r="H569">
        <f>SUMIF(Purchases[Product ID],A569,Purchases[Quantity])</f>
        <v>0</v>
      </c>
      <c r="I569">
        <f>SUMIF(Sales[Product Name],Inventory[[#This Row],[Product Name]],Sales[Quantity Sold])</f>
        <v>0</v>
      </c>
      <c r="J569">
        <f t="shared" si="17"/>
        <v>0</v>
      </c>
      <c r="N569">
        <f t="shared" si="18"/>
        <v>0</v>
      </c>
    </row>
    <row r="570" spans="4:14" ht="15">
      <c r="D570" s="26"/>
      <c r="E570" s="26"/>
      <c r="F570" t="str">
        <f ca="1">IF(Inventory[[#This Row],[Product Category]]="","",IF(E570&lt;TODAY(),"EXPIRED",
IF(E570&lt;=TODAY()+30,"&lt;30 DAYS",
IF(E570&lt;=TODAY()+60,"&lt;60 DAYS",IF(E570=0,"","")))))</f>
        <v/>
      </c>
      <c r="H570">
        <f>SUMIF(Purchases[Product ID],A570,Purchases[Quantity])</f>
        <v>0</v>
      </c>
      <c r="I570">
        <f>SUMIF(Sales[Product Name],Inventory[[#This Row],[Product Name]],Sales[Quantity Sold])</f>
        <v>0</v>
      </c>
      <c r="J570">
        <f t="shared" si="17"/>
        <v>0</v>
      </c>
      <c r="N570">
        <f t="shared" si="18"/>
        <v>0</v>
      </c>
    </row>
    <row r="571" spans="4:14" ht="15">
      <c r="D571" s="26"/>
      <c r="E571" s="26"/>
      <c r="F571" t="str">
        <f ca="1">IF(Inventory[[#This Row],[Product Category]]="","",IF(E571&lt;TODAY(),"EXPIRED",
IF(E571&lt;=TODAY()+30,"&lt;30 DAYS",
IF(E571&lt;=TODAY()+60,"&lt;60 DAYS",IF(E571=0,"","")))))</f>
        <v/>
      </c>
      <c r="H571">
        <f>SUMIF(Purchases[Product ID],A571,Purchases[Quantity])</f>
        <v>0</v>
      </c>
      <c r="I571">
        <f>SUMIF(Sales[Product Name],Inventory[[#This Row],[Product Name]],Sales[Quantity Sold])</f>
        <v>0</v>
      </c>
      <c r="J571">
        <f t="shared" si="17"/>
        <v>0</v>
      </c>
      <c r="N571">
        <f t="shared" si="18"/>
        <v>0</v>
      </c>
    </row>
    <row r="572" spans="4:14" ht="15">
      <c r="D572" s="26"/>
      <c r="E572" s="26"/>
      <c r="F572" t="str">
        <f ca="1">IF(Inventory[[#This Row],[Product Category]]="","",IF(E572&lt;TODAY(),"EXPIRED",
IF(E572&lt;=TODAY()+30,"&lt;30 DAYS",
IF(E572&lt;=TODAY()+60,"&lt;60 DAYS",IF(E572=0,"","")))))</f>
        <v/>
      </c>
      <c r="H572">
        <f>SUMIF(Purchases[Product ID],A572,Purchases[Quantity])</f>
        <v>0</v>
      </c>
      <c r="I572">
        <f>SUMIF(Sales[Product Name],Inventory[[#This Row],[Product Name]],Sales[Quantity Sold])</f>
        <v>0</v>
      </c>
      <c r="J572">
        <f t="shared" si="17"/>
        <v>0</v>
      </c>
      <c r="N572">
        <f t="shared" si="18"/>
        <v>0</v>
      </c>
    </row>
    <row r="573" spans="4:14" ht="15">
      <c r="D573" s="26"/>
      <c r="E573" s="26"/>
      <c r="F573" t="str">
        <f ca="1">IF(Inventory[[#This Row],[Product Category]]="","",IF(E573&lt;TODAY(),"EXPIRED",
IF(E573&lt;=TODAY()+30,"&lt;30 DAYS",
IF(E573&lt;=TODAY()+60,"&lt;60 DAYS",IF(E573=0,"","")))))</f>
        <v/>
      </c>
      <c r="H573">
        <f>SUMIF(Purchases[Product ID],A573,Purchases[Quantity])</f>
        <v>0</v>
      </c>
      <c r="I573">
        <f>SUMIF(Sales[Product Name],Inventory[[#This Row],[Product Name]],Sales[Quantity Sold])</f>
        <v>0</v>
      </c>
      <c r="J573">
        <f t="shared" si="17"/>
        <v>0</v>
      </c>
      <c r="N573">
        <f t="shared" si="18"/>
        <v>0</v>
      </c>
    </row>
    <row r="574" spans="4:14" ht="15">
      <c r="D574" s="26"/>
      <c r="E574" s="26"/>
      <c r="F574" t="str">
        <f ca="1">IF(Inventory[[#This Row],[Product Category]]="","",IF(E574&lt;TODAY(),"EXPIRED",
IF(E574&lt;=TODAY()+30,"&lt;30 DAYS",
IF(E574&lt;=TODAY()+60,"&lt;60 DAYS",IF(E574=0,"","")))))</f>
        <v/>
      </c>
      <c r="H574">
        <f>SUMIF(Purchases[Product ID],A574,Purchases[Quantity])</f>
        <v>0</v>
      </c>
      <c r="I574">
        <f>SUMIF(Sales[Product Name],Inventory[[#This Row],[Product Name]],Sales[Quantity Sold])</f>
        <v>0</v>
      </c>
      <c r="J574">
        <f t="shared" si="17"/>
        <v>0</v>
      </c>
      <c r="N574">
        <f t="shared" si="18"/>
        <v>0</v>
      </c>
    </row>
    <row r="575" spans="4:14" ht="15">
      <c r="D575" s="26"/>
      <c r="E575" s="26"/>
      <c r="F575" t="str">
        <f ca="1">IF(Inventory[[#This Row],[Product Category]]="","",IF(E575&lt;TODAY(),"EXPIRED",
IF(E575&lt;=TODAY()+30,"&lt;30 DAYS",
IF(E575&lt;=TODAY()+60,"&lt;60 DAYS",IF(E575=0,"","")))))</f>
        <v/>
      </c>
      <c r="H575">
        <f>SUMIF(Purchases[Product ID],A575,Purchases[Quantity])</f>
        <v>0</v>
      </c>
      <c r="I575">
        <f>SUMIF(Sales[Product Name],Inventory[[#This Row],[Product Name]],Sales[Quantity Sold])</f>
        <v>0</v>
      </c>
      <c r="J575">
        <f t="shared" si="17"/>
        <v>0</v>
      </c>
      <c r="N575">
        <f t="shared" si="18"/>
        <v>0</v>
      </c>
    </row>
    <row r="576" spans="4:14" ht="15">
      <c r="D576" s="26"/>
      <c r="E576" s="26"/>
      <c r="F576" t="str">
        <f ca="1">IF(Inventory[[#This Row],[Product Category]]="","",IF(E576&lt;TODAY(),"EXPIRED",
IF(E576&lt;=TODAY()+30,"&lt;30 DAYS",
IF(E576&lt;=TODAY()+60,"&lt;60 DAYS",IF(E576=0,"","")))))</f>
        <v/>
      </c>
      <c r="H576">
        <f>SUMIF(Purchases[Product ID],A576,Purchases[Quantity])</f>
        <v>0</v>
      </c>
      <c r="I576">
        <f>SUMIF(Sales[Product Name],Inventory[[#This Row],[Product Name]],Sales[Quantity Sold])</f>
        <v>0</v>
      </c>
      <c r="J576">
        <f t="shared" si="17"/>
        <v>0</v>
      </c>
      <c r="N576">
        <f t="shared" si="18"/>
        <v>0</v>
      </c>
    </row>
    <row r="577" spans="4:14" ht="15">
      <c r="D577" s="26"/>
      <c r="E577" s="26"/>
      <c r="F577" t="str">
        <f ca="1">IF(Inventory[[#This Row],[Product Category]]="","",IF(E577&lt;TODAY(),"EXPIRED",
IF(E577&lt;=TODAY()+30,"&lt;30 DAYS",
IF(E577&lt;=TODAY()+60,"&lt;60 DAYS",IF(E577=0,"","")))))</f>
        <v/>
      </c>
      <c r="H577">
        <f>SUMIF(Purchases[Product ID],A577,Purchases[Quantity])</f>
        <v>0</v>
      </c>
      <c r="I577">
        <f>SUMIF(Sales[Product Name],Inventory[[#This Row],[Product Name]],Sales[Quantity Sold])</f>
        <v>0</v>
      </c>
      <c r="J577">
        <f t="shared" si="17"/>
        <v>0</v>
      </c>
      <c r="N577">
        <f t="shared" si="18"/>
        <v>0</v>
      </c>
    </row>
    <row r="578" spans="4:14" ht="15">
      <c r="D578" s="26"/>
      <c r="E578" s="26"/>
      <c r="F578" t="str">
        <f ca="1">IF(Inventory[[#This Row],[Product Category]]="","",IF(E578&lt;TODAY(),"EXPIRED",
IF(E578&lt;=TODAY()+30,"&lt;30 DAYS",
IF(E578&lt;=TODAY()+60,"&lt;60 DAYS",IF(E578=0,"","")))))</f>
        <v/>
      </c>
      <c r="H578">
        <f>SUMIF(Purchases[Product ID],A578,Purchases[Quantity])</f>
        <v>0</v>
      </c>
      <c r="I578">
        <f>SUMIF(Sales[Product Name],Inventory[[#This Row],[Product Name]],Sales[Quantity Sold])</f>
        <v>0</v>
      </c>
      <c r="J578">
        <f t="shared" si="17"/>
        <v>0</v>
      </c>
      <c r="N578">
        <f t="shared" si="18"/>
        <v>0</v>
      </c>
    </row>
    <row r="579" spans="4:14" ht="15">
      <c r="D579" s="26"/>
      <c r="E579" s="26"/>
      <c r="F579" t="str">
        <f ca="1">IF(Inventory[[#This Row],[Product Category]]="","",IF(E579&lt;TODAY(),"EXPIRED",
IF(E579&lt;=TODAY()+30,"&lt;30 DAYS",
IF(E579&lt;=TODAY()+60,"&lt;60 DAYS",IF(E579=0,"","")))))</f>
        <v/>
      </c>
      <c r="H579">
        <f>SUMIF(Purchases[Product ID],A579,Purchases[Quantity])</f>
        <v>0</v>
      </c>
      <c r="I579">
        <f>SUMIF(Sales[Product Name],Inventory[[#This Row],[Product Name]],Sales[Quantity Sold])</f>
        <v>0</v>
      </c>
      <c r="J579">
        <f t="shared" si="17"/>
        <v>0</v>
      </c>
      <c r="N579">
        <f t="shared" si="18"/>
        <v>0</v>
      </c>
    </row>
    <row r="580" spans="4:14" ht="15">
      <c r="D580" s="26"/>
      <c r="E580" s="26"/>
      <c r="F580" t="str">
        <f ca="1">IF(Inventory[[#This Row],[Product Category]]="","",IF(E580&lt;TODAY(),"EXPIRED",
IF(E580&lt;=TODAY()+30,"&lt;30 DAYS",
IF(E580&lt;=TODAY()+60,"&lt;60 DAYS",IF(E580=0,"","")))))</f>
        <v/>
      </c>
      <c r="H580">
        <f>SUMIF(Purchases[Product ID],A580,Purchases[Quantity])</f>
        <v>0</v>
      </c>
      <c r="I580">
        <f>SUMIF(Sales[Product Name],Inventory[[#This Row],[Product Name]],Sales[Quantity Sold])</f>
        <v>0</v>
      </c>
      <c r="J580">
        <f t="shared" si="17"/>
        <v>0</v>
      </c>
      <c r="N580">
        <f t="shared" si="18"/>
        <v>0</v>
      </c>
    </row>
    <row r="581" spans="4:14" ht="15">
      <c r="D581" s="26"/>
      <c r="E581" s="26"/>
      <c r="F581" t="str">
        <f ca="1">IF(Inventory[[#This Row],[Product Category]]="","",IF(E581&lt;TODAY(),"EXPIRED",
IF(E581&lt;=TODAY()+30,"&lt;30 DAYS",
IF(E581&lt;=TODAY()+60,"&lt;60 DAYS",IF(E581=0,"","")))))</f>
        <v/>
      </c>
      <c r="H581">
        <f>SUMIF(Purchases[Product ID],A581,Purchases[Quantity])</f>
        <v>0</v>
      </c>
      <c r="I581">
        <f>SUMIF(Sales[Product Name],Inventory[[#This Row],[Product Name]],Sales[Quantity Sold])</f>
        <v>0</v>
      </c>
      <c r="J581">
        <f t="shared" si="17"/>
        <v>0</v>
      </c>
      <c r="N581">
        <f t="shared" si="18"/>
        <v>0</v>
      </c>
    </row>
    <row r="582" spans="4:14" ht="15">
      <c r="D582" s="26"/>
      <c r="E582" s="26"/>
      <c r="F582" t="str">
        <f ca="1">IF(Inventory[[#This Row],[Product Category]]="","",IF(E582&lt;TODAY(),"EXPIRED",
IF(E582&lt;=TODAY()+30,"&lt;30 DAYS",
IF(E582&lt;=TODAY()+60,"&lt;60 DAYS",IF(E582=0,"","")))))</f>
        <v/>
      </c>
      <c r="H582">
        <f>SUMIF(Purchases[Product ID],A582,Purchases[Quantity])</f>
        <v>0</v>
      </c>
      <c r="I582">
        <f>SUMIF(Sales[Product Name],Inventory[[#This Row],[Product Name]],Sales[Quantity Sold])</f>
        <v>0</v>
      </c>
      <c r="J582">
        <f t="shared" si="17"/>
        <v>0</v>
      </c>
      <c r="N582">
        <f t="shared" si="18"/>
        <v>0</v>
      </c>
    </row>
    <row r="583" spans="4:14" ht="15">
      <c r="D583" s="26"/>
      <c r="E583" s="26"/>
      <c r="F583" t="str">
        <f ca="1">IF(Inventory[[#This Row],[Product Category]]="","",IF(E583&lt;TODAY(),"EXPIRED",
IF(E583&lt;=TODAY()+30,"&lt;30 DAYS",
IF(E583&lt;=TODAY()+60,"&lt;60 DAYS",IF(E583=0,"","")))))</f>
        <v/>
      </c>
      <c r="H583">
        <f>SUMIF(Purchases[Product ID],A583,Purchases[Quantity])</f>
        <v>0</v>
      </c>
      <c r="I583">
        <f>SUMIF(Sales[Product Name],Inventory[[#This Row],[Product Name]],Sales[Quantity Sold])</f>
        <v>0</v>
      </c>
      <c r="J583">
        <f t="shared" si="17"/>
        <v>0</v>
      </c>
      <c r="N583">
        <f t="shared" si="18"/>
        <v>0</v>
      </c>
    </row>
    <row r="584" spans="4:14" ht="15">
      <c r="D584" s="26"/>
      <c r="E584" s="26"/>
      <c r="F584" t="str">
        <f ca="1">IF(Inventory[[#This Row],[Product Category]]="","",IF(E584&lt;TODAY(),"EXPIRED",
IF(E584&lt;=TODAY()+30,"&lt;30 DAYS",
IF(E584&lt;=TODAY()+60,"&lt;60 DAYS",IF(E584=0,"","")))))</f>
        <v/>
      </c>
      <c r="H584">
        <f>SUMIF(Purchases[Product ID],A584,Purchases[Quantity])</f>
        <v>0</v>
      </c>
      <c r="I584">
        <f>SUMIF(Sales[Product Name],Inventory[[#This Row],[Product Name]],Sales[Quantity Sold])</f>
        <v>0</v>
      </c>
      <c r="J584">
        <f t="shared" ref="J584:J647" si="19">G584+H584-I584</f>
        <v>0</v>
      </c>
      <c r="N584">
        <f t="shared" ref="N584:N647" si="20">J584*L584</f>
        <v>0</v>
      </c>
    </row>
    <row r="585" spans="4:14" ht="15">
      <c r="D585" s="26"/>
      <c r="E585" s="26"/>
      <c r="F585" t="str">
        <f ca="1">IF(Inventory[[#This Row],[Product Category]]="","",IF(E585&lt;TODAY(),"EXPIRED",
IF(E585&lt;=TODAY()+30,"&lt;30 DAYS",
IF(E585&lt;=TODAY()+60,"&lt;60 DAYS",IF(E585=0,"","")))))</f>
        <v/>
      </c>
      <c r="H585">
        <f>SUMIF(Purchases[Product ID],A585,Purchases[Quantity])</f>
        <v>0</v>
      </c>
      <c r="I585">
        <f>SUMIF(Sales[Product Name],Inventory[[#This Row],[Product Name]],Sales[Quantity Sold])</f>
        <v>0</v>
      </c>
      <c r="J585">
        <f t="shared" si="19"/>
        <v>0</v>
      </c>
      <c r="N585">
        <f t="shared" si="20"/>
        <v>0</v>
      </c>
    </row>
    <row r="586" spans="4:14" ht="15">
      <c r="D586" s="26"/>
      <c r="E586" s="26"/>
      <c r="F586" t="str">
        <f ca="1">IF(Inventory[[#This Row],[Product Category]]="","",IF(E586&lt;TODAY(),"EXPIRED",
IF(E586&lt;=TODAY()+30,"&lt;30 DAYS",
IF(E586&lt;=TODAY()+60,"&lt;60 DAYS",IF(E586=0,"","")))))</f>
        <v/>
      </c>
      <c r="H586">
        <f>SUMIF(Purchases[Product ID],A586,Purchases[Quantity])</f>
        <v>0</v>
      </c>
      <c r="I586">
        <f>SUMIF(Sales[Product Name],Inventory[[#This Row],[Product Name]],Sales[Quantity Sold])</f>
        <v>0</v>
      </c>
      <c r="J586">
        <f t="shared" si="19"/>
        <v>0</v>
      </c>
      <c r="N586">
        <f t="shared" si="20"/>
        <v>0</v>
      </c>
    </row>
    <row r="587" spans="4:14" ht="15">
      <c r="D587" s="26"/>
      <c r="E587" s="26"/>
      <c r="F587" t="str">
        <f ca="1">IF(Inventory[[#This Row],[Product Category]]="","",IF(E587&lt;TODAY(),"EXPIRED",
IF(E587&lt;=TODAY()+30,"&lt;30 DAYS",
IF(E587&lt;=TODAY()+60,"&lt;60 DAYS",IF(E587=0,"","")))))</f>
        <v/>
      </c>
      <c r="H587">
        <f>SUMIF(Purchases[Product ID],A587,Purchases[Quantity])</f>
        <v>0</v>
      </c>
      <c r="I587">
        <f>SUMIF(Sales[Product Name],Inventory[[#This Row],[Product Name]],Sales[Quantity Sold])</f>
        <v>0</v>
      </c>
      <c r="J587">
        <f t="shared" si="19"/>
        <v>0</v>
      </c>
      <c r="N587">
        <f t="shared" si="20"/>
        <v>0</v>
      </c>
    </row>
    <row r="588" spans="4:14" ht="15">
      <c r="D588" s="26"/>
      <c r="E588" s="26"/>
      <c r="F588" t="str">
        <f ca="1">IF(Inventory[[#This Row],[Product Category]]="","",IF(E588&lt;TODAY(),"EXPIRED",
IF(E588&lt;=TODAY()+30,"&lt;30 DAYS",
IF(E588&lt;=TODAY()+60,"&lt;60 DAYS",IF(E588=0,"","")))))</f>
        <v/>
      </c>
      <c r="H588">
        <f>SUMIF(Purchases[Product ID],A588,Purchases[Quantity])</f>
        <v>0</v>
      </c>
      <c r="I588">
        <f>SUMIF(Sales[Product Name],Inventory[[#This Row],[Product Name]],Sales[Quantity Sold])</f>
        <v>0</v>
      </c>
      <c r="J588">
        <f t="shared" si="19"/>
        <v>0</v>
      </c>
      <c r="N588">
        <f t="shared" si="20"/>
        <v>0</v>
      </c>
    </row>
    <row r="589" spans="4:14" ht="15">
      <c r="D589" s="26"/>
      <c r="E589" s="26"/>
      <c r="F589" t="str">
        <f ca="1">IF(Inventory[[#This Row],[Product Category]]="","",IF(E589&lt;TODAY(),"EXPIRED",
IF(E589&lt;=TODAY()+30,"&lt;30 DAYS",
IF(E589&lt;=TODAY()+60,"&lt;60 DAYS",IF(E589=0,"","")))))</f>
        <v/>
      </c>
      <c r="H589">
        <f>SUMIF(Purchases[Product ID],A589,Purchases[Quantity])</f>
        <v>0</v>
      </c>
      <c r="I589">
        <f>SUMIF(Sales[Product Name],Inventory[[#This Row],[Product Name]],Sales[Quantity Sold])</f>
        <v>0</v>
      </c>
      <c r="J589">
        <f t="shared" si="19"/>
        <v>0</v>
      </c>
      <c r="N589">
        <f t="shared" si="20"/>
        <v>0</v>
      </c>
    </row>
    <row r="590" spans="4:14" ht="15">
      <c r="D590" s="26"/>
      <c r="E590" s="26"/>
      <c r="F590" t="str">
        <f ca="1">IF(Inventory[[#This Row],[Product Category]]="","",IF(E590&lt;TODAY(),"EXPIRED",
IF(E590&lt;=TODAY()+30,"&lt;30 DAYS",
IF(E590&lt;=TODAY()+60,"&lt;60 DAYS",IF(E590=0,"","")))))</f>
        <v/>
      </c>
      <c r="H590">
        <f>SUMIF(Purchases[Product ID],A590,Purchases[Quantity])</f>
        <v>0</v>
      </c>
      <c r="I590">
        <f>SUMIF(Sales[Product Name],Inventory[[#This Row],[Product Name]],Sales[Quantity Sold])</f>
        <v>0</v>
      </c>
      <c r="J590">
        <f t="shared" si="19"/>
        <v>0</v>
      </c>
      <c r="N590">
        <f t="shared" si="20"/>
        <v>0</v>
      </c>
    </row>
    <row r="591" spans="4:14" ht="15">
      <c r="D591" s="26"/>
      <c r="E591" s="26"/>
      <c r="F591" t="str">
        <f ca="1">IF(Inventory[[#This Row],[Product Category]]="","",IF(E591&lt;TODAY(),"EXPIRED",
IF(E591&lt;=TODAY()+30,"&lt;30 DAYS",
IF(E591&lt;=TODAY()+60,"&lt;60 DAYS",IF(E591=0,"","")))))</f>
        <v/>
      </c>
      <c r="H591">
        <f>SUMIF(Purchases[Product ID],A591,Purchases[Quantity])</f>
        <v>0</v>
      </c>
      <c r="I591">
        <f>SUMIF(Sales[Product Name],Inventory[[#This Row],[Product Name]],Sales[Quantity Sold])</f>
        <v>0</v>
      </c>
      <c r="J591">
        <f t="shared" si="19"/>
        <v>0</v>
      </c>
      <c r="N591">
        <f t="shared" si="20"/>
        <v>0</v>
      </c>
    </row>
    <row r="592" spans="4:14" ht="15">
      <c r="D592" s="26"/>
      <c r="E592" s="26"/>
      <c r="F592" t="str">
        <f ca="1">IF(Inventory[[#This Row],[Product Category]]="","",IF(E592&lt;TODAY(),"EXPIRED",
IF(E592&lt;=TODAY()+30,"&lt;30 DAYS",
IF(E592&lt;=TODAY()+60,"&lt;60 DAYS",IF(E592=0,"","")))))</f>
        <v/>
      </c>
      <c r="H592">
        <f>SUMIF(Purchases[Product ID],A592,Purchases[Quantity])</f>
        <v>0</v>
      </c>
      <c r="I592">
        <f>SUMIF(Sales[Product Name],Inventory[[#This Row],[Product Name]],Sales[Quantity Sold])</f>
        <v>0</v>
      </c>
      <c r="J592">
        <f t="shared" si="19"/>
        <v>0</v>
      </c>
      <c r="N592">
        <f t="shared" si="20"/>
        <v>0</v>
      </c>
    </row>
    <row r="593" spans="4:14" ht="15">
      <c r="D593" s="26"/>
      <c r="E593" s="26"/>
      <c r="F593" t="str">
        <f ca="1">IF(Inventory[[#This Row],[Product Category]]="","",IF(E593&lt;TODAY(),"EXPIRED",
IF(E593&lt;=TODAY()+30,"&lt;30 DAYS",
IF(E593&lt;=TODAY()+60,"&lt;60 DAYS",IF(E593=0,"","")))))</f>
        <v/>
      </c>
      <c r="H593">
        <f>SUMIF(Purchases[Product ID],A593,Purchases[Quantity])</f>
        <v>0</v>
      </c>
      <c r="I593">
        <f>SUMIF(Sales[Product Name],Inventory[[#This Row],[Product Name]],Sales[Quantity Sold])</f>
        <v>0</v>
      </c>
      <c r="J593">
        <f t="shared" si="19"/>
        <v>0</v>
      </c>
      <c r="N593">
        <f t="shared" si="20"/>
        <v>0</v>
      </c>
    </row>
    <row r="594" spans="4:14" ht="15">
      <c r="D594" s="26"/>
      <c r="E594" s="26"/>
      <c r="F594" t="str">
        <f ca="1">IF(Inventory[[#This Row],[Product Category]]="","",IF(E594&lt;TODAY(),"EXPIRED",
IF(E594&lt;=TODAY()+30,"&lt;30 DAYS",
IF(E594&lt;=TODAY()+60,"&lt;60 DAYS",IF(E594=0,"","")))))</f>
        <v/>
      </c>
      <c r="H594">
        <f>SUMIF(Purchases[Product ID],A594,Purchases[Quantity])</f>
        <v>0</v>
      </c>
      <c r="I594">
        <f>SUMIF(Sales[Product Name],Inventory[[#This Row],[Product Name]],Sales[Quantity Sold])</f>
        <v>0</v>
      </c>
      <c r="J594">
        <f t="shared" si="19"/>
        <v>0</v>
      </c>
      <c r="N594">
        <f t="shared" si="20"/>
        <v>0</v>
      </c>
    </row>
    <row r="595" spans="4:14" ht="15">
      <c r="D595" s="26"/>
      <c r="E595" s="26"/>
      <c r="F595" t="str">
        <f ca="1">IF(Inventory[[#This Row],[Product Category]]="","",IF(E595&lt;TODAY(),"EXPIRED",
IF(E595&lt;=TODAY()+30,"&lt;30 DAYS",
IF(E595&lt;=TODAY()+60,"&lt;60 DAYS",IF(E595=0,"","")))))</f>
        <v/>
      </c>
      <c r="H595">
        <f>SUMIF(Purchases[Product ID],A595,Purchases[Quantity])</f>
        <v>0</v>
      </c>
      <c r="I595">
        <f>SUMIF(Sales[Product Name],Inventory[[#This Row],[Product Name]],Sales[Quantity Sold])</f>
        <v>0</v>
      </c>
      <c r="J595">
        <f t="shared" si="19"/>
        <v>0</v>
      </c>
      <c r="N595">
        <f t="shared" si="20"/>
        <v>0</v>
      </c>
    </row>
    <row r="596" spans="4:14" ht="15">
      <c r="D596" s="26"/>
      <c r="E596" s="26"/>
      <c r="F596" t="str">
        <f ca="1">IF(Inventory[[#This Row],[Product Category]]="","",IF(E596&lt;TODAY(),"EXPIRED",
IF(E596&lt;=TODAY()+30,"&lt;30 DAYS",
IF(E596&lt;=TODAY()+60,"&lt;60 DAYS",IF(E596=0,"","")))))</f>
        <v/>
      </c>
      <c r="H596">
        <f>SUMIF(Purchases[Product ID],A596,Purchases[Quantity])</f>
        <v>0</v>
      </c>
      <c r="I596">
        <f>SUMIF(Sales[Product Name],Inventory[[#This Row],[Product Name]],Sales[Quantity Sold])</f>
        <v>0</v>
      </c>
      <c r="J596">
        <f t="shared" si="19"/>
        <v>0</v>
      </c>
      <c r="N596">
        <f t="shared" si="20"/>
        <v>0</v>
      </c>
    </row>
    <row r="597" spans="4:14" ht="15">
      <c r="D597" s="26"/>
      <c r="E597" s="26"/>
      <c r="F597" t="str">
        <f ca="1">IF(Inventory[[#This Row],[Product Category]]="","",IF(E597&lt;TODAY(),"EXPIRED",
IF(E597&lt;=TODAY()+30,"&lt;30 DAYS",
IF(E597&lt;=TODAY()+60,"&lt;60 DAYS",IF(E597=0,"","")))))</f>
        <v/>
      </c>
      <c r="H597">
        <f>SUMIF(Purchases[Product ID],A597,Purchases[Quantity])</f>
        <v>0</v>
      </c>
      <c r="I597">
        <f>SUMIF(Sales[Product Name],Inventory[[#This Row],[Product Name]],Sales[Quantity Sold])</f>
        <v>0</v>
      </c>
      <c r="J597">
        <f t="shared" si="19"/>
        <v>0</v>
      </c>
      <c r="N597">
        <f t="shared" si="20"/>
        <v>0</v>
      </c>
    </row>
    <row r="598" spans="4:14" ht="15">
      <c r="D598" s="26"/>
      <c r="E598" s="26"/>
      <c r="F598" t="str">
        <f ca="1">IF(Inventory[[#This Row],[Product Category]]="","",IF(E598&lt;TODAY(),"EXPIRED",
IF(E598&lt;=TODAY()+30,"&lt;30 DAYS",
IF(E598&lt;=TODAY()+60,"&lt;60 DAYS",IF(E598=0,"","")))))</f>
        <v/>
      </c>
      <c r="H598">
        <f>SUMIF(Purchases[Product ID],A598,Purchases[Quantity])</f>
        <v>0</v>
      </c>
      <c r="I598">
        <f>SUMIF(Sales[Product Name],Inventory[[#This Row],[Product Name]],Sales[Quantity Sold])</f>
        <v>0</v>
      </c>
      <c r="J598">
        <f t="shared" si="19"/>
        <v>0</v>
      </c>
      <c r="N598">
        <f t="shared" si="20"/>
        <v>0</v>
      </c>
    </row>
    <row r="599" spans="4:14" ht="15">
      <c r="D599" s="26"/>
      <c r="E599" s="26"/>
      <c r="F599" t="str">
        <f ca="1">IF(Inventory[[#This Row],[Product Category]]="","",IF(E599&lt;TODAY(),"EXPIRED",
IF(E599&lt;=TODAY()+30,"&lt;30 DAYS",
IF(E599&lt;=TODAY()+60,"&lt;60 DAYS",IF(E599=0,"","")))))</f>
        <v/>
      </c>
      <c r="H599">
        <f>SUMIF(Purchases[Product ID],A599,Purchases[Quantity])</f>
        <v>0</v>
      </c>
      <c r="I599">
        <f>SUMIF(Sales[Product Name],Inventory[[#This Row],[Product Name]],Sales[Quantity Sold])</f>
        <v>0</v>
      </c>
      <c r="J599">
        <f t="shared" si="19"/>
        <v>0</v>
      </c>
      <c r="N599">
        <f t="shared" si="20"/>
        <v>0</v>
      </c>
    </row>
    <row r="600" spans="4:14" ht="15">
      <c r="D600" s="26"/>
      <c r="E600" s="26"/>
      <c r="F600" t="str">
        <f ca="1">IF(Inventory[[#This Row],[Product Category]]="","",IF(E600&lt;TODAY(),"EXPIRED",
IF(E600&lt;=TODAY()+30,"&lt;30 DAYS",
IF(E600&lt;=TODAY()+60,"&lt;60 DAYS",IF(E600=0,"","")))))</f>
        <v/>
      </c>
      <c r="H600">
        <f>SUMIF(Purchases[Product ID],A600,Purchases[Quantity])</f>
        <v>0</v>
      </c>
      <c r="I600">
        <f>SUMIF(Sales[Product Name],Inventory[[#This Row],[Product Name]],Sales[Quantity Sold])</f>
        <v>0</v>
      </c>
      <c r="J600">
        <f t="shared" si="19"/>
        <v>0</v>
      </c>
      <c r="N600">
        <f t="shared" si="20"/>
        <v>0</v>
      </c>
    </row>
    <row r="601" spans="4:14" ht="15">
      <c r="D601" s="26"/>
      <c r="E601" s="26"/>
      <c r="F601" t="str">
        <f ca="1">IF(Inventory[[#This Row],[Product Category]]="","",IF(E601&lt;TODAY(),"EXPIRED",
IF(E601&lt;=TODAY()+30,"&lt;30 DAYS",
IF(E601&lt;=TODAY()+60,"&lt;60 DAYS",IF(E601=0,"","")))))</f>
        <v/>
      </c>
      <c r="H601">
        <f>SUMIF(Purchases[Product ID],A601,Purchases[Quantity])</f>
        <v>0</v>
      </c>
      <c r="I601">
        <f>SUMIF(Sales[Product Name],Inventory[[#This Row],[Product Name]],Sales[Quantity Sold])</f>
        <v>0</v>
      </c>
      <c r="J601">
        <f t="shared" si="19"/>
        <v>0</v>
      </c>
      <c r="N601">
        <f t="shared" si="20"/>
        <v>0</v>
      </c>
    </row>
    <row r="602" spans="4:14" ht="15">
      <c r="D602" s="26"/>
      <c r="E602" s="26"/>
      <c r="F602" t="str">
        <f ca="1">IF(Inventory[[#This Row],[Product Category]]="","",IF(E602&lt;TODAY(),"EXPIRED",
IF(E602&lt;=TODAY()+30,"&lt;30 DAYS",
IF(E602&lt;=TODAY()+60,"&lt;60 DAYS",IF(E602=0,"","")))))</f>
        <v/>
      </c>
      <c r="H602">
        <f>SUMIF(Purchases[Product ID],A602,Purchases[Quantity])</f>
        <v>0</v>
      </c>
      <c r="I602">
        <f>SUMIF(Sales[Product Name],Inventory[[#This Row],[Product Name]],Sales[Quantity Sold])</f>
        <v>0</v>
      </c>
      <c r="J602">
        <f t="shared" si="19"/>
        <v>0</v>
      </c>
      <c r="N602">
        <f t="shared" si="20"/>
        <v>0</v>
      </c>
    </row>
    <row r="603" spans="4:14" ht="15">
      <c r="D603" s="26"/>
      <c r="E603" s="26"/>
      <c r="F603" t="str">
        <f ca="1">IF(Inventory[[#This Row],[Product Category]]="","",IF(E603&lt;TODAY(),"EXPIRED",
IF(E603&lt;=TODAY()+30,"&lt;30 DAYS",
IF(E603&lt;=TODAY()+60,"&lt;60 DAYS",IF(E603=0,"","")))))</f>
        <v/>
      </c>
      <c r="H603">
        <f>SUMIF(Purchases[Product ID],A603,Purchases[Quantity])</f>
        <v>0</v>
      </c>
      <c r="I603">
        <f>SUMIF(Sales[Product Name],Inventory[[#This Row],[Product Name]],Sales[Quantity Sold])</f>
        <v>0</v>
      </c>
      <c r="J603">
        <f t="shared" si="19"/>
        <v>0</v>
      </c>
      <c r="N603">
        <f t="shared" si="20"/>
        <v>0</v>
      </c>
    </row>
    <row r="604" spans="4:14" ht="15">
      <c r="D604" s="26"/>
      <c r="E604" s="26"/>
      <c r="F604" t="str">
        <f ca="1">IF(Inventory[[#This Row],[Product Category]]="","",IF(E604&lt;TODAY(),"EXPIRED",
IF(E604&lt;=TODAY()+30,"&lt;30 DAYS",
IF(E604&lt;=TODAY()+60,"&lt;60 DAYS",IF(E604=0,"","")))))</f>
        <v/>
      </c>
      <c r="H604">
        <f>SUMIF(Purchases[Product ID],A604,Purchases[Quantity])</f>
        <v>0</v>
      </c>
      <c r="I604">
        <f>SUMIF(Sales[Product Name],Inventory[[#This Row],[Product Name]],Sales[Quantity Sold])</f>
        <v>0</v>
      </c>
      <c r="J604">
        <f t="shared" si="19"/>
        <v>0</v>
      </c>
      <c r="N604">
        <f t="shared" si="20"/>
        <v>0</v>
      </c>
    </row>
    <row r="605" spans="4:14" ht="15">
      <c r="D605" s="26"/>
      <c r="E605" s="26"/>
      <c r="F605" t="str">
        <f ca="1">IF(Inventory[[#This Row],[Product Category]]="","",IF(E605&lt;TODAY(),"EXPIRED",
IF(E605&lt;=TODAY()+30,"&lt;30 DAYS",
IF(E605&lt;=TODAY()+60,"&lt;60 DAYS",IF(E605=0,"","")))))</f>
        <v/>
      </c>
      <c r="H605">
        <f>SUMIF(Purchases[Product ID],A605,Purchases[Quantity])</f>
        <v>0</v>
      </c>
      <c r="I605">
        <f>SUMIF(Sales[Product Name],Inventory[[#This Row],[Product Name]],Sales[Quantity Sold])</f>
        <v>0</v>
      </c>
      <c r="J605">
        <f t="shared" si="19"/>
        <v>0</v>
      </c>
      <c r="N605">
        <f t="shared" si="20"/>
        <v>0</v>
      </c>
    </row>
    <row r="606" spans="4:14" ht="15">
      <c r="D606" s="26"/>
      <c r="E606" s="26"/>
      <c r="F606" t="str">
        <f ca="1">IF(Inventory[[#This Row],[Product Category]]="","",IF(E606&lt;TODAY(),"EXPIRED",
IF(E606&lt;=TODAY()+30,"&lt;30 DAYS",
IF(E606&lt;=TODAY()+60,"&lt;60 DAYS",IF(E606=0,"","")))))</f>
        <v/>
      </c>
      <c r="H606">
        <f>SUMIF(Purchases[Product ID],A606,Purchases[Quantity])</f>
        <v>0</v>
      </c>
      <c r="I606">
        <f>SUMIF(Sales[Product Name],Inventory[[#This Row],[Product Name]],Sales[Quantity Sold])</f>
        <v>0</v>
      </c>
      <c r="J606">
        <f t="shared" si="19"/>
        <v>0</v>
      </c>
      <c r="N606">
        <f t="shared" si="20"/>
        <v>0</v>
      </c>
    </row>
    <row r="607" spans="4:14" ht="15">
      <c r="D607" s="26"/>
      <c r="E607" s="26"/>
      <c r="F607" t="str">
        <f ca="1">IF(Inventory[[#This Row],[Product Category]]="","",IF(E607&lt;TODAY(),"EXPIRED",
IF(E607&lt;=TODAY()+30,"&lt;30 DAYS",
IF(E607&lt;=TODAY()+60,"&lt;60 DAYS",IF(E607=0,"","")))))</f>
        <v/>
      </c>
      <c r="H607">
        <f>SUMIF(Purchases[Product ID],A607,Purchases[Quantity])</f>
        <v>0</v>
      </c>
      <c r="I607">
        <f>SUMIF(Sales[Product Name],Inventory[[#This Row],[Product Name]],Sales[Quantity Sold])</f>
        <v>0</v>
      </c>
      <c r="J607">
        <f t="shared" si="19"/>
        <v>0</v>
      </c>
      <c r="N607">
        <f t="shared" si="20"/>
        <v>0</v>
      </c>
    </row>
    <row r="608" spans="4:14" ht="15">
      <c r="D608" s="26"/>
      <c r="E608" s="26"/>
      <c r="F608" t="str">
        <f ca="1">IF(Inventory[[#This Row],[Product Category]]="","",IF(E608&lt;TODAY(),"EXPIRED",
IF(E608&lt;=TODAY()+30,"&lt;30 DAYS",
IF(E608&lt;=TODAY()+60,"&lt;60 DAYS",IF(E608=0,"","")))))</f>
        <v/>
      </c>
      <c r="H608">
        <f>SUMIF(Purchases[Product ID],A608,Purchases[Quantity])</f>
        <v>0</v>
      </c>
      <c r="I608">
        <f>SUMIF(Sales[Product Name],Inventory[[#This Row],[Product Name]],Sales[Quantity Sold])</f>
        <v>0</v>
      </c>
      <c r="J608">
        <f t="shared" si="19"/>
        <v>0</v>
      </c>
      <c r="N608">
        <f t="shared" si="20"/>
        <v>0</v>
      </c>
    </row>
    <row r="609" spans="4:14" ht="15">
      <c r="D609" s="26"/>
      <c r="E609" s="26"/>
      <c r="F609" t="str">
        <f ca="1">IF(Inventory[[#This Row],[Product Category]]="","",IF(E609&lt;TODAY(),"EXPIRED",
IF(E609&lt;=TODAY()+30,"&lt;30 DAYS",
IF(E609&lt;=TODAY()+60,"&lt;60 DAYS",IF(E609=0,"","")))))</f>
        <v/>
      </c>
      <c r="H609">
        <f>SUMIF(Purchases[Product ID],A609,Purchases[Quantity])</f>
        <v>0</v>
      </c>
      <c r="I609">
        <f>SUMIF(Sales[Product Name],Inventory[[#This Row],[Product Name]],Sales[Quantity Sold])</f>
        <v>0</v>
      </c>
      <c r="J609">
        <f t="shared" si="19"/>
        <v>0</v>
      </c>
      <c r="N609">
        <f t="shared" si="20"/>
        <v>0</v>
      </c>
    </row>
    <row r="610" spans="4:14" ht="15">
      <c r="D610" s="26"/>
      <c r="E610" s="26"/>
      <c r="F610" t="str">
        <f ca="1">IF(Inventory[[#This Row],[Product Category]]="","",IF(E610&lt;TODAY(),"EXPIRED",
IF(E610&lt;=TODAY()+30,"&lt;30 DAYS",
IF(E610&lt;=TODAY()+60,"&lt;60 DAYS",IF(E610=0,"","")))))</f>
        <v/>
      </c>
      <c r="H610">
        <f>SUMIF(Purchases[Product ID],A610,Purchases[Quantity])</f>
        <v>0</v>
      </c>
      <c r="I610">
        <f>SUMIF(Sales[Product Name],Inventory[[#This Row],[Product Name]],Sales[Quantity Sold])</f>
        <v>0</v>
      </c>
      <c r="J610">
        <f t="shared" si="19"/>
        <v>0</v>
      </c>
      <c r="N610">
        <f t="shared" si="20"/>
        <v>0</v>
      </c>
    </row>
    <row r="611" spans="4:14" ht="15">
      <c r="D611" s="26"/>
      <c r="E611" s="26"/>
      <c r="F611" t="str">
        <f ca="1">IF(Inventory[[#This Row],[Product Category]]="","",IF(E611&lt;TODAY(),"EXPIRED",
IF(E611&lt;=TODAY()+30,"&lt;30 DAYS",
IF(E611&lt;=TODAY()+60,"&lt;60 DAYS",IF(E611=0,"","")))))</f>
        <v/>
      </c>
      <c r="H611">
        <f>SUMIF(Purchases[Product ID],A611,Purchases[Quantity])</f>
        <v>0</v>
      </c>
      <c r="I611">
        <f>SUMIF(Sales[Product Name],Inventory[[#This Row],[Product Name]],Sales[Quantity Sold])</f>
        <v>0</v>
      </c>
      <c r="J611">
        <f t="shared" si="19"/>
        <v>0</v>
      </c>
      <c r="N611">
        <f t="shared" si="20"/>
        <v>0</v>
      </c>
    </row>
    <row r="612" spans="4:14" ht="15">
      <c r="D612" s="26"/>
      <c r="E612" s="26"/>
      <c r="F612" t="str">
        <f ca="1">IF(Inventory[[#This Row],[Product Category]]="","",IF(E612&lt;TODAY(),"EXPIRED",
IF(E612&lt;=TODAY()+30,"&lt;30 DAYS",
IF(E612&lt;=TODAY()+60,"&lt;60 DAYS",IF(E612=0,"","")))))</f>
        <v/>
      </c>
      <c r="H612">
        <f>SUMIF(Purchases[Product ID],A612,Purchases[Quantity])</f>
        <v>0</v>
      </c>
      <c r="I612">
        <f>SUMIF(Sales[Product Name],Inventory[[#This Row],[Product Name]],Sales[Quantity Sold])</f>
        <v>0</v>
      </c>
      <c r="J612">
        <f t="shared" si="19"/>
        <v>0</v>
      </c>
      <c r="N612">
        <f t="shared" si="20"/>
        <v>0</v>
      </c>
    </row>
    <row r="613" spans="4:14" ht="15">
      <c r="D613" s="26"/>
      <c r="E613" s="26"/>
      <c r="F613" t="str">
        <f ca="1">IF(Inventory[[#This Row],[Product Category]]="","",IF(E613&lt;TODAY(),"EXPIRED",
IF(E613&lt;=TODAY()+30,"&lt;30 DAYS",
IF(E613&lt;=TODAY()+60,"&lt;60 DAYS",IF(E613=0,"","")))))</f>
        <v/>
      </c>
      <c r="H613">
        <f>SUMIF(Purchases[Product ID],A613,Purchases[Quantity])</f>
        <v>0</v>
      </c>
      <c r="I613">
        <f>SUMIF(Sales[Product Name],Inventory[[#This Row],[Product Name]],Sales[Quantity Sold])</f>
        <v>0</v>
      </c>
      <c r="J613">
        <f t="shared" si="19"/>
        <v>0</v>
      </c>
      <c r="N613">
        <f t="shared" si="20"/>
        <v>0</v>
      </c>
    </row>
    <row r="614" spans="4:14" ht="15">
      <c r="D614" s="26"/>
      <c r="E614" s="26"/>
      <c r="F614" t="str">
        <f ca="1">IF(Inventory[[#This Row],[Product Category]]="","",IF(E614&lt;TODAY(),"EXPIRED",
IF(E614&lt;=TODAY()+30,"&lt;30 DAYS",
IF(E614&lt;=TODAY()+60,"&lt;60 DAYS",IF(E614=0,"","")))))</f>
        <v/>
      </c>
      <c r="H614">
        <f>SUMIF(Purchases[Product ID],A614,Purchases[Quantity])</f>
        <v>0</v>
      </c>
      <c r="I614">
        <f>SUMIF(Sales[Product Name],Inventory[[#This Row],[Product Name]],Sales[Quantity Sold])</f>
        <v>0</v>
      </c>
      <c r="J614">
        <f t="shared" si="19"/>
        <v>0</v>
      </c>
      <c r="N614">
        <f t="shared" si="20"/>
        <v>0</v>
      </c>
    </row>
    <row r="615" spans="4:14" ht="15">
      <c r="D615" s="26"/>
      <c r="E615" s="26"/>
      <c r="F615" t="str">
        <f ca="1">IF(Inventory[[#This Row],[Product Category]]="","",IF(E615&lt;TODAY(),"EXPIRED",
IF(E615&lt;=TODAY()+30,"&lt;30 DAYS",
IF(E615&lt;=TODAY()+60,"&lt;60 DAYS",IF(E615=0,"","")))))</f>
        <v/>
      </c>
      <c r="H615">
        <f>SUMIF(Purchases[Product ID],A615,Purchases[Quantity])</f>
        <v>0</v>
      </c>
      <c r="I615">
        <f>SUMIF(Sales[Product Name],Inventory[[#This Row],[Product Name]],Sales[Quantity Sold])</f>
        <v>0</v>
      </c>
      <c r="J615">
        <f t="shared" si="19"/>
        <v>0</v>
      </c>
      <c r="N615">
        <f t="shared" si="20"/>
        <v>0</v>
      </c>
    </row>
    <row r="616" spans="4:14" ht="15">
      <c r="D616" s="26"/>
      <c r="E616" s="26"/>
      <c r="F616" t="str">
        <f ca="1">IF(Inventory[[#This Row],[Product Category]]="","",IF(E616&lt;TODAY(),"EXPIRED",
IF(E616&lt;=TODAY()+30,"&lt;30 DAYS",
IF(E616&lt;=TODAY()+60,"&lt;60 DAYS",IF(E616=0,"","")))))</f>
        <v/>
      </c>
      <c r="H616">
        <f>SUMIF(Purchases[Product ID],A616,Purchases[Quantity])</f>
        <v>0</v>
      </c>
      <c r="I616">
        <f>SUMIF(Sales[Product Name],Inventory[[#This Row],[Product Name]],Sales[Quantity Sold])</f>
        <v>0</v>
      </c>
      <c r="J616">
        <f t="shared" si="19"/>
        <v>0</v>
      </c>
      <c r="N616">
        <f t="shared" si="20"/>
        <v>0</v>
      </c>
    </row>
    <row r="617" spans="4:14" ht="15">
      <c r="D617" s="26"/>
      <c r="E617" s="26"/>
      <c r="F617" t="str">
        <f ca="1">IF(Inventory[[#This Row],[Product Category]]="","",IF(E617&lt;TODAY(),"EXPIRED",
IF(E617&lt;=TODAY()+30,"&lt;30 DAYS",
IF(E617&lt;=TODAY()+60,"&lt;60 DAYS",IF(E617=0,"","")))))</f>
        <v/>
      </c>
      <c r="H617">
        <f>SUMIF(Purchases[Product ID],A617,Purchases[Quantity])</f>
        <v>0</v>
      </c>
      <c r="I617">
        <f>SUMIF(Sales[Product Name],Inventory[[#This Row],[Product Name]],Sales[Quantity Sold])</f>
        <v>0</v>
      </c>
      <c r="J617">
        <f t="shared" si="19"/>
        <v>0</v>
      </c>
      <c r="N617">
        <f t="shared" si="20"/>
        <v>0</v>
      </c>
    </row>
    <row r="618" spans="4:14" ht="15">
      <c r="D618" s="26"/>
      <c r="E618" s="26"/>
      <c r="F618" t="str">
        <f ca="1">IF(Inventory[[#This Row],[Product Category]]="","",IF(E618&lt;TODAY(),"EXPIRED",
IF(E618&lt;=TODAY()+30,"&lt;30 DAYS",
IF(E618&lt;=TODAY()+60,"&lt;60 DAYS",IF(E618=0,"","")))))</f>
        <v/>
      </c>
      <c r="H618">
        <f>SUMIF(Purchases[Product ID],A618,Purchases[Quantity])</f>
        <v>0</v>
      </c>
      <c r="I618">
        <f>SUMIF(Sales[Product Name],Inventory[[#This Row],[Product Name]],Sales[Quantity Sold])</f>
        <v>0</v>
      </c>
      <c r="J618">
        <f t="shared" si="19"/>
        <v>0</v>
      </c>
      <c r="N618">
        <f t="shared" si="20"/>
        <v>0</v>
      </c>
    </row>
    <row r="619" spans="4:14" ht="15">
      <c r="D619" s="26"/>
      <c r="E619" s="26"/>
      <c r="F619" t="str">
        <f ca="1">IF(Inventory[[#This Row],[Product Category]]="","",IF(E619&lt;TODAY(),"EXPIRED",
IF(E619&lt;=TODAY()+30,"&lt;30 DAYS",
IF(E619&lt;=TODAY()+60,"&lt;60 DAYS",IF(E619=0,"","")))))</f>
        <v/>
      </c>
      <c r="H619">
        <f>SUMIF(Purchases[Product ID],A619,Purchases[Quantity])</f>
        <v>0</v>
      </c>
      <c r="I619">
        <f>SUMIF(Sales[Product Name],Inventory[[#This Row],[Product Name]],Sales[Quantity Sold])</f>
        <v>0</v>
      </c>
      <c r="J619">
        <f t="shared" si="19"/>
        <v>0</v>
      </c>
      <c r="N619">
        <f t="shared" si="20"/>
        <v>0</v>
      </c>
    </row>
    <row r="620" spans="4:14" ht="15">
      <c r="D620" s="26"/>
      <c r="E620" s="26"/>
      <c r="F620" t="str">
        <f ca="1">IF(Inventory[[#This Row],[Product Category]]="","",IF(E620&lt;TODAY(),"EXPIRED",
IF(E620&lt;=TODAY()+30,"&lt;30 DAYS",
IF(E620&lt;=TODAY()+60,"&lt;60 DAYS",IF(E620=0,"","")))))</f>
        <v/>
      </c>
      <c r="H620">
        <f>SUMIF(Purchases[Product ID],A620,Purchases[Quantity])</f>
        <v>0</v>
      </c>
      <c r="I620">
        <f>SUMIF(Sales[Product Name],Inventory[[#This Row],[Product Name]],Sales[Quantity Sold])</f>
        <v>0</v>
      </c>
      <c r="J620">
        <f t="shared" si="19"/>
        <v>0</v>
      </c>
      <c r="N620">
        <f t="shared" si="20"/>
        <v>0</v>
      </c>
    </row>
    <row r="621" spans="4:14" ht="15">
      <c r="D621" s="26"/>
      <c r="E621" s="26"/>
      <c r="F621" t="str">
        <f ca="1">IF(Inventory[[#This Row],[Product Category]]="","",IF(E621&lt;TODAY(),"EXPIRED",
IF(E621&lt;=TODAY()+30,"&lt;30 DAYS",
IF(E621&lt;=TODAY()+60,"&lt;60 DAYS",IF(E621=0,"","")))))</f>
        <v/>
      </c>
      <c r="H621">
        <f>SUMIF(Purchases[Product ID],A621,Purchases[Quantity])</f>
        <v>0</v>
      </c>
      <c r="I621">
        <f>SUMIF(Sales[Product Name],Inventory[[#This Row],[Product Name]],Sales[Quantity Sold])</f>
        <v>0</v>
      </c>
      <c r="J621">
        <f t="shared" si="19"/>
        <v>0</v>
      </c>
      <c r="N621">
        <f t="shared" si="20"/>
        <v>0</v>
      </c>
    </row>
    <row r="622" spans="4:14" ht="15">
      <c r="D622" s="26"/>
      <c r="E622" s="26"/>
      <c r="F622" t="str">
        <f ca="1">IF(Inventory[[#This Row],[Product Category]]="","",IF(E622&lt;TODAY(),"EXPIRED",
IF(E622&lt;=TODAY()+30,"&lt;30 DAYS",
IF(E622&lt;=TODAY()+60,"&lt;60 DAYS",IF(E622=0,"","")))))</f>
        <v/>
      </c>
      <c r="H622">
        <f>SUMIF(Purchases[Product ID],A622,Purchases[Quantity])</f>
        <v>0</v>
      </c>
      <c r="I622">
        <f>SUMIF(Sales[Product Name],Inventory[[#This Row],[Product Name]],Sales[Quantity Sold])</f>
        <v>0</v>
      </c>
      <c r="J622">
        <f t="shared" si="19"/>
        <v>0</v>
      </c>
      <c r="N622">
        <f t="shared" si="20"/>
        <v>0</v>
      </c>
    </row>
    <row r="623" spans="4:14" ht="15">
      <c r="D623" s="26"/>
      <c r="E623" s="26"/>
      <c r="F623" t="str">
        <f ca="1">IF(Inventory[[#This Row],[Product Category]]="","",IF(E623&lt;TODAY(),"EXPIRED",
IF(E623&lt;=TODAY()+30,"&lt;30 DAYS",
IF(E623&lt;=TODAY()+60,"&lt;60 DAYS",IF(E623=0,"","")))))</f>
        <v/>
      </c>
      <c r="H623">
        <f>SUMIF(Purchases[Product ID],A623,Purchases[Quantity])</f>
        <v>0</v>
      </c>
      <c r="I623">
        <f>SUMIF(Sales[Product Name],Inventory[[#This Row],[Product Name]],Sales[Quantity Sold])</f>
        <v>0</v>
      </c>
      <c r="J623">
        <f t="shared" si="19"/>
        <v>0</v>
      </c>
      <c r="N623">
        <f t="shared" si="20"/>
        <v>0</v>
      </c>
    </row>
    <row r="624" spans="4:14" ht="15">
      <c r="D624" s="26"/>
      <c r="E624" s="26"/>
      <c r="F624" t="str">
        <f ca="1">IF(Inventory[[#This Row],[Product Category]]="","",IF(E624&lt;TODAY(),"EXPIRED",
IF(E624&lt;=TODAY()+30,"&lt;30 DAYS",
IF(E624&lt;=TODAY()+60,"&lt;60 DAYS",IF(E624=0,"","")))))</f>
        <v/>
      </c>
      <c r="H624">
        <f>SUMIF(Purchases[Product ID],A624,Purchases[Quantity])</f>
        <v>0</v>
      </c>
      <c r="I624">
        <f>SUMIF(Sales[Product Name],Inventory[[#This Row],[Product Name]],Sales[Quantity Sold])</f>
        <v>0</v>
      </c>
      <c r="J624">
        <f t="shared" si="19"/>
        <v>0</v>
      </c>
      <c r="N624">
        <f t="shared" si="20"/>
        <v>0</v>
      </c>
    </row>
    <row r="625" spans="4:14" ht="15">
      <c r="D625" s="26"/>
      <c r="E625" s="26"/>
      <c r="F625" t="str">
        <f ca="1">IF(Inventory[[#This Row],[Product Category]]="","",IF(E625&lt;TODAY(),"EXPIRED",
IF(E625&lt;=TODAY()+30,"&lt;30 DAYS",
IF(E625&lt;=TODAY()+60,"&lt;60 DAYS",IF(E625=0,"","")))))</f>
        <v/>
      </c>
      <c r="H625">
        <f>SUMIF(Purchases[Product ID],A625,Purchases[Quantity])</f>
        <v>0</v>
      </c>
      <c r="I625">
        <f>SUMIF(Sales[Product Name],Inventory[[#This Row],[Product Name]],Sales[Quantity Sold])</f>
        <v>0</v>
      </c>
      <c r="J625">
        <f t="shared" si="19"/>
        <v>0</v>
      </c>
      <c r="N625">
        <f t="shared" si="20"/>
        <v>0</v>
      </c>
    </row>
    <row r="626" spans="4:14" ht="15">
      <c r="D626" s="26"/>
      <c r="E626" s="26"/>
      <c r="F626" t="str">
        <f ca="1">IF(Inventory[[#This Row],[Product Category]]="","",IF(E626&lt;TODAY(),"EXPIRED",
IF(E626&lt;=TODAY()+30,"&lt;30 DAYS",
IF(E626&lt;=TODAY()+60,"&lt;60 DAYS",IF(E626=0,"","")))))</f>
        <v/>
      </c>
      <c r="H626">
        <f>SUMIF(Purchases[Product ID],A626,Purchases[Quantity])</f>
        <v>0</v>
      </c>
      <c r="I626">
        <f>SUMIF(Sales[Product Name],Inventory[[#This Row],[Product Name]],Sales[Quantity Sold])</f>
        <v>0</v>
      </c>
      <c r="J626">
        <f t="shared" si="19"/>
        <v>0</v>
      </c>
      <c r="N626">
        <f t="shared" si="20"/>
        <v>0</v>
      </c>
    </row>
    <row r="627" spans="4:14" ht="15">
      <c r="D627" s="26"/>
      <c r="E627" s="26"/>
      <c r="F627" t="str">
        <f ca="1">IF(Inventory[[#This Row],[Product Category]]="","",IF(E627&lt;TODAY(),"EXPIRED",
IF(E627&lt;=TODAY()+30,"&lt;30 DAYS",
IF(E627&lt;=TODAY()+60,"&lt;60 DAYS",IF(E627=0,"","")))))</f>
        <v/>
      </c>
      <c r="H627">
        <f>SUMIF(Purchases[Product ID],A627,Purchases[Quantity])</f>
        <v>0</v>
      </c>
      <c r="I627">
        <f>SUMIF(Sales[Product Name],Inventory[[#This Row],[Product Name]],Sales[Quantity Sold])</f>
        <v>0</v>
      </c>
      <c r="J627">
        <f t="shared" si="19"/>
        <v>0</v>
      </c>
      <c r="N627">
        <f t="shared" si="20"/>
        <v>0</v>
      </c>
    </row>
    <row r="628" spans="4:14" ht="15">
      <c r="D628" s="26"/>
      <c r="E628" s="26"/>
      <c r="F628" t="str">
        <f ca="1">IF(Inventory[[#This Row],[Product Category]]="","",IF(E628&lt;TODAY(),"EXPIRED",
IF(E628&lt;=TODAY()+30,"&lt;30 DAYS",
IF(E628&lt;=TODAY()+60,"&lt;60 DAYS",IF(E628=0,"","")))))</f>
        <v/>
      </c>
      <c r="H628">
        <f>SUMIF(Purchases[Product ID],A628,Purchases[Quantity])</f>
        <v>0</v>
      </c>
      <c r="I628">
        <f>SUMIF(Sales[Product Name],Inventory[[#This Row],[Product Name]],Sales[Quantity Sold])</f>
        <v>0</v>
      </c>
      <c r="J628">
        <f t="shared" si="19"/>
        <v>0</v>
      </c>
      <c r="N628">
        <f t="shared" si="20"/>
        <v>0</v>
      </c>
    </row>
    <row r="629" spans="4:14" ht="15">
      <c r="D629" s="26"/>
      <c r="E629" s="26"/>
      <c r="F629" t="str">
        <f ca="1">IF(Inventory[[#This Row],[Product Category]]="","",IF(E629&lt;TODAY(),"EXPIRED",
IF(E629&lt;=TODAY()+30,"&lt;30 DAYS",
IF(E629&lt;=TODAY()+60,"&lt;60 DAYS",IF(E629=0,"","")))))</f>
        <v/>
      </c>
      <c r="H629">
        <f>SUMIF(Purchases[Product ID],A629,Purchases[Quantity])</f>
        <v>0</v>
      </c>
      <c r="I629">
        <f>SUMIF(Sales[Product Name],Inventory[[#This Row],[Product Name]],Sales[Quantity Sold])</f>
        <v>0</v>
      </c>
      <c r="J629">
        <f t="shared" si="19"/>
        <v>0</v>
      </c>
      <c r="N629">
        <f t="shared" si="20"/>
        <v>0</v>
      </c>
    </row>
    <row r="630" spans="4:14" ht="15">
      <c r="D630" s="26"/>
      <c r="E630" s="26"/>
      <c r="F630" t="str">
        <f ca="1">IF(Inventory[[#This Row],[Product Category]]="","",IF(E630&lt;TODAY(),"EXPIRED",
IF(E630&lt;=TODAY()+30,"&lt;30 DAYS",
IF(E630&lt;=TODAY()+60,"&lt;60 DAYS",IF(E630=0,"","")))))</f>
        <v/>
      </c>
      <c r="H630">
        <f>SUMIF(Purchases[Product ID],A630,Purchases[Quantity])</f>
        <v>0</v>
      </c>
      <c r="I630">
        <f>SUMIF(Sales[Product Name],Inventory[[#This Row],[Product Name]],Sales[Quantity Sold])</f>
        <v>0</v>
      </c>
      <c r="J630">
        <f t="shared" si="19"/>
        <v>0</v>
      </c>
      <c r="N630">
        <f t="shared" si="20"/>
        <v>0</v>
      </c>
    </row>
    <row r="631" spans="4:14" ht="15">
      <c r="D631" s="26"/>
      <c r="E631" s="26"/>
      <c r="F631" t="str">
        <f ca="1">IF(Inventory[[#This Row],[Product Category]]="","",IF(E631&lt;TODAY(),"EXPIRED",
IF(E631&lt;=TODAY()+30,"&lt;30 DAYS",
IF(E631&lt;=TODAY()+60,"&lt;60 DAYS",IF(E631=0,"","")))))</f>
        <v/>
      </c>
      <c r="H631">
        <f>SUMIF(Purchases[Product ID],A631,Purchases[Quantity])</f>
        <v>0</v>
      </c>
      <c r="I631">
        <f>SUMIF(Sales[Product Name],Inventory[[#This Row],[Product Name]],Sales[Quantity Sold])</f>
        <v>0</v>
      </c>
      <c r="J631">
        <f t="shared" si="19"/>
        <v>0</v>
      </c>
      <c r="N631">
        <f t="shared" si="20"/>
        <v>0</v>
      </c>
    </row>
    <row r="632" spans="4:14" ht="15">
      <c r="D632" s="26"/>
      <c r="E632" s="26"/>
      <c r="F632" t="str">
        <f ca="1">IF(Inventory[[#This Row],[Product Category]]="","",IF(E632&lt;TODAY(),"EXPIRED",
IF(E632&lt;=TODAY()+30,"&lt;30 DAYS",
IF(E632&lt;=TODAY()+60,"&lt;60 DAYS",IF(E632=0,"","")))))</f>
        <v/>
      </c>
      <c r="H632">
        <f>SUMIF(Purchases[Product ID],A632,Purchases[Quantity])</f>
        <v>0</v>
      </c>
      <c r="I632">
        <f>SUMIF(Sales[Product Name],Inventory[[#This Row],[Product Name]],Sales[Quantity Sold])</f>
        <v>0</v>
      </c>
      <c r="J632">
        <f t="shared" si="19"/>
        <v>0</v>
      </c>
      <c r="N632">
        <f t="shared" si="20"/>
        <v>0</v>
      </c>
    </row>
    <row r="633" spans="4:14" ht="15">
      <c r="D633" s="26"/>
      <c r="E633" s="26"/>
      <c r="F633" t="str">
        <f ca="1">IF(Inventory[[#This Row],[Product Category]]="","",IF(E633&lt;TODAY(),"EXPIRED",
IF(E633&lt;=TODAY()+30,"&lt;30 DAYS",
IF(E633&lt;=TODAY()+60,"&lt;60 DAYS",IF(E633=0,"","")))))</f>
        <v/>
      </c>
      <c r="H633">
        <f>SUMIF(Purchases[Product ID],A633,Purchases[Quantity])</f>
        <v>0</v>
      </c>
      <c r="I633">
        <f>SUMIF(Sales[Product Name],Inventory[[#This Row],[Product Name]],Sales[Quantity Sold])</f>
        <v>0</v>
      </c>
      <c r="J633">
        <f t="shared" si="19"/>
        <v>0</v>
      </c>
      <c r="N633">
        <f t="shared" si="20"/>
        <v>0</v>
      </c>
    </row>
    <row r="634" spans="4:14" ht="15">
      <c r="D634" s="26"/>
      <c r="E634" s="26"/>
      <c r="F634" t="str">
        <f ca="1">IF(Inventory[[#This Row],[Product Category]]="","",IF(E634&lt;TODAY(),"EXPIRED",
IF(E634&lt;=TODAY()+30,"&lt;30 DAYS",
IF(E634&lt;=TODAY()+60,"&lt;60 DAYS",IF(E634=0,"","")))))</f>
        <v/>
      </c>
      <c r="H634">
        <f>SUMIF(Purchases[Product ID],A634,Purchases[Quantity])</f>
        <v>0</v>
      </c>
      <c r="I634">
        <f>SUMIF(Sales[Product Name],Inventory[[#This Row],[Product Name]],Sales[Quantity Sold])</f>
        <v>0</v>
      </c>
      <c r="J634">
        <f t="shared" si="19"/>
        <v>0</v>
      </c>
      <c r="N634">
        <f t="shared" si="20"/>
        <v>0</v>
      </c>
    </row>
    <row r="635" spans="4:14" ht="15">
      <c r="D635" s="26"/>
      <c r="E635" s="26"/>
      <c r="F635" t="str">
        <f ca="1">IF(Inventory[[#This Row],[Product Category]]="","",IF(E635&lt;TODAY(),"EXPIRED",
IF(E635&lt;=TODAY()+30,"&lt;30 DAYS",
IF(E635&lt;=TODAY()+60,"&lt;60 DAYS",IF(E635=0,"","")))))</f>
        <v/>
      </c>
      <c r="H635">
        <f>SUMIF(Purchases[Product ID],A635,Purchases[Quantity])</f>
        <v>0</v>
      </c>
      <c r="I635">
        <f>SUMIF(Sales[Product Name],Inventory[[#This Row],[Product Name]],Sales[Quantity Sold])</f>
        <v>0</v>
      </c>
      <c r="J635">
        <f t="shared" si="19"/>
        <v>0</v>
      </c>
      <c r="N635">
        <f t="shared" si="20"/>
        <v>0</v>
      </c>
    </row>
    <row r="636" spans="4:14" ht="15">
      <c r="D636" s="26"/>
      <c r="E636" s="26"/>
      <c r="F636" t="str">
        <f ca="1">IF(Inventory[[#This Row],[Product Category]]="","",IF(E636&lt;TODAY(),"EXPIRED",
IF(E636&lt;=TODAY()+30,"&lt;30 DAYS",
IF(E636&lt;=TODAY()+60,"&lt;60 DAYS",IF(E636=0,"","")))))</f>
        <v/>
      </c>
      <c r="H636">
        <f>SUMIF(Purchases[Product ID],A636,Purchases[Quantity])</f>
        <v>0</v>
      </c>
      <c r="I636">
        <f>SUMIF(Sales[Product Name],Inventory[[#This Row],[Product Name]],Sales[Quantity Sold])</f>
        <v>0</v>
      </c>
      <c r="J636">
        <f t="shared" si="19"/>
        <v>0</v>
      </c>
      <c r="N636">
        <f t="shared" si="20"/>
        <v>0</v>
      </c>
    </row>
    <row r="637" spans="4:14" ht="15">
      <c r="D637" s="26"/>
      <c r="E637" s="26"/>
      <c r="F637" t="str">
        <f ca="1">IF(Inventory[[#This Row],[Product Category]]="","",IF(E637&lt;TODAY(),"EXPIRED",
IF(E637&lt;=TODAY()+30,"&lt;30 DAYS",
IF(E637&lt;=TODAY()+60,"&lt;60 DAYS",IF(E637=0,"","")))))</f>
        <v/>
      </c>
      <c r="H637">
        <f>SUMIF(Purchases[Product ID],A637,Purchases[Quantity])</f>
        <v>0</v>
      </c>
      <c r="I637">
        <f>SUMIF(Sales[Product Name],Inventory[[#This Row],[Product Name]],Sales[Quantity Sold])</f>
        <v>0</v>
      </c>
      <c r="J637">
        <f t="shared" si="19"/>
        <v>0</v>
      </c>
      <c r="N637">
        <f t="shared" si="20"/>
        <v>0</v>
      </c>
    </row>
    <row r="638" spans="4:14" ht="15">
      <c r="D638" s="26"/>
      <c r="E638" s="26"/>
      <c r="F638" t="str">
        <f ca="1">IF(Inventory[[#This Row],[Product Category]]="","",IF(E638&lt;TODAY(),"EXPIRED",
IF(E638&lt;=TODAY()+30,"&lt;30 DAYS",
IF(E638&lt;=TODAY()+60,"&lt;60 DAYS",IF(E638=0,"","")))))</f>
        <v/>
      </c>
      <c r="H638">
        <f>SUMIF(Purchases[Product ID],A638,Purchases[Quantity])</f>
        <v>0</v>
      </c>
      <c r="I638">
        <f>SUMIF(Sales[Product Name],Inventory[[#This Row],[Product Name]],Sales[Quantity Sold])</f>
        <v>0</v>
      </c>
      <c r="J638">
        <f t="shared" si="19"/>
        <v>0</v>
      </c>
      <c r="N638">
        <f t="shared" si="20"/>
        <v>0</v>
      </c>
    </row>
    <row r="639" spans="4:14" ht="15">
      <c r="D639" s="26"/>
      <c r="E639" s="26"/>
      <c r="F639" t="str">
        <f ca="1">IF(Inventory[[#This Row],[Product Category]]="","",IF(E639&lt;TODAY(),"EXPIRED",
IF(E639&lt;=TODAY()+30,"&lt;30 DAYS",
IF(E639&lt;=TODAY()+60,"&lt;60 DAYS",IF(E639=0,"","")))))</f>
        <v/>
      </c>
      <c r="H639">
        <f>SUMIF(Purchases[Product ID],A639,Purchases[Quantity])</f>
        <v>0</v>
      </c>
      <c r="I639">
        <f>SUMIF(Sales[Product Name],Inventory[[#This Row],[Product Name]],Sales[Quantity Sold])</f>
        <v>0</v>
      </c>
      <c r="J639">
        <f t="shared" si="19"/>
        <v>0</v>
      </c>
      <c r="N639">
        <f t="shared" si="20"/>
        <v>0</v>
      </c>
    </row>
    <row r="640" spans="4:14" ht="15">
      <c r="D640" s="26"/>
      <c r="E640" s="26"/>
      <c r="F640" t="str">
        <f ca="1">IF(Inventory[[#This Row],[Product Category]]="","",IF(E640&lt;TODAY(),"EXPIRED",
IF(E640&lt;=TODAY()+30,"&lt;30 DAYS",
IF(E640&lt;=TODAY()+60,"&lt;60 DAYS",IF(E640=0,"","")))))</f>
        <v/>
      </c>
      <c r="H640">
        <f>SUMIF(Purchases[Product ID],A640,Purchases[Quantity])</f>
        <v>0</v>
      </c>
      <c r="I640">
        <f>SUMIF(Sales[Product Name],Inventory[[#This Row],[Product Name]],Sales[Quantity Sold])</f>
        <v>0</v>
      </c>
      <c r="J640">
        <f t="shared" si="19"/>
        <v>0</v>
      </c>
      <c r="N640">
        <f t="shared" si="20"/>
        <v>0</v>
      </c>
    </row>
    <row r="641" spans="4:14" ht="15">
      <c r="D641" s="26"/>
      <c r="E641" s="26"/>
      <c r="F641" t="str">
        <f ca="1">IF(Inventory[[#This Row],[Product Category]]="","",IF(E641&lt;TODAY(),"EXPIRED",
IF(E641&lt;=TODAY()+30,"&lt;30 DAYS",
IF(E641&lt;=TODAY()+60,"&lt;60 DAYS",IF(E641=0,"","")))))</f>
        <v/>
      </c>
      <c r="H641">
        <f>SUMIF(Purchases[Product ID],A641,Purchases[Quantity])</f>
        <v>0</v>
      </c>
      <c r="I641">
        <f>SUMIF(Sales[Product Name],Inventory[[#This Row],[Product Name]],Sales[Quantity Sold])</f>
        <v>0</v>
      </c>
      <c r="J641">
        <f t="shared" si="19"/>
        <v>0</v>
      </c>
      <c r="N641">
        <f t="shared" si="20"/>
        <v>0</v>
      </c>
    </row>
    <row r="642" spans="4:14" ht="15">
      <c r="D642" s="26"/>
      <c r="E642" s="26"/>
      <c r="F642" t="str">
        <f ca="1">IF(Inventory[[#This Row],[Product Category]]="","",IF(E642&lt;TODAY(),"EXPIRED",
IF(E642&lt;=TODAY()+30,"&lt;30 DAYS",
IF(E642&lt;=TODAY()+60,"&lt;60 DAYS",IF(E642=0,"","")))))</f>
        <v/>
      </c>
      <c r="H642">
        <f>SUMIF(Purchases[Product ID],A642,Purchases[Quantity])</f>
        <v>0</v>
      </c>
      <c r="I642">
        <f>SUMIF(Sales[Product Name],Inventory[[#This Row],[Product Name]],Sales[Quantity Sold])</f>
        <v>0</v>
      </c>
      <c r="J642">
        <f t="shared" si="19"/>
        <v>0</v>
      </c>
      <c r="N642">
        <f t="shared" si="20"/>
        <v>0</v>
      </c>
    </row>
    <row r="643" spans="4:14" ht="15">
      <c r="D643" s="26"/>
      <c r="E643" s="26"/>
      <c r="F643" t="str">
        <f ca="1">IF(Inventory[[#This Row],[Product Category]]="","",IF(E643&lt;TODAY(),"EXPIRED",
IF(E643&lt;=TODAY()+30,"&lt;30 DAYS",
IF(E643&lt;=TODAY()+60,"&lt;60 DAYS",IF(E643=0,"","")))))</f>
        <v/>
      </c>
      <c r="H643">
        <f>SUMIF(Purchases[Product ID],A643,Purchases[Quantity])</f>
        <v>0</v>
      </c>
      <c r="I643">
        <f>SUMIF(Sales[Product Name],Inventory[[#This Row],[Product Name]],Sales[Quantity Sold])</f>
        <v>0</v>
      </c>
      <c r="J643">
        <f t="shared" si="19"/>
        <v>0</v>
      </c>
      <c r="N643">
        <f t="shared" si="20"/>
        <v>0</v>
      </c>
    </row>
    <row r="644" spans="4:14" ht="15">
      <c r="D644" s="26"/>
      <c r="E644" s="26"/>
      <c r="F644" t="str">
        <f ca="1">IF(Inventory[[#This Row],[Product Category]]="","",IF(E644&lt;TODAY(),"EXPIRED",
IF(E644&lt;=TODAY()+30,"&lt;30 DAYS",
IF(E644&lt;=TODAY()+60,"&lt;60 DAYS",IF(E644=0,"","")))))</f>
        <v/>
      </c>
      <c r="H644">
        <f>SUMIF(Purchases[Product ID],A644,Purchases[Quantity])</f>
        <v>0</v>
      </c>
      <c r="I644">
        <f>SUMIF(Sales[Product Name],Inventory[[#This Row],[Product Name]],Sales[Quantity Sold])</f>
        <v>0</v>
      </c>
      <c r="J644">
        <f t="shared" si="19"/>
        <v>0</v>
      </c>
      <c r="N644">
        <f t="shared" si="20"/>
        <v>0</v>
      </c>
    </row>
    <row r="645" spans="4:14" ht="15">
      <c r="D645" s="26"/>
      <c r="E645" s="26"/>
      <c r="F645" t="str">
        <f ca="1">IF(Inventory[[#This Row],[Product Category]]="","",IF(E645&lt;TODAY(),"EXPIRED",
IF(E645&lt;=TODAY()+30,"&lt;30 DAYS",
IF(E645&lt;=TODAY()+60,"&lt;60 DAYS",IF(E645=0,"","")))))</f>
        <v/>
      </c>
      <c r="H645">
        <f>SUMIF(Purchases[Product ID],A645,Purchases[Quantity])</f>
        <v>0</v>
      </c>
      <c r="I645">
        <f>SUMIF(Sales[Product Name],Inventory[[#This Row],[Product Name]],Sales[Quantity Sold])</f>
        <v>0</v>
      </c>
      <c r="J645">
        <f t="shared" si="19"/>
        <v>0</v>
      </c>
      <c r="N645">
        <f t="shared" si="20"/>
        <v>0</v>
      </c>
    </row>
    <row r="646" spans="4:14" ht="15">
      <c r="D646" s="26"/>
      <c r="E646" s="26"/>
      <c r="F646" t="str">
        <f ca="1">IF(Inventory[[#This Row],[Product Category]]="","",IF(E646&lt;TODAY(),"EXPIRED",
IF(E646&lt;=TODAY()+30,"&lt;30 DAYS",
IF(E646&lt;=TODAY()+60,"&lt;60 DAYS",IF(E646=0,"","")))))</f>
        <v/>
      </c>
      <c r="H646">
        <f>SUMIF(Purchases[Product ID],A646,Purchases[Quantity])</f>
        <v>0</v>
      </c>
      <c r="I646">
        <f>SUMIF(Sales[Product Name],Inventory[[#This Row],[Product Name]],Sales[Quantity Sold])</f>
        <v>0</v>
      </c>
      <c r="J646">
        <f t="shared" si="19"/>
        <v>0</v>
      </c>
      <c r="N646">
        <f t="shared" si="20"/>
        <v>0</v>
      </c>
    </row>
    <row r="647" spans="4:14" ht="15">
      <c r="D647" s="26"/>
      <c r="E647" s="26"/>
      <c r="F647" t="str">
        <f ca="1">IF(Inventory[[#This Row],[Product Category]]="","",IF(E647&lt;TODAY(),"EXPIRED",
IF(E647&lt;=TODAY()+30,"&lt;30 DAYS",
IF(E647&lt;=TODAY()+60,"&lt;60 DAYS",IF(E647=0,"","")))))</f>
        <v/>
      </c>
      <c r="H647">
        <f>SUMIF(Purchases[Product ID],A647,Purchases[Quantity])</f>
        <v>0</v>
      </c>
      <c r="I647">
        <f>SUMIF(Sales[Product Name],Inventory[[#This Row],[Product Name]],Sales[Quantity Sold])</f>
        <v>0</v>
      </c>
      <c r="J647">
        <f t="shared" si="19"/>
        <v>0</v>
      </c>
      <c r="N647">
        <f t="shared" si="20"/>
        <v>0</v>
      </c>
    </row>
    <row r="648" spans="4:14" ht="15">
      <c r="D648" s="26"/>
      <c r="E648" s="26"/>
      <c r="F648" t="str">
        <f ca="1">IF(Inventory[[#This Row],[Product Category]]="","",IF(E648&lt;TODAY(),"EXPIRED",
IF(E648&lt;=TODAY()+30,"&lt;30 DAYS",
IF(E648&lt;=TODAY()+60,"&lt;60 DAYS",IF(E648=0,"","")))))</f>
        <v/>
      </c>
      <c r="H648">
        <f>SUMIF(Purchases[Product ID],A648,Purchases[Quantity])</f>
        <v>0</v>
      </c>
      <c r="I648">
        <f>SUMIF(Sales[Product Name],Inventory[[#This Row],[Product Name]],Sales[Quantity Sold])</f>
        <v>0</v>
      </c>
      <c r="J648">
        <f t="shared" ref="J648:J711" si="21">G648+H648-I648</f>
        <v>0</v>
      </c>
      <c r="N648">
        <f t="shared" ref="N648:N711" si="22">J648*L648</f>
        <v>0</v>
      </c>
    </row>
    <row r="649" spans="4:14" ht="15">
      <c r="D649" s="26"/>
      <c r="E649" s="26"/>
      <c r="F649" t="str">
        <f ca="1">IF(Inventory[[#This Row],[Product Category]]="","",IF(E649&lt;TODAY(),"EXPIRED",
IF(E649&lt;=TODAY()+30,"&lt;30 DAYS",
IF(E649&lt;=TODAY()+60,"&lt;60 DAYS",IF(E649=0,"","")))))</f>
        <v/>
      </c>
      <c r="H649">
        <f>SUMIF(Purchases[Product ID],A649,Purchases[Quantity])</f>
        <v>0</v>
      </c>
      <c r="I649">
        <f>SUMIF(Sales[Product Name],Inventory[[#This Row],[Product Name]],Sales[Quantity Sold])</f>
        <v>0</v>
      </c>
      <c r="J649">
        <f t="shared" si="21"/>
        <v>0</v>
      </c>
      <c r="N649">
        <f t="shared" si="22"/>
        <v>0</v>
      </c>
    </row>
    <row r="650" spans="4:14" ht="15">
      <c r="D650" s="26"/>
      <c r="E650" s="26"/>
      <c r="F650" t="str">
        <f ca="1">IF(Inventory[[#This Row],[Product Category]]="","",IF(E650&lt;TODAY(),"EXPIRED",
IF(E650&lt;=TODAY()+30,"&lt;30 DAYS",
IF(E650&lt;=TODAY()+60,"&lt;60 DAYS",IF(E650=0,"","")))))</f>
        <v/>
      </c>
      <c r="H650">
        <f>SUMIF(Purchases[Product ID],A650,Purchases[Quantity])</f>
        <v>0</v>
      </c>
      <c r="I650">
        <f>SUMIF(Sales[Product Name],Inventory[[#This Row],[Product Name]],Sales[Quantity Sold])</f>
        <v>0</v>
      </c>
      <c r="J650">
        <f t="shared" si="21"/>
        <v>0</v>
      </c>
      <c r="N650">
        <f t="shared" si="22"/>
        <v>0</v>
      </c>
    </row>
    <row r="651" spans="4:14" ht="15">
      <c r="D651" s="26"/>
      <c r="E651" s="26"/>
      <c r="F651" t="str">
        <f ca="1">IF(Inventory[[#This Row],[Product Category]]="","",IF(E651&lt;TODAY(),"EXPIRED",
IF(E651&lt;=TODAY()+30,"&lt;30 DAYS",
IF(E651&lt;=TODAY()+60,"&lt;60 DAYS",IF(E651=0,"","")))))</f>
        <v/>
      </c>
      <c r="H651">
        <f>SUMIF(Purchases[Product ID],A651,Purchases[Quantity])</f>
        <v>0</v>
      </c>
      <c r="I651">
        <f>SUMIF(Sales[Product Name],Inventory[[#This Row],[Product Name]],Sales[Quantity Sold])</f>
        <v>0</v>
      </c>
      <c r="J651">
        <f t="shared" si="21"/>
        <v>0</v>
      </c>
      <c r="N651">
        <f t="shared" si="22"/>
        <v>0</v>
      </c>
    </row>
    <row r="652" spans="4:14" ht="15">
      <c r="D652" s="26"/>
      <c r="E652" s="26"/>
      <c r="F652" t="str">
        <f ca="1">IF(Inventory[[#This Row],[Product Category]]="","",IF(E652&lt;TODAY(),"EXPIRED",
IF(E652&lt;=TODAY()+30,"&lt;30 DAYS",
IF(E652&lt;=TODAY()+60,"&lt;60 DAYS",IF(E652=0,"","")))))</f>
        <v/>
      </c>
      <c r="H652">
        <f>SUMIF(Purchases[Product ID],A652,Purchases[Quantity])</f>
        <v>0</v>
      </c>
      <c r="I652">
        <f>SUMIF(Sales[Product Name],Inventory[[#This Row],[Product Name]],Sales[Quantity Sold])</f>
        <v>0</v>
      </c>
      <c r="J652">
        <f t="shared" si="21"/>
        <v>0</v>
      </c>
      <c r="N652">
        <f t="shared" si="22"/>
        <v>0</v>
      </c>
    </row>
    <row r="653" spans="4:14" ht="15">
      <c r="D653" s="26"/>
      <c r="E653" s="26"/>
      <c r="F653" t="str">
        <f ca="1">IF(Inventory[[#This Row],[Product Category]]="","",IF(E653&lt;TODAY(),"EXPIRED",
IF(E653&lt;=TODAY()+30,"&lt;30 DAYS",
IF(E653&lt;=TODAY()+60,"&lt;60 DAYS",IF(E653=0,"","")))))</f>
        <v/>
      </c>
      <c r="H653">
        <f>SUMIF(Purchases[Product ID],A653,Purchases[Quantity])</f>
        <v>0</v>
      </c>
      <c r="I653">
        <f>SUMIF(Sales[Product Name],Inventory[[#This Row],[Product Name]],Sales[Quantity Sold])</f>
        <v>0</v>
      </c>
      <c r="J653">
        <f t="shared" si="21"/>
        <v>0</v>
      </c>
      <c r="N653">
        <f t="shared" si="22"/>
        <v>0</v>
      </c>
    </row>
    <row r="654" spans="4:14" ht="15">
      <c r="D654" s="26"/>
      <c r="E654" s="26"/>
      <c r="F654" t="str">
        <f ca="1">IF(Inventory[[#This Row],[Product Category]]="","",IF(E654&lt;TODAY(),"EXPIRED",
IF(E654&lt;=TODAY()+30,"&lt;30 DAYS",
IF(E654&lt;=TODAY()+60,"&lt;60 DAYS",IF(E654=0,"","")))))</f>
        <v/>
      </c>
      <c r="H654">
        <f>SUMIF(Purchases[Product ID],A654,Purchases[Quantity])</f>
        <v>0</v>
      </c>
      <c r="I654">
        <f>SUMIF(Sales[Product Name],Inventory[[#This Row],[Product Name]],Sales[Quantity Sold])</f>
        <v>0</v>
      </c>
      <c r="J654">
        <f t="shared" si="21"/>
        <v>0</v>
      </c>
      <c r="N654">
        <f t="shared" si="22"/>
        <v>0</v>
      </c>
    </row>
    <row r="655" spans="4:14" ht="15">
      <c r="D655" s="26"/>
      <c r="E655" s="26"/>
      <c r="F655" t="str">
        <f ca="1">IF(Inventory[[#This Row],[Product Category]]="","",IF(E655&lt;TODAY(),"EXPIRED",
IF(E655&lt;=TODAY()+30,"&lt;30 DAYS",
IF(E655&lt;=TODAY()+60,"&lt;60 DAYS",IF(E655=0,"","")))))</f>
        <v/>
      </c>
      <c r="H655">
        <f>SUMIF(Purchases[Product ID],A655,Purchases[Quantity])</f>
        <v>0</v>
      </c>
      <c r="I655">
        <f>SUMIF(Sales[Product Name],Inventory[[#This Row],[Product Name]],Sales[Quantity Sold])</f>
        <v>0</v>
      </c>
      <c r="J655">
        <f t="shared" si="21"/>
        <v>0</v>
      </c>
      <c r="N655">
        <f t="shared" si="22"/>
        <v>0</v>
      </c>
    </row>
    <row r="656" spans="4:14" ht="15">
      <c r="D656" s="26"/>
      <c r="E656" s="26"/>
      <c r="F656" t="str">
        <f ca="1">IF(Inventory[[#This Row],[Product Category]]="","",IF(E656&lt;TODAY(),"EXPIRED",
IF(E656&lt;=TODAY()+30,"&lt;30 DAYS",
IF(E656&lt;=TODAY()+60,"&lt;60 DAYS",IF(E656=0,"","")))))</f>
        <v/>
      </c>
      <c r="H656">
        <f>SUMIF(Purchases[Product ID],A656,Purchases[Quantity])</f>
        <v>0</v>
      </c>
      <c r="I656">
        <f>SUMIF(Sales[Product Name],Inventory[[#This Row],[Product Name]],Sales[Quantity Sold])</f>
        <v>0</v>
      </c>
      <c r="J656">
        <f t="shared" si="21"/>
        <v>0</v>
      </c>
      <c r="N656">
        <f t="shared" si="22"/>
        <v>0</v>
      </c>
    </row>
    <row r="657" spans="4:14" ht="15">
      <c r="D657" s="26"/>
      <c r="E657" s="26"/>
      <c r="F657" t="str">
        <f ca="1">IF(Inventory[[#This Row],[Product Category]]="","",IF(E657&lt;TODAY(),"EXPIRED",
IF(E657&lt;=TODAY()+30,"&lt;30 DAYS",
IF(E657&lt;=TODAY()+60,"&lt;60 DAYS",IF(E657=0,"","")))))</f>
        <v/>
      </c>
      <c r="H657">
        <f>SUMIF(Purchases[Product ID],A657,Purchases[Quantity])</f>
        <v>0</v>
      </c>
      <c r="I657">
        <f>SUMIF(Sales[Product Name],Inventory[[#This Row],[Product Name]],Sales[Quantity Sold])</f>
        <v>0</v>
      </c>
      <c r="J657">
        <f t="shared" si="21"/>
        <v>0</v>
      </c>
      <c r="N657">
        <f t="shared" si="22"/>
        <v>0</v>
      </c>
    </row>
    <row r="658" spans="4:14" ht="15">
      <c r="D658" s="26"/>
      <c r="E658" s="26"/>
      <c r="F658" t="str">
        <f ca="1">IF(Inventory[[#This Row],[Product Category]]="","",IF(E658&lt;TODAY(),"EXPIRED",
IF(E658&lt;=TODAY()+30,"&lt;30 DAYS",
IF(E658&lt;=TODAY()+60,"&lt;60 DAYS",IF(E658=0,"","")))))</f>
        <v/>
      </c>
      <c r="H658">
        <f>SUMIF(Purchases[Product ID],A658,Purchases[Quantity])</f>
        <v>0</v>
      </c>
      <c r="I658">
        <f>SUMIF(Sales[Product Name],Inventory[[#This Row],[Product Name]],Sales[Quantity Sold])</f>
        <v>0</v>
      </c>
      <c r="J658">
        <f t="shared" si="21"/>
        <v>0</v>
      </c>
      <c r="N658">
        <f t="shared" si="22"/>
        <v>0</v>
      </c>
    </row>
    <row r="659" spans="4:14" ht="15">
      <c r="D659" s="26"/>
      <c r="E659" s="26"/>
      <c r="F659" t="str">
        <f ca="1">IF(Inventory[[#This Row],[Product Category]]="","",IF(E659&lt;TODAY(),"EXPIRED",
IF(E659&lt;=TODAY()+30,"&lt;30 DAYS",
IF(E659&lt;=TODAY()+60,"&lt;60 DAYS",IF(E659=0,"","")))))</f>
        <v/>
      </c>
      <c r="H659">
        <f>SUMIF(Purchases[Product ID],A659,Purchases[Quantity])</f>
        <v>0</v>
      </c>
      <c r="I659">
        <f>SUMIF(Sales[Product Name],Inventory[[#This Row],[Product Name]],Sales[Quantity Sold])</f>
        <v>0</v>
      </c>
      <c r="J659">
        <f t="shared" si="21"/>
        <v>0</v>
      </c>
      <c r="N659">
        <f t="shared" si="22"/>
        <v>0</v>
      </c>
    </row>
    <row r="660" spans="4:14" ht="15">
      <c r="D660" s="26"/>
      <c r="E660" s="26"/>
      <c r="F660" t="str">
        <f ca="1">IF(Inventory[[#This Row],[Product Category]]="","",IF(E660&lt;TODAY(),"EXPIRED",
IF(E660&lt;=TODAY()+30,"&lt;30 DAYS",
IF(E660&lt;=TODAY()+60,"&lt;60 DAYS",IF(E660=0,"","")))))</f>
        <v/>
      </c>
      <c r="H660">
        <f>SUMIF(Purchases[Product ID],A660,Purchases[Quantity])</f>
        <v>0</v>
      </c>
      <c r="I660">
        <f>SUMIF(Sales[Product Name],Inventory[[#This Row],[Product Name]],Sales[Quantity Sold])</f>
        <v>0</v>
      </c>
      <c r="J660">
        <f t="shared" si="21"/>
        <v>0</v>
      </c>
      <c r="N660">
        <f t="shared" si="22"/>
        <v>0</v>
      </c>
    </row>
    <row r="661" spans="4:14" ht="15">
      <c r="D661" s="26"/>
      <c r="E661" s="26"/>
      <c r="F661" t="str">
        <f ca="1">IF(Inventory[[#This Row],[Product Category]]="","",IF(E661&lt;TODAY(),"EXPIRED",
IF(E661&lt;=TODAY()+30,"&lt;30 DAYS",
IF(E661&lt;=TODAY()+60,"&lt;60 DAYS",IF(E661=0,"","")))))</f>
        <v/>
      </c>
      <c r="H661">
        <f>SUMIF(Purchases[Product ID],A661,Purchases[Quantity])</f>
        <v>0</v>
      </c>
      <c r="I661">
        <f>SUMIF(Sales[Product Name],Inventory[[#This Row],[Product Name]],Sales[Quantity Sold])</f>
        <v>0</v>
      </c>
      <c r="J661">
        <f t="shared" si="21"/>
        <v>0</v>
      </c>
      <c r="N661">
        <f t="shared" si="22"/>
        <v>0</v>
      </c>
    </row>
    <row r="662" spans="4:14" ht="15">
      <c r="D662" s="26"/>
      <c r="E662" s="26"/>
      <c r="F662" t="str">
        <f ca="1">IF(Inventory[[#This Row],[Product Category]]="","",IF(E662&lt;TODAY(),"EXPIRED",
IF(E662&lt;=TODAY()+30,"&lt;30 DAYS",
IF(E662&lt;=TODAY()+60,"&lt;60 DAYS",IF(E662=0,"","")))))</f>
        <v/>
      </c>
      <c r="H662">
        <f>SUMIF(Purchases[Product ID],A662,Purchases[Quantity])</f>
        <v>0</v>
      </c>
      <c r="I662">
        <f>SUMIF(Sales[Product Name],Inventory[[#This Row],[Product Name]],Sales[Quantity Sold])</f>
        <v>0</v>
      </c>
      <c r="J662">
        <f t="shared" si="21"/>
        <v>0</v>
      </c>
      <c r="N662">
        <f t="shared" si="22"/>
        <v>0</v>
      </c>
    </row>
    <row r="663" spans="4:14" ht="15">
      <c r="D663" s="26"/>
      <c r="E663" s="26"/>
      <c r="F663" t="str">
        <f ca="1">IF(Inventory[[#This Row],[Product Category]]="","",IF(E663&lt;TODAY(),"EXPIRED",
IF(E663&lt;=TODAY()+30,"&lt;30 DAYS",
IF(E663&lt;=TODAY()+60,"&lt;60 DAYS",IF(E663=0,"","")))))</f>
        <v/>
      </c>
      <c r="H663">
        <f>SUMIF(Purchases[Product ID],A663,Purchases[Quantity])</f>
        <v>0</v>
      </c>
      <c r="I663">
        <f>SUMIF(Sales[Product Name],Inventory[[#This Row],[Product Name]],Sales[Quantity Sold])</f>
        <v>0</v>
      </c>
      <c r="J663">
        <f t="shared" si="21"/>
        <v>0</v>
      </c>
      <c r="N663">
        <f t="shared" si="22"/>
        <v>0</v>
      </c>
    </row>
    <row r="664" spans="4:14" ht="15">
      <c r="D664" s="26"/>
      <c r="E664" s="26"/>
      <c r="F664" t="str">
        <f ca="1">IF(Inventory[[#This Row],[Product Category]]="","",IF(E664&lt;TODAY(),"EXPIRED",
IF(E664&lt;=TODAY()+30,"&lt;30 DAYS",
IF(E664&lt;=TODAY()+60,"&lt;60 DAYS",IF(E664=0,"","")))))</f>
        <v/>
      </c>
      <c r="H664">
        <f>SUMIF(Purchases[Product ID],A664,Purchases[Quantity])</f>
        <v>0</v>
      </c>
      <c r="I664">
        <f>SUMIF(Sales[Product Name],Inventory[[#This Row],[Product Name]],Sales[Quantity Sold])</f>
        <v>0</v>
      </c>
      <c r="J664">
        <f t="shared" si="21"/>
        <v>0</v>
      </c>
      <c r="N664">
        <f t="shared" si="22"/>
        <v>0</v>
      </c>
    </row>
    <row r="665" spans="4:14" ht="15">
      <c r="D665" s="26"/>
      <c r="E665" s="26"/>
      <c r="F665" t="str">
        <f ca="1">IF(Inventory[[#This Row],[Product Category]]="","",IF(E665&lt;TODAY(),"EXPIRED",
IF(E665&lt;=TODAY()+30,"&lt;30 DAYS",
IF(E665&lt;=TODAY()+60,"&lt;60 DAYS",IF(E665=0,"","")))))</f>
        <v/>
      </c>
      <c r="H665">
        <f>SUMIF(Purchases[Product ID],A665,Purchases[Quantity])</f>
        <v>0</v>
      </c>
      <c r="I665">
        <f>SUMIF(Sales[Product Name],Inventory[[#This Row],[Product Name]],Sales[Quantity Sold])</f>
        <v>0</v>
      </c>
      <c r="J665">
        <f t="shared" si="21"/>
        <v>0</v>
      </c>
      <c r="N665">
        <f t="shared" si="22"/>
        <v>0</v>
      </c>
    </row>
    <row r="666" spans="4:14" ht="15">
      <c r="D666" s="26"/>
      <c r="E666" s="26"/>
      <c r="F666" t="str">
        <f ca="1">IF(Inventory[[#This Row],[Product Category]]="","",IF(E666&lt;TODAY(),"EXPIRED",
IF(E666&lt;=TODAY()+30,"&lt;30 DAYS",
IF(E666&lt;=TODAY()+60,"&lt;60 DAYS",IF(E666=0,"","")))))</f>
        <v/>
      </c>
      <c r="H666">
        <f>SUMIF(Purchases[Product ID],A666,Purchases[Quantity])</f>
        <v>0</v>
      </c>
      <c r="I666">
        <f>SUMIF(Sales[Product Name],Inventory[[#This Row],[Product Name]],Sales[Quantity Sold])</f>
        <v>0</v>
      </c>
      <c r="J666">
        <f t="shared" si="21"/>
        <v>0</v>
      </c>
      <c r="N666">
        <f t="shared" si="22"/>
        <v>0</v>
      </c>
    </row>
    <row r="667" spans="4:14" ht="15">
      <c r="D667" s="26"/>
      <c r="E667" s="26"/>
      <c r="F667" t="str">
        <f ca="1">IF(Inventory[[#This Row],[Product Category]]="","",IF(E667&lt;TODAY(),"EXPIRED",
IF(E667&lt;=TODAY()+30,"&lt;30 DAYS",
IF(E667&lt;=TODAY()+60,"&lt;60 DAYS",IF(E667=0,"","")))))</f>
        <v/>
      </c>
      <c r="H667">
        <f>SUMIF(Purchases[Product ID],A667,Purchases[Quantity])</f>
        <v>0</v>
      </c>
      <c r="I667">
        <f>SUMIF(Sales[Product Name],Inventory[[#This Row],[Product Name]],Sales[Quantity Sold])</f>
        <v>0</v>
      </c>
      <c r="J667">
        <f t="shared" si="21"/>
        <v>0</v>
      </c>
      <c r="N667">
        <f t="shared" si="22"/>
        <v>0</v>
      </c>
    </row>
    <row r="668" spans="4:14" ht="15">
      <c r="D668" s="26"/>
      <c r="E668" s="26"/>
      <c r="F668" t="str">
        <f ca="1">IF(Inventory[[#This Row],[Product Category]]="","",IF(E668&lt;TODAY(),"EXPIRED",
IF(E668&lt;=TODAY()+30,"&lt;30 DAYS",
IF(E668&lt;=TODAY()+60,"&lt;60 DAYS",IF(E668=0,"","")))))</f>
        <v/>
      </c>
      <c r="H668">
        <f>SUMIF(Purchases[Product ID],A668,Purchases[Quantity])</f>
        <v>0</v>
      </c>
      <c r="I668">
        <f>SUMIF(Sales[Product Name],Inventory[[#This Row],[Product Name]],Sales[Quantity Sold])</f>
        <v>0</v>
      </c>
      <c r="J668">
        <f t="shared" si="21"/>
        <v>0</v>
      </c>
      <c r="N668">
        <f t="shared" si="22"/>
        <v>0</v>
      </c>
    </row>
    <row r="669" spans="4:14" ht="15">
      <c r="D669" s="26"/>
      <c r="E669" s="26"/>
      <c r="F669" t="str">
        <f ca="1">IF(Inventory[[#This Row],[Product Category]]="","",IF(E669&lt;TODAY(),"EXPIRED",
IF(E669&lt;=TODAY()+30,"&lt;30 DAYS",
IF(E669&lt;=TODAY()+60,"&lt;60 DAYS",IF(E669=0,"","")))))</f>
        <v/>
      </c>
      <c r="H669">
        <f>SUMIF(Purchases[Product ID],A669,Purchases[Quantity])</f>
        <v>0</v>
      </c>
      <c r="I669">
        <f>SUMIF(Sales[Product Name],Inventory[[#This Row],[Product Name]],Sales[Quantity Sold])</f>
        <v>0</v>
      </c>
      <c r="J669">
        <f t="shared" si="21"/>
        <v>0</v>
      </c>
      <c r="N669">
        <f t="shared" si="22"/>
        <v>0</v>
      </c>
    </row>
    <row r="670" spans="4:14" ht="15">
      <c r="D670" s="26"/>
      <c r="E670" s="26"/>
      <c r="F670" t="str">
        <f ca="1">IF(Inventory[[#This Row],[Product Category]]="","",IF(E670&lt;TODAY(),"EXPIRED",
IF(E670&lt;=TODAY()+30,"&lt;30 DAYS",
IF(E670&lt;=TODAY()+60,"&lt;60 DAYS",IF(E670=0,"","")))))</f>
        <v/>
      </c>
      <c r="H670">
        <f>SUMIF(Purchases[Product ID],A670,Purchases[Quantity])</f>
        <v>0</v>
      </c>
      <c r="I670">
        <f>SUMIF(Sales[Product Name],Inventory[[#This Row],[Product Name]],Sales[Quantity Sold])</f>
        <v>0</v>
      </c>
      <c r="J670">
        <f t="shared" si="21"/>
        <v>0</v>
      </c>
      <c r="N670">
        <f t="shared" si="22"/>
        <v>0</v>
      </c>
    </row>
    <row r="671" spans="4:14" ht="15">
      <c r="D671" s="26"/>
      <c r="E671" s="26"/>
      <c r="F671" t="str">
        <f ca="1">IF(Inventory[[#This Row],[Product Category]]="","",IF(E671&lt;TODAY(),"EXPIRED",
IF(E671&lt;=TODAY()+30,"&lt;30 DAYS",
IF(E671&lt;=TODAY()+60,"&lt;60 DAYS",IF(E671=0,"","")))))</f>
        <v/>
      </c>
      <c r="H671">
        <f>SUMIF(Purchases[Product ID],A671,Purchases[Quantity])</f>
        <v>0</v>
      </c>
      <c r="I671">
        <f>SUMIF(Sales[Product Name],Inventory[[#This Row],[Product Name]],Sales[Quantity Sold])</f>
        <v>0</v>
      </c>
      <c r="J671">
        <f t="shared" si="21"/>
        <v>0</v>
      </c>
      <c r="N671">
        <f t="shared" si="22"/>
        <v>0</v>
      </c>
    </row>
    <row r="672" spans="4:14" ht="15">
      <c r="D672" s="26"/>
      <c r="E672" s="26"/>
      <c r="F672" t="str">
        <f ca="1">IF(Inventory[[#This Row],[Product Category]]="","",IF(E672&lt;TODAY(),"EXPIRED",
IF(E672&lt;=TODAY()+30,"&lt;30 DAYS",
IF(E672&lt;=TODAY()+60,"&lt;60 DAYS",IF(E672=0,"","")))))</f>
        <v/>
      </c>
      <c r="H672">
        <f>SUMIF(Purchases[Product ID],A672,Purchases[Quantity])</f>
        <v>0</v>
      </c>
      <c r="I672">
        <f>SUMIF(Sales[Product Name],Inventory[[#This Row],[Product Name]],Sales[Quantity Sold])</f>
        <v>0</v>
      </c>
      <c r="J672">
        <f t="shared" si="21"/>
        <v>0</v>
      </c>
      <c r="N672">
        <f t="shared" si="22"/>
        <v>0</v>
      </c>
    </row>
    <row r="673" spans="4:14" ht="15">
      <c r="D673" s="26"/>
      <c r="E673" s="26"/>
      <c r="F673" t="str">
        <f ca="1">IF(Inventory[[#This Row],[Product Category]]="","",IF(E673&lt;TODAY(),"EXPIRED",
IF(E673&lt;=TODAY()+30,"&lt;30 DAYS",
IF(E673&lt;=TODAY()+60,"&lt;60 DAYS",IF(E673=0,"","")))))</f>
        <v/>
      </c>
      <c r="H673">
        <f>SUMIF(Purchases[Product ID],A673,Purchases[Quantity])</f>
        <v>0</v>
      </c>
      <c r="I673">
        <f>SUMIF(Sales[Product Name],Inventory[[#This Row],[Product Name]],Sales[Quantity Sold])</f>
        <v>0</v>
      </c>
      <c r="J673">
        <f t="shared" si="21"/>
        <v>0</v>
      </c>
      <c r="N673">
        <f t="shared" si="22"/>
        <v>0</v>
      </c>
    </row>
    <row r="674" spans="4:14" ht="15">
      <c r="D674" s="26"/>
      <c r="E674" s="26"/>
      <c r="F674" t="str">
        <f ca="1">IF(Inventory[[#This Row],[Product Category]]="","",IF(E674&lt;TODAY(),"EXPIRED",
IF(E674&lt;=TODAY()+30,"&lt;30 DAYS",
IF(E674&lt;=TODAY()+60,"&lt;60 DAYS",IF(E674=0,"","")))))</f>
        <v/>
      </c>
      <c r="H674">
        <f>SUMIF(Purchases[Product ID],A674,Purchases[Quantity])</f>
        <v>0</v>
      </c>
      <c r="I674">
        <f>SUMIF(Sales[Product Name],Inventory[[#This Row],[Product Name]],Sales[Quantity Sold])</f>
        <v>0</v>
      </c>
      <c r="J674">
        <f t="shared" si="21"/>
        <v>0</v>
      </c>
      <c r="N674">
        <f t="shared" si="22"/>
        <v>0</v>
      </c>
    </row>
    <row r="675" spans="4:14" ht="15">
      <c r="D675" s="26"/>
      <c r="E675" s="26"/>
      <c r="F675" t="str">
        <f ca="1">IF(Inventory[[#This Row],[Product Category]]="","",IF(E675&lt;TODAY(),"EXPIRED",
IF(E675&lt;=TODAY()+30,"&lt;30 DAYS",
IF(E675&lt;=TODAY()+60,"&lt;60 DAYS",IF(E675=0,"","")))))</f>
        <v/>
      </c>
      <c r="H675">
        <f>SUMIF(Purchases[Product ID],A675,Purchases[Quantity])</f>
        <v>0</v>
      </c>
      <c r="I675">
        <f>SUMIF(Sales[Product Name],Inventory[[#This Row],[Product Name]],Sales[Quantity Sold])</f>
        <v>0</v>
      </c>
      <c r="J675">
        <f t="shared" si="21"/>
        <v>0</v>
      </c>
      <c r="N675">
        <f t="shared" si="22"/>
        <v>0</v>
      </c>
    </row>
    <row r="676" spans="4:14" ht="15">
      <c r="D676" s="26"/>
      <c r="E676" s="26"/>
      <c r="F676" t="str">
        <f ca="1">IF(Inventory[[#This Row],[Product Category]]="","",IF(E676&lt;TODAY(),"EXPIRED",
IF(E676&lt;=TODAY()+30,"&lt;30 DAYS",
IF(E676&lt;=TODAY()+60,"&lt;60 DAYS",IF(E676=0,"","")))))</f>
        <v/>
      </c>
      <c r="H676">
        <f>SUMIF(Purchases[Product ID],A676,Purchases[Quantity])</f>
        <v>0</v>
      </c>
      <c r="I676">
        <f>SUMIF(Sales[Product Name],Inventory[[#This Row],[Product Name]],Sales[Quantity Sold])</f>
        <v>0</v>
      </c>
      <c r="J676">
        <f t="shared" si="21"/>
        <v>0</v>
      </c>
      <c r="N676">
        <f t="shared" si="22"/>
        <v>0</v>
      </c>
    </row>
    <row r="677" spans="4:14" ht="15">
      <c r="D677" s="26"/>
      <c r="E677" s="26"/>
      <c r="F677" t="str">
        <f ca="1">IF(Inventory[[#This Row],[Product Category]]="","",IF(E677&lt;TODAY(),"EXPIRED",
IF(E677&lt;=TODAY()+30,"&lt;30 DAYS",
IF(E677&lt;=TODAY()+60,"&lt;60 DAYS",IF(E677=0,"","")))))</f>
        <v/>
      </c>
      <c r="H677">
        <f>SUMIF(Purchases[Product ID],A677,Purchases[Quantity])</f>
        <v>0</v>
      </c>
      <c r="I677">
        <f>SUMIF(Sales[Product Name],Inventory[[#This Row],[Product Name]],Sales[Quantity Sold])</f>
        <v>0</v>
      </c>
      <c r="J677">
        <f t="shared" si="21"/>
        <v>0</v>
      </c>
      <c r="N677">
        <f t="shared" si="22"/>
        <v>0</v>
      </c>
    </row>
    <row r="678" spans="4:14" ht="15">
      <c r="D678" s="26"/>
      <c r="E678" s="26"/>
      <c r="F678" t="str">
        <f ca="1">IF(Inventory[[#This Row],[Product Category]]="","",IF(E678&lt;TODAY(),"EXPIRED",
IF(E678&lt;=TODAY()+30,"&lt;30 DAYS",
IF(E678&lt;=TODAY()+60,"&lt;60 DAYS",IF(E678=0,"","")))))</f>
        <v/>
      </c>
      <c r="H678">
        <f>SUMIF(Purchases[Product ID],A678,Purchases[Quantity])</f>
        <v>0</v>
      </c>
      <c r="I678">
        <f>SUMIF(Sales[Product Name],Inventory[[#This Row],[Product Name]],Sales[Quantity Sold])</f>
        <v>0</v>
      </c>
      <c r="J678">
        <f t="shared" si="21"/>
        <v>0</v>
      </c>
      <c r="N678">
        <f t="shared" si="22"/>
        <v>0</v>
      </c>
    </row>
    <row r="679" spans="4:14" ht="15">
      <c r="D679" s="26"/>
      <c r="E679" s="26"/>
      <c r="F679" t="str">
        <f ca="1">IF(Inventory[[#This Row],[Product Category]]="","",IF(E679&lt;TODAY(),"EXPIRED",
IF(E679&lt;=TODAY()+30,"&lt;30 DAYS",
IF(E679&lt;=TODAY()+60,"&lt;60 DAYS",IF(E679=0,"","")))))</f>
        <v/>
      </c>
      <c r="H679">
        <f>SUMIF(Purchases[Product ID],A679,Purchases[Quantity])</f>
        <v>0</v>
      </c>
      <c r="I679">
        <f>SUMIF(Sales[Product Name],Inventory[[#This Row],[Product Name]],Sales[Quantity Sold])</f>
        <v>0</v>
      </c>
      <c r="J679">
        <f t="shared" si="21"/>
        <v>0</v>
      </c>
      <c r="N679">
        <f t="shared" si="22"/>
        <v>0</v>
      </c>
    </row>
    <row r="680" spans="4:14" ht="15">
      <c r="D680" s="26"/>
      <c r="E680" s="26"/>
      <c r="F680" t="str">
        <f ca="1">IF(Inventory[[#This Row],[Product Category]]="","",IF(E680&lt;TODAY(),"EXPIRED",
IF(E680&lt;=TODAY()+30,"&lt;30 DAYS",
IF(E680&lt;=TODAY()+60,"&lt;60 DAYS",IF(E680=0,"","")))))</f>
        <v/>
      </c>
      <c r="H680">
        <f>SUMIF(Purchases[Product ID],A680,Purchases[Quantity])</f>
        <v>0</v>
      </c>
      <c r="I680">
        <f>SUMIF(Sales[Product Name],Inventory[[#This Row],[Product Name]],Sales[Quantity Sold])</f>
        <v>0</v>
      </c>
      <c r="J680">
        <f t="shared" si="21"/>
        <v>0</v>
      </c>
      <c r="N680">
        <f t="shared" si="22"/>
        <v>0</v>
      </c>
    </row>
    <row r="681" spans="4:14" ht="15">
      <c r="D681" s="26"/>
      <c r="E681" s="26"/>
      <c r="F681" t="str">
        <f ca="1">IF(Inventory[[#This Row],[Product Category]]="","",IF(E681&lt;TODAY(),"EXPIRED",
IF(E681&lt;=TODAY()+30,"&lt;30 DAYS",
IF(E681&lt;=TODAY()+60,"&lt;60 DAYS",IF(E681=0,"","")))))</f>
        <v/>
      </c>
      <c r="H681">
        <f>SUMIF(Purchases[Product ID],A681,Purchases[Quantity])</f>
        <v>0</v>
      </c>
      <c r="I681">
        <f>SUMIF(Sales[Product Name],Inventory[[#This Row],[Product Name]],Sales[Quantity Sold])</f>
        <v>0</v>
      </c>
      <c r="J681">
        <f t="shared" si="21"/>
        <v>0</v>
      </c>
      <c r="N681">
        <f t="shared" si="22"/>
        <v>0</v>
      </c>
    </row>
    <row r="682" spans="4:14" ht="15">
      <c r="D682" s="26"/>
      <c r="E682" s="26"/>
      <c r="F682" t="str">
        <f ca="1">IF(Inventory[[#This Row],[Product Category]]="","",IF(E682&lt;TODAY(),"EXPIRED",
IF(E682&lt;=TODAY()+30,"&lt;30 DAYS",
IF(E682&lt;=TODAY()+60,"&lt;60 DAYS",IF(E682=0,"","")))))</f>
        <v/>
      </c>
      <c r="H682">
        <f>SUMIF(Purchases[Product ID],A682,Purchases[Quantity])</f>
        <v>0</v>
      </c>
      <c r="I682">
        <f>SUMIF(Sales[Product Name],Inventory[[#This Row],[Product Name]],Sales[Quantity Sold])</f>
        <v>0</v>
      </c>
      <c r="J682">
        <f t="shared" si="21"/>
        <v>0</v>
      </c>
      <c r="N682">
        <f t="shared" si="22"/>
        <v>0</v>
      </c>
    </row>
    <row r="683" spans="4:14" ht="15">
      <c r="D683" s="26"/>
      <c r="E683" s="26"/>
      <c r="F683" t="str">
        <f ca="1">IF(Inventory[[#This Row],[Product Category]]="","",IF(E683&lt;TODAY(),"EXPIRED",
IF(E683&lt;=TODAY()+30,"&lt;30 DAYS",
IF(E683&lt;=TODAY()+60,"&lt;60 DAYS",IF(E683=0,"","")))))</f>
        <v/>
      </c>
      <c r="H683">
        <f>SUMIF(Purchases[Product ID],A683,Purchases[Quantity])</f>
        <v>0</v>
      </c>
      <c r="I683">
        <f>SUMIF(Sales[Product Name],Inventory[[#This Row],[Product Name]],Sales[Quantity Sold])</f>
        <v>0</v>
      </c>
      <c r="J683">
        <f t="shared" si="21"/>
        <v>0</v>
      </c>
      <c r="N683">
        <f t="shared" si="22"/>
        <v>0</v>
      </c>
    </row>
    <row r="684" spans="4:14" ht="15">
      <c r="D684" s="26"/>
      <c r="E684" s="26"/>
      <c r="F684" t="str">
        <f ca="1">IF(Inventory[[#This Row],[Product Category]]="","",IF(E684&lt;TODAY(),"EXPIRED",
IF(E684&lt;=TODAY()+30,"&lt;30 DAYS",
IF(E684&lt;=TODAY()+60,"&lt;60 DAYS",IF(E684=0,"","")))))</f>
        <v/>
      </c>
      <c r="H684">
        <f>SUMIF(Purchases[Product ID],A684,Purchases[Quantity])</f>
        <v>0</v>
      </c>
      <c r="I684">
        <f>SUMIF(Sales[Product Name],Inventory[[#This Row],[Product Name]],Sales[Quantity Sold])</f>
        <v>0</v>
      </c>
      <c r="J684">
        <f t="shared" si="21"/>
        <v>0</v>
      </c>
      <c r="N684">
        <f t="shared" si="22"/>
        <v>0</v>
      </c>
    </row>
    <row r="685" spans="4:14" ht="15">
      <c r="D685" s="26"/>
      <c r="E685" s="26"/>
      <c r="F685" t="str">
        <f ca="1">IF(Inventory[[#This Row],[Product Category]]="","",IF(E685&lt;TODAY(),"EXPIRED",
IF(E685&lt;=TODAY()+30,"&lt;30 DAYS",
IF(E685&lt;=TODAY()+60,"&lt;60 DAYS",IF(E685=0,"","")))))</f>
        <v/>
      </c>
      <c r="H685">
        <f>SUMIF(Purchases[Product ID],A685,Purchases[Quantity])</f>
        <v>0</v>
      </c>
      <c r="I685">
        <f>SUMIF(Sales[Product Name],Inventory[[#This Row],[Product Name]],Sales[Quantity Sold])</f>
        <v>0</v>
      </c>
      <c r="J685">
        <f t="shared" si="21"/>
        <v>0</v>
      </c>
      <c r="N685">
        <f t="shared" si="22"/>
        <v>0</v>
      </c>
    </row>
    <row r="686" spans="4:14" ht="15">
      <c r="D686" s="26"/>
      <c r="E686" s="26"/>
      <c r="F686" t="str">
        <f ca="1">IF(Inventory[[#This Row],[Product Category]]="","",IF(E686&lt;TODAY(),"EXPIRED",
IF(E686&lt;=TODAY()+30,"&lt;30 DAYS",
IF(E686&lt;=TODAY()+60,"&lt;60 DAYS",IF(E686=0,"","")))))</f>
        <v/>
      </c>
      <c r="H686">
        <f>SUMIF(Purchases[Product ID],A686,Purchases[Quantity])</f>
        <v>0</v>
      </c>
      <c r="I686">
        <f>SUMIF(Sales[Product Name],Inventory[[#This Row],[Product Name]],Sales[Quantity Sold])</f>
        <v>0</v>
      </c>
      <c r="J686">
        <f t="shared" si="21"/>
        <v>0</v>
      </c>
      <c r="N686">
        <f t="shared" si="22"/>
        <v>0</v>
      </c>
    </row>
    <row r="687" spans="4:14" ht="15">
      <c r="D687" s="26"/>
      <c r="E687" s="26"/>
      <c r="F687" t="str">
        <f ca="1">IF(Inventory[[#This Row],[Product Category]]="","",IF(E687&lt;TODAY(),"EXPIRED",
IF(E687&lt;=TODAY()+30,"&lt;30 DAYS",
IF(E687&lt;=TODAY()+60,"&lt;60 DAYS",IF(E687=0,"","")))))</f>
        <v/>
      </c>
      <c r="H687">
        <f>SUMIF(Purchases[Product ID],A687,Purchases[Quantity])</f>
        <v>0</v>
      </c>
      <c r="I687">
        <f>SUMIF(Sales[Product Name],Inventory[[#This Row],[Product Name]],Sales[Quantity Sold])</f>
        <v>0</v>
      </c>
      <c r="J687">
        <f t="shared" si="21"/>
        <v>0</v>
      </c>
      <c r="N687">
        <f t="shared" si="22"/>
        <v>0</v>
      </c>
    </row>
    <row r="688" spans="4:14" ht="15">
      <c r="D688" s="26"/>
      <c r="E688" s="26"/>
      <c r="F688" t="str">
        <f ca="1">IF(Inventory[[#This Row],[Product Category]]="","",IF(E688&lt;TODAY(),"EXPIRED",
IF(E688&lt;=TODAY()+30,"&lt;30 DAYS",
IF(E688&lt;=TODAY()+60,"&lt;60 DAYS",IF(E688=0,"","")))))</f>
        <v/>
      </c>
      <c r="H688">
        <f>SUMIF(Purchases[Product ID],A688,Purchases[Quantity])</f>
        <v>0</v>
      </c>
      <c r="I688">
        <f>SUMIF(Sales[Product Name],Inventory[[#This Row],[Product Name]],Sales[Quantity Sold])</f>
        <v>0</v>
      </c>
      <c r="J688">
        <f t="shared" si="21"/>
        <v>0</v>
      </c>
      <c r="N688">
        <f t="shared" si="22"/>
        <v>0</v>
      </c>
    </row>
    <row r="689" spans="4:14" ht="15">
      <c r="D689" s="26"/>
      <c r="E689" s="26"/>
      <c r="F689" t="str">
        <f ca="1">IF(Inventory[[#This Row],[Product Category]]="","",IF(E689&lt;TODAY(),"EXPIRED",
IF(E689&lt;=TODAY()+30,"&lt;30 DAYS",
IF(E689&lt;=TODAY()+60,"&lt;60 DAYS",IF(E689=0,"","")))))</f>
        <v/>
      </c>
      <c r="H689">
        <f>SUMIF(Purchases[Product ID],A689,Purchases[Quantity])</f>
        <v>0</v>
      </c>
      <c r="I689">
        <f>SUMIF(Sales[Product Name],Inventory[[#This Row],[Product Name]],Sales[Quantity Sold])</f>
        <v>0</v>
      </c>
      <c r="J689">
        <f t="shared" si="21"/>
        <v>0</v>
      </c>
      <c r="N689">
        <f t="shared" si="22"/>
        <v>0</v>
      </c>
    </row>
    <row r="690" spans="4:14" ht="15">
      <c r="D690" s="26"/>
      <c r="E690" s="26"/>
      <c r="F690" t="str">
        <f ca="1">IF(Inventory[[#This Row],[Product Category]]="","",IF(E690&lt;TODAY(),"EXPIRED",
IF(E690&lt;=TODAY()+30,"&lt;30 DAYS",
IF(E690&lt;=TODAY()+60,"&lt;60 DAYS",IF(E690=0,"","")))))</f>
        <v/>
      </c>
      <c r="H690">
        <f>SUMIF(Purchases[Product ID],A690,Purchases[Quantity])</f>
        <v>0</v>
      </c>
      <c r="I690">
        <f>SUMIF(Sales[Product Name],Inventory[[#This Row],[Product Name]],Sales[Quantity Sold])</f>
        <v>0</v>
      </c>
      <c r="J690">
        <f t="shared" si="21"/>
        <v>0</v>
      </c>
      <c r="N690">
        <f t="shared" si="22"/>
        <v>0</v>
      </c>
    </row>
    <row r="691" spans="4:14" ht="15">
      <c r="D691" s="26"/>
      <c r="E691" s="26"/>
      <c r="F691" t="str">
        <f ca="1">IF(Inventory[[#This Row],[Product Category]]="","",IF(E691&lt;TODAY(),"EXPIRED",
IF(E691&lt;=TODAY()+30,"&lt;30 DAYS",
IF(E691&lt;=TODAY()+60,"&lt;60 DAYS",IF(E691=0,"","")))))</f>
        <v/>
      </c>
      <c r="H691">
        <f>SUMIF(Purchases[Product ID],A691,Purchases[Quantity])</f>
        <v>0</v>
      </c>
      <c r="I691">
        <f>SUMIF(Sales[Product Name],Inventory[[#This Row],[Product Name]],Sales[Quantity Sold])</f>
        <v>0</v>
      </c>
      <c r="J691">
        <f t="shared" si="21"/>
        <v>0</v>
      </c>
      <c r="N691">
        <f t="shared" si="22"/>
        <v>0</v>
      </c>
    </row>
    <row r="692" spans="4:14" ht="15">
      <c r="D692" s="26"/>
      <c r="E692" s="26"/>
      <c r="F692" t="str">
        <f ca="1">IF(Inventory[[#This Row],[Product Category]]="","",IF(E692&lt;TODAY(),"EXPIRED",
IF(E692&lt;=TODAY()+30,"&lt;30 DAYS",
IF(E692&lt;=TODAY()+60,"&lt;60 DAYS",IF(E692=0,"","")))))</f>
        <v/>
      </c>
      <c r="H692">
        <f>SUMIF(Purchases[Product ID],A692,Purchases[Quantity])</f>
        <v>0</v>
      </c>
      <c r="I692">
        <f>SUMIF(Sales[Product Name],Inventory[[#This Row],[Product Name]],Sales[Quantity Sold])</f>
        <v>0</v>
      </c>
      <c r="J692">
        <f t="shared" si="21"/>
        <v>0</v>
      </c>
      <c r="N692">
        <f t="shared" si="22"/>
        <v>0</v>
      </c>
    </row>
    <row r="693" spans="4:14" ht="15">
      <c r="D693" s="26"/>
      <c r="E693" s="26"/>
      <c r="F693" t="str">
        <f ca="1">IF(Inventory[[#This Row],[Product Category]]="","",IF(E693&lt;TODAY(),"EXPIRED",
IF(E693&lt;=TODAY()+30,"&lt;30 DAYS",
IF(E693&lt;=TODAY()+60,"&lt;60 DAYS",IF(E693=0,"","")))))</f>
        <v/>
      </c>
      <c r="H693">
        <f>SUMIF(Purchases[Product ID],A693,Purchases[Quantity])</f>
        <v>0</v>
      </c>
      <c r="I693">
        <f>SUMIF(Sales[Product Name],Inventory[[#This Row],[Product Name]],Sales[Quantity Sold])</f>
        <v>0</v>
      </c>
      <c r="J693">
        <f t="shared" si="21"/>
        <v>0</v>
      </c>
      <c r="N693">
        <f t="shared" si="22"/>
        <v>0</v>
      </c>
    </row>
    <row r="694" spans="4:14" ht="15">
      <c r="D694" s="26"/>
      <c r="E694" s="26"/>
      <c r="F694" t="str">
        <f ca="1">IF(Inventory[[#This Row],[Product Category]]="","",IF(E694&lt;TODAY(),"EXPIRED",
IF(E694&lt;=TODAY()+30,"&lt;30 DAYS",
IF(E694&lt;=TODAY()+60,"&lt;60 DAYS",IF(E694=0,"","")))))</f>
        <v/>
      </c>
      <c r="H694">
        <f>SUMIF(Purchases[Product ID],A694,Purchases[Quantity])</f>
        <v>0</v>
      </c>
      <c r="I694">
        <f>SUMIF(Sales[Product Name],Inventory[[#This Row],[Product Name]],Sales[Quantity Sold])</f>
        <v>0</v>
      </c>
      <c r="J694">
        <f t="shared" si="21"/>
        <v>0</v>
      </c>
      <c r="N694">
        <f t="shared" si="22"/>
        <v>0</v>
      </c>
    </row>
    <row r="695" spans="4:14" ht="15">
      <c r="D695" s="26"/>
      <c r="E695" s="26"/>
      <c r="F695" t="str">
        <f ca="1">IF(Inventory[[#This Row],[Product Category]]="","",IF(E695&lt;TODAY(),"EXPIRED",
IF(E695&lt;=TODAY()+30,"&lt;30 DAYS",
IF(E695&lt;=TODAY()+60,"&lt;60 DAYS",IF(E695=0,"","")))))</f>
        <v/>
      </c>
      <c r="H695">
        <f>SUMIF(Purchases[Product ID],A695,Purchases[Quantity])</f>
        <v>0</v>
      </c>
      <c r="I695">
        <f>SUMIF(Sales[Product Name],Inventory[[#This Row],[Product Name]],Sales[Quantity Sold])</f>
        <v>0</v>
      </c>
      <c r="J695">
        <f t="shared" si="21"/>
        <v>0</v>
      </c>
      <c r="N695">
        <f t="shared" si="22"/>
        <v>0</v>
      </c>
    </row>
    <row r="696" spans="4:14" ht="15">
      <c r="D696" s="26"/>
      <c r="E696" s="26"/>
      <c r="F696" t="str">
        <f ca="1">IF(Inventory[[#This Row],[Product Category]]="","",IF(E696&lt;TODAY(),"EXPIRED",
IF(E696&lt;=TODAY()+30,"&lt;30 DAYS",
IF(E696&lt;=TODAY()+60,"&lt;60 DAYS",IF(E696=0,"","")))))</f>
        <v/>
      </c>
      <c r="H696">
        <f>SUMIF(Purchases[Product ID],A696,Purchases[Quantity])</f>
        <v>0</v>
      </c>
      <c r="I696">
        <f>SUMIF(Sales[Product Name],Inventory[[#This Row],[Product Name]],Sales[Quantity Sold])</f>
        <v>0</v>
      </c>
      <c r="J696">
        <f t="shared" si="21"/>
        <v>0</v>
      </c>
      <c r="N696">
        <f t="shared" si="22"/>
        <v>0</v>
      </c>
    </row>
    <row r="697" spans="4:14" ht="15">
      <c r="D697" s="26"/>
      <c r="E697" s="26"/>
      <c r="F697" t="str">
        <f ca="1">IF(Inventory[[#This Row],[Product Category]]="","",IF(E697&lt;TODAY(),"EXPIRED",
IF(E697&lt;=TODAY()+30,"&lt;30 DAYS",
IF(E697&lt;=TODAY()+60,"&lt;60 DAYS",IF(E697=0,"","")))))</f>
        <v/>
      </c>
      <c r="H697">
        <f>SUMIF(Purchases[Product ID],A697,Purchases[Quantity])</f>
        <v>0</v>
      </c>
      <c r="I697">
        <f>SUMIF(Sales[Product Name],Inventory[[#This Row],[Product Name]],Sales[Quantity Sold])</f>
        <v>0</v>
      </c>
      <c r="J697">
        <f t="shared" si="21"/>
        <v>0</v>
      </c>
      <c r="N697">
        <f t="shared" si="22"/>
        <v>0</v>
      </c>
    </row>
    <row r="698" spans="4:14" ht="15">
      <c r="D698" s="26"/>
      <c r="E698" s="26"/>
      <c r="F698" t="str">
        <f ca="1">IF(Inventory[[#This Row],[Product Category]]="","",IF(E698&lt;TODAY(),"EXPIRED",
IF(E698&lt;=TODAY()+30,"&lt;30 DAYS",
IF(E698&lt;=TODAY()+60,"&lt;60 DAYS",IF(E698=0,"","")))))</f>
        <v/>
      </c>
      <c r="H698">
        <f>SUMIF(Purchases[Product ID],A698,Purchases[Quantity])</f>
        <v>0</v>
      </c>
      <c r="I698">
        <f>SUMIF(Sales[Product Name],Inventory[[#This Row],[Product Name]],Sales[Quantity Sold])</f>
        <v>0</v>
      </c>
      <c r="J698">
        <f t="shared" si="21"/>
        <v>0</v>
      </c>
      <c r="N698">
        <f t="shared" si="22"/>
        <v>0</v>
      </c>
    </row>
    <row r="699" spans="4:14" ht="15">
      <c r="D699" s="26"/>
      <c r="E699" s="26"/>
      <c r="F699" t="str">
        <f ca="1">IF(Inventory[[#This Row],[Product Category]]="","",IF(E699&lt;TODAY(),"EXPIRED",
IF(E699&lt;=TODAY()+30,"&lt;30 DAYS",
IF(E699&lt;=TODAY()+60,"&lt;60 DAYS",IF(E699=0,"","")))))</f>
        <v/>
      </c>
      <c r="H699">
        <f>SUMIF(Purchases[Product ID],A699,Purchases[Quantity])</f>
        <v>0</v>
      </c>
      <c r="I699">
        <f>SUMIF(Sales[Product Name],Inventory[[#This Row],[Product Name]],Sales[Quantity Sold])</f>
        <v>0</v>
      </c>
      <c r="J699">
        <f t="shared" si="21"/>
        <v>0</v>
      </c>
      <c r="N699">
        <f t="shared" si="22"/>
        <v>0</v>
      </c>
    </row>
    <row r="700" spans="4:14" ht="15">
      <c r="D700" s="26"/>
      <c r="E700" s="26"/>
      <c r="F700" t="str">
        <f ca="1">IF(Inventory[[#This Row],[Product Category]]="","",IF(E700&lt;TODAY(),"EXPIRED",
IF(E700&lt;=TODAY()+30,"&lt;30 DAYS",
IF(E700&lt;=TODAY()+60,"&lt;60 DAYS",IF(E700=0,"","")))))</f>
        <v/>
      </c>
      <c r="H700">
        <f>SUMIF(Purchases[Product ID],A700,Purchases[Quantity])</f>
        <v>0</v>
      </c>
      <c r="I700">
        <f>SUMIF(Sales[Product Name],Inventory[[#This Row],[Product Name]],Sales[Quantity Sold])</f>
        <v>0</v>
      </c>
      <c r="J700">
        <f t="shared" si="21"/>
        <v>0</v>
      </c>
      <c r="N700">
        <f t="shared" si="22"/>
        <v>0</v>
      </c>
    </row>
    <row r="701" spans="4:14" ht="15">
      <c r="D701" s="26"/>
      <c r="E701" s="26"/>
      <c r="F701" t="str">
        <f ca="1">IF(Inventory[[#This Row],[Product Category]]="","",IF(E701&lt;TODAY(),"EXPIRED",
IF(E701&lt;=TODAY()+30,"&lt;30 DAYS",
IF(E701&lt;=TODAY()+60,"&lt;60 DAYS",IF(E701=0,"","")))))</f>
        <v/>
      </c>
      <c r="H701">
        <f>SUMIF(Purchases[Product ID],A701,Purchases[Quantity])</f>
        <v>0</v>
      </c>
      <c r="I701">
        <f>SUMIF(Sales[Product Name],Inventory[[#This Row],[Product Name]],Sales[Quantity Sold])</f>
        <v>0</v>
      </c>
      <c r="J701">
        <f t="shared" si="21"/>
        <v>0</v>
      </c>
      <c r="N701">
        <f t="shared" si="22"/>
        <v>0</v>
      </c>
    </row>
    <row r="702" spans="4:14" ht="15">
      <c r="D702" s="26"/>
      <c r="E702" s="26"/>
      <c r="F702" t="str">
        <f ca="1">IF(Inventory[[#This Row],[Product Category]]="","",IF(E702&lt;TODAY(),"EXPIRED",
IF(E702&lt;=TODAY()+30,"&lt;30 DAYS",
IF(E702&lt;=TODAY()+60,"&lt;60 DAYS",IF(E702=0,"","")))))</f>
        <v/>
      </c>
      <c r="H702">
        <f>SUMIF(Purchases[Product ID],A702,Purchases[Quantity])</f>
        <v>0</v>
      </c>
      <c r="I702">
        <f>SUMIF(Sales[Product Name],Inventory[[#This Row],[Product Name]],Sales[Quantity Sold])</f>
        <v>0</v>
      </c>
      <c r="J702">
        <f t="shared" si="21"/>
        <v>0</v>
      </c>
      <c r="N702">
        <f t="shared" si="22"/>
        <v>0</v>
      </c>
    </row>
    <row r="703" spans="4:14" ht="15">
      <c r="D703" s="26"/>
      <c r="E703" s="26"/>
      <c r="F703" t="str">
        <f ca="1">IF(Inventory[[#This Row],[Product Category]]="","",IF(E703&lt;TODAY(),"EXPIRED",
IF(E703&lt;=TODAY()+30,"&lt;30 DAYS",
IF(E703&lt;=TODAY()+60,"&lt;60 DAYS",IF(E703=0,"","")))))</f>
        <v/>
      </c>
      <c r="H703">
        <f>SUMIF(Purchases[Product ID],A703,Purchases[Quantity])</f>
        <v>0</v>
      </c>
      <c r="I703">
        <f>SUMIF(Sales[Product Name],Inventory[[#This Row],[Product Name]],Sales[Quantity Sold])</f>
        <v>0</v>
      </c>
      <c r="J703">
        <f t="shared" si="21"/>
        <v>0</v>
      </c>
      <c r="N703">
        <f t="shared" si="22"/>
        <v>0</v>
      </c>
    </row>
    <row r="704" spans="4:14" ht="15">
      <c r="D704" s="26"/>
      <c r="E704" s="26"/>
      <c r="F704" t="str">
        <f ca="1">IF(Inventory[[#This Row],[Product Category]]="","",IF(E704&lt;TODAY(),"EXPIRED",
IF(E704&lt;=TODAY()+30,"&lt;30 DAYS",
IF(E704&lt;=TODAY()+60,"&lt;60 DAYS",IF(E704=0,"","")))))</f>
        <v/>
      </c>
      <c r="H704">
        <f>SUMIF(Purchases[Product ID],A704,Purchases[Quantity])</f>
        <v>0</v>
      </c>
      <c r="I704">
        <f>SUMIF(Sales[Product Name],Inventory[[#This Row],[Product Name]],Sales[Quantity Sold])</f>
        <v>0</v>
      </c>
      <c r="J704">
        <f t="shared" si="21"/>
        <v>0</v>
      </c>
      <c r="N704">
        <f t="shared" si="22"/>
        <v>0</v>
      </c>
    </row>
    <row r="705" spans="4:14" ht="15">
      <c r="D705" s="26"/>
      <c r="E705" s="26"/>
      <c r="F705" t="str">
        <f ca="1">IF(Inventory[[#This Row],[Product Category]]="","",IF(E705&lt;TODAY(),"EXPIRED",
IF(E705&lt;=TODAY()+30,"&lt;30 DAYS",
IF(E705&lt;=TODAY()+60,"&lt;60 DAYS",IF(E705=0,"","")))))</f>
        <v/>
      </c>
      <c r="H705">
        <f>SUMIF(Purchases[Product ID],A705,Purchases[Quantity])</f>
        <v>0</v>
      </c>
      <c r="I705">
        <f>SUMIF(Sales[Product Name],Inventory[[#This Row],[Product Name]],Sales[Quantity Sold])</f>
        <v>0</v>
      </c>
      <c r="J705">
        <f t="shared" si="21"/>
        <v>0</v>
      </c>
      <c r="N705">
        <f t="shared" si="22"/>
        <v>0</v>
      </c>
    </row>
    <row r="706" spans="4:14" ht="15">
      <c r="D706" s="26"/>
      <c r="E706" s="26"/>
      <c r="F706" t="str">
        <f ca="1">IF(Inventory[[#This Row],[Product Category]]="","",IF(E706&lt;TODAY(),"EXPIRED",
IF(E706&lt;=TODAY()+30,"&lt;30 DAYS",
IF(E706&lt;=TODAY()+60,"&lt;60 DAYS",IF(E706=0,"","")))))</f>
        <v/>
      </c>
      <c r="H706">
        <f>SUMIF(Purchases[Product ID],A706,Purchases[Quantity])</f>
        <v>0</v>
      </c>
      <c r="I706">
        <f>SUMIF(Sales[Product Name],Inventory[[#This Row],[Product Name]],Sales[Quantity Sold])</f>
        <v>0</v>
      </c>
      <c r="J706">
        <f t="shared" si="21"/>
        <v>0</v>
      </c>
      <c r="N706">
        <f t="shared" si="22"/>
        <v>0</v>
      </c>
    </row>
    <row r="707" spans="4:14" ht="15">
      <c r="D707" s="26"/>
      <c r="E707" s="26"/>
      <c r="F707" t="str">
        <f ca="1">IF(Inventory[[#This Row],[Product Category]]="","",IF(E707&lt;TODAY(),"EXPIRED",
IF(E707&lt;=TODAY()+30,"&lt;30 DAYS",
IF(E707&lt;=TODAY()+60,"&lt;60 DAYS",IF(E707=0,"","")))))</f>
        <v/>
      </c>
      <c r="H707">
        <f>SUMIF(Purchases[Product ID],A707,Purchases[Quantity])</f>
        <v>0</v>
      </c>
      <c r="I707">
        <f>SUMIF(Sales[Product Name],Inventory[[#This Row],[Product Name]],Sales[Quantity Sold])</f>
        <v>0</v>
      </c>
      <c r="J707">
        <f t="shared" si="21"/>
        <v>0</v>
      </c>
      <c r="N707">
        <f t="shared" si="22"/>
        <v>0</v>
      </c>
    </row>
    <row r="708" spans="4:14" ht="15">
      <c r="D708" s="26"/>
      <c r="E708" s="26"/>
      <c r="F708" t="str">
        <f ca="1">IF(Inventory[[#This Row],[Product Category]]="","",IF(E708&lt;TODAY(),"EXPIRED",
IF(E708&lt;=TODAY()+30,"&lt;30 DAYS",
IF(E708&lt;=TODAY()+60,"&lt;60 DAYS",IF(E708=0,"","")))))</f>
        <v/>
      </c>
      <c r="H708">
        <f>SUMIF(Purchases[Product ID],A708,Purchases[Quantity])</f>
        <v>0</v>
      </c>
      <c r="I708">
        <f>SUMIF(Sales[Product Name],Inventory[[#This Row],[Product Name]],Sales[Quantity Sold])</f>
        <v>0</v>
      </c>
      <c r="J708">
        <f t="shared" si="21"/>
        <v>0</v>
      </c>
      <c r="N708">
        <f t="shared" si="22"/>
        <v>0</v>
      </c>
    </row>
    <row r="709" spans="4:14" ht="15">
      <c r="D709" s="26"/>
      <c r="E709" s="26"/>
      <c r="F709" t="str">
        <f ca="1">IF(Inventory[[#This Row],[Product Category]]="","",IF(E709&lt;TODAY(),"EXPIRED",
IF(E709&lt;=TODAY()+30,"&lt;30 DAYS",
IF(E709&lt;=TODAY()+60,"&lt;60 DAYS",IF(E709=0,"","")))))</f>
        <v/>
      </c>
      <c r="H709">
        <f>SUMIF(Purchases[Product ID],A709,Purchases[Quantity])</f>
        <v>0</v>
      </c>
      <c r="I709">
        <f>SUMIF(Sales[Product Name],Inventory[[#This Row],[Product Name]],Sales[Quantity Sold])</f>
        <v>0</v>
      </c>
      <c r="J709">
        <f t="shared" si="21"/>
        <v>0</v>
      </c>
      <c r="N709">
        <f t="shared" si="22"/>
        <v>0</v>
      </c>
    </row>
    <row r="710" spans="4:14" ht="15">
      <c r="D710" s="26"/>
      <c r="E710" s="26"/>
      <c r="F710" t="str">
        <f ca="1">IF(Inventory[[#This Row],[Product Category]]="","",IF(E710&lt;TODAY(),"EXPIRED",
IF(E710&lt;=TODAY()+30,"&lt;30 DAYS",
IF(E710&lt;=TODAY()+60,"&lt;60 DAYS",IF(E710=0,"","")))))</f>
        <v/>
      </c>
      <c r="H710">
        <f>SUMIF(Purchases[Product ID],A710,Purchases[Quantity])</f>
        <v>0</v>
      </c>
      <c r="I710">
        <f>SUMIF(Sales[Product Name],Inventory[[#This Row],[Product Name]],Sales[Quantity Sold])</f>
        <v>0</v>
      </c>
      <c r="J710">
        <f t="shared" si="21"/>
        <v>0</v>
      </c>
      <c r="N710">
        <f t="shared" si="22"/>
        <v>0</v>
      </c>
    </row>
    <row r="711" spans="4:14" ht="15">
      <c r="D711" s="26"/>
      <c r="E711" s="26"/>
      <c r="F711" t="str">
        <f ca="1">IF(Inventory[[#This Row],[Product Category]]="","",IF(E711&lt;TODAY(),"EXPIRED",
IF(E711&lt;=TODAY()+30,"&lt;30 DAYS",
IF(E711&lt;=TODAY()+60,"&lt;60 DAYS",IF(E711=0,"","")))))</f>
        <v/>
      </c>
      <c r="H711">
        <f>SUMIF(Purchases[Product ID],A711,Purchases[Quantity])</f>
        <v>0</v>
      </c>
      <c r="I711">
        <f>SUMIF(Sales[Product Name],Inventory[[#This Row],[Product Name]],Sales[Quantity Sold])</f>
        <v>0</v>
      </c>
      <c r="J711">
        <f t="shared" si="21"/>
        <v>0</v>
      </c>
      <c r="N711">
        <f t="shared" si="22"/>
        <v>0</v>
      </c>
    </row>
    <row r="712" spans="4:14" ht="15">
      <c r="D712" s="26"/>
      <c r="E712" s="26"/>
      <c r="F712" t="str">
        <f ca="1">IF(Inventory[[#This Row],[Product Category]]="","",IF(E712&lt;TODAY(),"EXPIRED",
IF(E712&lt;=TODAY()+30,"&lt;30 DAYS",
IF(E712&lt;=TODAY()+60,"&lt;60 DAYS",IF(E712=0,"","")))))</f>
        <v/>
      </c>
      <c r="H712">
        <f>SUMIF(Purchases[Product ID],A712,Purchases[Quantity])</f>
        <v>0</v>
      </c>
      <c r="I712">
        <f>SUMIF(Sales[Product Name],Inventory[[#This Row],[Product Name]],Sales[Quantity Sold])</f>
        <v>0</v>
      </c>
      <c r="J712">
        <f t="shared" ref="J712:J775" si="23">G712+H712-I712</f>
        <v>0</v>
      </c>
      <c r="N712">
        <f t="shared" ref="N712:N775" si="24">J712*L712</f>
        <v>0</v>
      </c>
    </row>
    <row r="713" spans="4:14" ht="15">
      <c r="D713" s="26"/>
      <c r="E713" s="26"/>
      <c r="F713" t="str">
        <f ca="1">IF(Inventory[[#This Row],[Product Category]]="","",IF(E713&lt;TODAY(),"EXPIRED",
IF(E713&lt;=TODAY()+30,"&lt;30 DAYS",
IF(E713&lt;=TODAY()+60,"&lt;60 DAYS",IF(E713=0,"","")))))</f>
        <v/>
      </c>
      <c r="H713">
        <f>SUMIF(Purchases[Product ID],A713,Purchases[Quantity])</f>
        <v>0</v>
      </c>
      <c r="I713">
        <f>SUMIF(Sales[Product Name],Inventory[[#This Row],[Product Name]],Sales[Quantity Sold])</f>
        <v>0</v>
      </c>
      <c r="J713">
        <f t="shared" si="23"/>
        <v>0</v>
      </c>
      <c r="N713">
        <f t="shared" si="24"/>
        <v>0</v>
      </c>
    </row>
    <row r="714" spans="4:14" ht="15">
      <c r="D714" s="26"/>
      <c r="E714" s="26"/>
      <c r="F714" t="str">
        <f ca="1">IF(Inventory[[#This Row],[Product Category]]="","",IF(E714&lt;TODAY(),"EXPIRED",
IF(E714&lt;=TODAY()+30,"&lt;30 DAYS",
IF(E714&lt;=TODAY()+60,"&lt;60 DAYS",IF(E714=0,"","")))))</f>
        <v/>
      </c>
      <c r="H714">
        <f>SUMIF(Purchases[Product ID],A714,Purchases[Quantity])</f>
        <v>0</v>
      </c>
      <c r="I714">
        <f>SUMIF(Sales[Product Name],Inventory[[#This Row],[Product Name]],Sales[Quantity Sold])</f>
        <v>0</v>
      </c>
      <c r="J714">
        <f t="shared" si="23"/>
        <v>0</v>
      </c>
      <c r="N714">
        <f t="shared" si="24"/>
        <v>0</v>
      </c>
    </row>
    <row r="715" spans="4:14" ht="15">
      <c r="D715" s="26"/>
      <c r="E715" s="26"/>
      <c r="F715" t="str">
        <f ca="1">IF(Inventory[[#This Row],[Product Category]]="","",IF(E715&lt;TODAY(),"EXPIRED",
IF(E715&lt;=TODAY()+30,"&lt;30 DAYS",
IF(E715&lt;=TODAY()+60,"&lt;60 DAYS",IF(E715=0,"","")))))</f>
        <v/>
      </c>
      <c r="H715">
        <f>SUMIF(Purchases[Product ID],A715,Purchases[Quantity])</f>
        <v>0</v>
      </c>
      <c r="I715">
        <f>SUMIF(Sales[Product Name],Inventory[[#This Row],[Product Name]],Sales[Quantity Sold])</f>
        <v>0</v>
      </c>
      <c r="J715">
        <f t="shared" si="23"/>
        <v>0</v>
      </c>
      <c r="N715">
        <f t="shared" si="24"/>
        <v>0</v>
      </c>
    </row>
    <row r="716" spans="4:14" ht="15">
      <c r="D716" s="26"/>
      <c r="E716" s="26"/>
      <c r="F716" t="str">
        <f ca="1">IF(Inventory[[#This Row],[Product Category]]="","",IF(E716&lt;TODAY(),"EXPIRED",
IF(E716&lt;=TODAY()+30,"&lt;30 DAYS",
IF(E716&lt;=TODAY()+60,"&lt;60 DAYS",IF(E716=0,"","")))))</f>
        <v/>
      </c>
      <c r="H716">
        <f>SUMIF(Purchases[Product ID],A716,Purchases[Quantity])</f>
        <v>0</v>
      </c>
      <c r="I716">
        <f>SUMIF(Sales[Product Name],Inventory[[#This Row],[Product Name]],Sales[Quantity Sold])</f>
        <v>0</v>
      </c>
      <c r="J716">
        <f t="shared" si="23"/>
        <v>0</v>
      </c>
      <c r="N716">
        <f t="shared" si="24"/>
        <v>0</v>
      </c>
    </row>
    <row r="717" spans="4:14" ht="15">
      <c r="D717" s="26"/>
      <c r="E717" s="26"/>
      <c r="F717" t="str">
        <f ca="1">IF(Inventory[[#This Row],[Product Category]]="","",IF(E717&lt;TODAY(),"EXPIRED",
IF(E717&lt;=TODAY()+30,"&lt;30 DAYS",
IF(E717&lt;=TODAY()+60,"&lt;60 DAYS",IF(E717=0,"","")))))</f>
        <v/>
      </c>
      <c r="H717">
        <f>SUMIF(Purchases[Product ID],A717,Purchases[Quantity])</f>
        <v>0</v>
      </c>
      <c r="I717">
        <f>SUMIF(Sales[Product Name],Inventory[[#This Row],[Product Name]],Sales[Quantity Sold])</f>
        <v>0</v>
      </c>
      <c r="J717">
        <f t="shared" si="23"/>
        <v>0</v>
      </c>
      <c r="N717">
        <f t="shared" si="24"/>
        <v>0</v>
      </c>
    </row>
    <row r="718" spans="4:14" ht="15">
      <c r="D718" s="26"/>
      <c r="E718" s="26"/>
      <c r="F718" t="str">
        <f ca="1">IF(Inventory[[#This Row],[Product Category]]="","",IF(E718&lt;TODAY(),"EXPIRED",
IF(E718&lt;=TODAY()+30,"&lt;30 DAYS",
IF(E718&lt;=TODAY()+60,"&lt;60 DAYS",IF(E718=0,"","")))))</f>
        <v/>
      </c>
      <c r="H718">
        <f>SUMIF(Purchases[Product ID],A718,Purchases[Quantity])</f>
        <v>0</v>
      </c>
      <c r="I718">
        <f>SUMIF(Sales[Product Name],Inventory[[#This Row],[Product Name]],Sales[Quantity Sold])</f>
        <v>0</v>
      </c>
      <c r="J718">
        <f t="shared" si="23"/>
        <v>0</v>
      </c>
      <c r="N718">
        <f t="shared" si="24"/>
        <v>0</v>
      </c>
    </row>
    <row r="719" spans="4:14" ht="15">
      <c r="D719" s="26"/>
      <c r="E719" s="26"/>
      <c r="F719" t="str">
        <f ca="1">IF(Inventory[[#This Row],[Product Category]]="","",IF(E719&lt;TODAY(),"EXPIRED",
IF(E719&lt;=TODAY()+30,"&lt;30 DAYS",
IF(E719&lt;=TODAY()+60,"&lt;60 DAYS",IF(E719=0,"","")))))</f>
        <v/>
      </c>
      <c r="H719">
        <f>SUMIF(Purchases[Product ID],A719,Purchases[Quantity])</f>
        <v>0</v>
      </c>
      <c r="I719">
        <f>SUMIF(Sales[Product Name],Inventory[[#This Row],[Product Name]],Sales[Quantity Sold])</f>
        <v>0</v>
      </c>
      <c r="J719">
        <f t="shared" si="23"/>
        <v>0</v>
      </c>
      <c r="N719">
        <f t="shared" si="24"/>
        <v>0</v>
      </c>
    </row>
    <row r="720" spans="4:14" ht="15">
      <c r="D720" s="26"/>
      <c r="E720" s="26"/>
      <c r="F720" t="str">
        <f ca="1">IF(Inventory[[#This Row],[Product Category]]="","",IF(E720&lt;TODAY(),"EXPIRED",
IF(E720&lt;=TODAY()+30,"&lt;30 DAYS",
IF(E720&lt;=TODAY()+60,"&lt;60 DAYS",IF(E720=0,"","")))))</f>
        <v/>
      </c>
      <c r="H720">
        <f>SUMIF(Purchases[Product ID],A720,Purchases[Quantity])</f>
        <v>0</v>
      </c>
      <c r="I720">
        <f>SUMIF(Sales[Product Name],Inventory[[#This Row],[Product Name]],Sales[Quantity Sold])</f>
        <v>0</v>
      </c>
      <c r="J720">
        <f t="shared" si="23"/>
        <v>0</v>
      </c>
      <c r="N720">
        <f t="shared" si="24"/>
        <v>0</v>
      </c>
    </row>
    <row r="721" spans="4:14" ht="15">
      <c r="D721" s="26"/>
      <c r="E721" s="26"/>
      <c r="F721" t="str">
        <f ca="1">IF(Inventory[[#This Row],[Product Category]]="","",IF(E721&lt;TODAY(),"EXPIRED",
IF(E721&lt;=TODAY()+30,"&lt;30 DAYS",
IF(E721&lt;=TODAY()+60,"&lt;60 DAYS",IF(E721=0,"","")))))</f>
        <v/>
      </c>
      <c r="H721">
        <f>SUMIF(Purchases[Product ID],A721,Purchases[Quantity])</f>
        <v>0</v>
      </c>
      <c r="I721">
        <f>SUMIF(Sales[Product Name],Inventory[[#This Row],[Product Name]],Sales[Quantity Sold])</f>
        <v>0</v>
      </c>
      <c r="J721">
        <f t="shared" si="23"/>
        <v>0</v>
      </c>
      <c r="N721">
        <f t="shared" si="24"/>
        <v>0</v>
      </c>
    </row>
    <row r="722" spans="4:14" ht="15">
      <c r="D722" s="26"/>
      <c r="E722" s="26"/>
      <c r="F722" t="str">
        <f ca="1">IF(Inventory[[#This Row],[Product Category]]="","",IF(E722&lt;TODAY(),"EXPIRED",
IF(E722&lt;=TODAY()+30,"&lt;30 DAYS",
IF(E722&lt;=TODAY()+60,"&lt;60 DAYS",IF(E722=0,"","")))))</f>
        <v/>
      </c>
      <c r="H722">
        <f>SUMIF(Purchases[Product ID],A722,Purchases[Quantity])</f>
        <v>0</v>
      </c>
      <c r="I722">
        <f>SUMIF(Sales[Product Name],Inventory[[#This Row],[Product Name]],Sales[Quantity Sold])</f>
        <v>0</v>
      </c>
      <c r="J722">
        <f t="shared" si="23"/>
        <v>0</v>
      </c>
      <c r="N722">
        <f t="shared" si="24"/>
        <v>0</v>
      </c>
    </row>
    <row r="723" spans="4:14" ht="15">
      <c r="D723" s="26"/>
      <c r="E723" s="26"/>
      <c r="F723" t="str">
        <f ca="1">IF(Inventory[[#This Row],[Product Category]]="","",IF(E723&lt;TODAY(),"EXPIRED",
IF(E723&lt;=TODAY()+30,"&lt;30 DAYS",
IF(E723&lt;=TODAY()+60,"&lt;60 DAYS",IF(E723=0,"","")))))</f>
        <v/>
      </c>
      <c r="H723">
        <f>SUMIF(Purchases[Product ID],A723,Purchases[Quantity])</f>
        <v>0</v>
      </c>
      <c r="I723">
        <f>SUMIF(Sales[Product Name],Inventory[[#This Row],[Product Name]],Sales[Quantity Sold])</f>
        <v>0</v>
      </c>
      <c r="J723">
        <f t="shared" si="23"/>
        <v>0</v>
      </c>
      <c r="N723">
        <f t="shared" si="24"/>
        <v>0</v>
      </c>
    </row>
    <row r="724" spans="4:14" ht="15">
      <c r="D724" s="26"/>
      <c r="E724" s="26"/>
      <c r="F724" t="str">
        <f ca="1">IF(Inventory[[#This Row],[Product Category]]="","",IF(E724&lt;TODAY(),"EXPIRED",
IF(E724&lt;=TODAY()+30,"&lt;30 DAYS",
IF(E724&lt;=TODAY()+60,"&lt;60 DAYS",IF(E724=0,"","")))))</f>
        <v/>
      </c>
      <c r="H724">
        <f>SUMIF(Purchases[Product ID],A724,Purchases[Quantity])</f>
        <v>0</v>
      </c>
      <c r="I724">
        <f>SUMIF(Sales[Product Name],Inventory[[#This Row],[Product Name]],Sales[Quantity Sold])</f>
        <v>0</v>
      </c>
      <c r="J724">
        <f t="shared" si="23"/>
        <v>0</v>
      </c>
      <c r="N724">
        <f t="shared" si="24"/>
        <v>0</v>
      </c>
    </row>
    <row r="725" spans="4:14" ht="15">
      <c r="D725" s="26"/>
      <c r="E725" s="26"/>
      <c r="F725" t="str">
        <f ca="1">IF(Inventory[[#This Row],[Product Category]]="","",IF(E725&lt;TODAY(),"EXPIRED",
IF(E725&lt;=TODAY()+30,"&lt;30 DAYS",
IF(E725&lt;=TODAY()+60,"&lt;60 DAYS",IF(E725=0,"","")))))</f>
        <v/>
      </c>
      <c r="H725">
        <f>SUMIF(Purchases[Product ID],A725,Purchases[Quantity])</f>
        <v>0</v>
      </c>
      <c r="I725">
        <f>SUMIF(Sales[Product Name],Inventory[[#This Row],[Product Name]],Sales[Quantity Sold])</f>
        <v>0</v>
      </c>
      <c r="J725">
        <f t="shared" si="23"/>
        <v>0</v>
      </c>
      <c r="N725">
        <f t="shared" si="24"/>
        <v>0</v>
      </c>
    </row>
    <row r="726" spans="4:14" ht="15">
      <c r="D726" s="26"/>
      <c r="E726" s="26"/>
      <c r="F726" t="str">
        <f ca="1">IF(Inventory[[#This Row],[Product Category]]="","",IF(E726&lt;TODAY(),"EXPIRED",
IF(E726&lt;=TODAY()+30,"&lt;30 DAYS",
IF(E726&lt;=TODAY()+60,"&lt;60 DAYS",IF(E726=0,"","")))))</f>
        <v/>
      </c>
      <c r="H726">
        <f>SUMIF(Purchases[Product ID],A726,Purchases[Quantity])</f>
        <v>0</v>
      </c>
      <c r="I726">
        <f>SUMIF(Sales[Product Name],Inventory[[#This Row],[Product Name]],Sales[Quantity Sold])</f>
        <v>0</v>
      </c>
      <c r="J726">
        <f t="shared" si="23"/>
        <v>0</v>
      </c>
      <c r="N726">
        <f t="shared" si="24"/>
        <v>0</v>
      </c>
    </row>
    <row r="727" spans="4:14" ht="15">
      <c r="D727" s="26"/>
      <c r="E727" s="26"/>
      <c r="F727" t="str">
        <f ca="1">IF(Inventory[[#This Row],[Product Category]]="","",IF(E727&lt;TODAY(),"EXPIRED",
IF(E727&lt;=TODAY()+30,"&lt;30 DAYS",
IF(E727&lt;=TODAY()+60,"&lt;60 DAYS",IF(E727=0,"","")))))</f>
        <v/>
      </c>
      <c r="H727">
        <f>SUMIF(Purchases[Product ID],A727,Purchases[Quantity])</f>
        <v>0</v>
      </c>
      <c r="I727">
        <f>SUMIF(Sales[Product Name],Inventory[[#This Row],[Product Name]],Sales[Quantity Sold])</f>
        <v>0</v>
      </c>
      <c r="J727">
        <f t="shared" si="23"/>
        <v>0</v>
      </c>
      <c r="N727">
        <f t="shared" si="24"/>
        <v>0</v>
      </c>
    </row>
    <row r="728" spans="4:14" ht="15">
      <c r="D728" s="26"/>
      <c r="E728" s="26"/>
      <c r="F728" t="str">
        <f ca="1">IF(Inventory[[#This Row],[Product Category]]="","",IF(E728&lt;TODAY(),"EXPIRED",
IF(E728&lt;=TODAY()+30,"&lt;30 DAYS",
IF(E728&lt;=TODAY()+60,"&lt;60 DAYS",IF(E728=0,"","")))))</f>
        <v/>
      </c>
      <c r="H728">
        <f>SUMIF(Purchases[Product ID],A728,Purchases[Quantity])</f>
        <v>0</v>
      </c>
      <c r="I728">
        <f>SUMIF(Sales[Product Name],Inventory[[#This Row],[Product Name]],Sales[Quantity Sold])</f>
        <v>0</v>
      </c>
      <c r="J728">
        <f t="shared" si="23"/>
        <v>0</v>
      </c>
      <c r="N728">
        <f t="shared" si="24"/>
        <v>0</v>
      </c>
    </row>
    <row r="729" spans="4:14" ht="15">
      <c r="D729" s="26"/>
      <c r="E729" s="26"/>
      <c r="F729" t="str">
        <f ca="1">IF(Inventory[[#This Row],[Product Category]]="","",IF(E729&lt;TODAY(),"EXPIRED",
IF(E729&lt;=TODAY()+30,"&lt;30 DAYS",
IF(E729&lt;=TODAY()+60,"&lt;60 DAYS",IF(E729=0,"","")))))</f>
        <v/>
      </c>
      <c r="H729">
        <f>SUMIF(Purchases[Product ID],A729,Purchases[Quantity])</f>
        <v>0</v>
      </c>
      <c r="I729">
        <f>SUMIF(Sales[Product Name],Inventory[[#This Row],[Product Name]],Sales[Quantity Sold])</f>
        <v>0</v>
      </c>
      <c r="J729">
        <f t="shared" si="23"/>
        <v>0</v>
      </c>
      <c r="N729">
        <f t="shared" si="24"/>
        <v>0</v>
      </c>
    </row>
    <row r="730" spans="4:14" ht="15">
      <c r="D730" s="26"/>
      <c r="E730" s="26"/>
      <c r="F730" t="str">
        <f ca="1">IF(Inventory[[#This Row],[Product Category]]="","",IF(E730&lt;TODAY(),"EXPIRED",
IF(E730&lt;=TODAY()+30,"&lt;30 DAYS",
IF(E730&lt;=TODAY()+60,"&lt;60 DAYS",IF(E730=0,"","")))))</f>
        <v/>
      </c>
      <c r="H730">
        <f>SUMIF(Purchases[Product ID],A730,Purchases[Quantity])</f>
        <v>0</v>
      </c>
      <c r="I730">
        <f>SUMIF(Sales[Product Name],Inventory[[#This Row],[Product Name]],Sales[Quantity Sold])</f>
        <v>0</v>
      </c>
      <c r="J730">
        <f t="shared" si="23"/>
        <v>0</v>
      </c>
      <c r="N730">
        <f t="shared" si="24"/>
        <v>0</v>
      </c>
    </row>
    <row r="731" spans="4:14" ht="15">
      <c r="D731" s="26"/>
      <c r="E731" s="26"/>
      <c r="F731" t="str">
        <f ca="1">IF(Inventory[[#This Row],[Product Category]]="","",IF(E731&lt;TODAY(),"EXPIRED",
IF(E731&lt;=TODAY()+30,"&lt;30 DAYS",
IF(E731&lt;=TODAY()+60,"&lt;60 DAYS",IF(E731=0,"","")))))</f>
        <v/>
      </c>
      <c r="H731">
        <f>SUMIF(Purchases[Product ID],A731,Purchases[Quantity])</f>
        <v>0</v>
      </c>
      <c r="I731">
        <f>SUMIF(Sales[Product Name],Inventory[[#This Row],[Product Name]],Sales[Quantity Sold])</f>
        <v>0</v>
      </c>
      <c r="J731">
        <f t="shared" si="23"/>
        <v>0</v>
      </c>
      <c r="N731">
        <f t="shared" si="24"/>
        <v>0</v>
      </c>
    </row>
    <row r="732" spans="4:14" ht="15">
      <c r="D732" s="26"/>
      <c r="E732" s="26"/>
      <c r="F732" t="str">
        <f ca="1">IF(Inventory[[#This Row],[Product Category]]="","",IF(E732&lt;TODAY(),"EXPIRED",
IF(E732&lt;=TODAY()+30,"&lt;30 DAYS",
IF(E732&lt;=TODAY()+60,"&lt;60 DAYS",IF(E732=0,"","")))))</f>
        <v/>
      </c>
      <c r="H732">
        <f>SUMIF(Purchases[Product ID],A732,Purchases[Quantity])</f>
        <v>0</v>
      </c>
      <c r="I732">
        <f>SUMIF(Sales[Product Name],Inventory[[#This Row],[Product Name]],Sales[Quantity Sold])</f>
        <v>0</v>
      </c>
      <c r="J732">
        <f t="shared" si="23"/>
        <v>0</v>
      </c>
      <c r="N732">
        <f t="shared" si="24"/>
        <v>0</v>
      </c>
    </row>
    <row r="733" spans="4:14" ht="15">
      <c r="D733" s="26"/>
      <c r="E733" s="26"/>
      <c r="F733" t="str">
        <f ca="1">IF(Inventory[[#This Row],[Product Category]]="","",IF(E733&lt;TODAY(),"EXPIRED",
IF(E733&lt;=TODAY()+30,"&lt;30 DAYS",
IF(E733&lt;=TODAY()+60,"&lt;60 DAYS",IF(E733=0,"","")))))</f>
        <v/>
      </c>
      <c r="H733">
        <f>SUMIF(Purchases[Product ID],A733,Purchases[Quantity])</f>
        <v>0</v>
      </c>
      <c r="I733">
        <f>SUMIF(Sales[Product Name],Inventory[[#This Row],[Product Name]],Sales[Quantity Sold])</f>
        <v>0</v>
      </c>
      <c r="J733">
        <f t="shared" si="23"/>
        <v>0</v>
      </c>
      <c r="N733">
        <f t="shared" si="24"/>
        <v>0</v>
      </c>
    </row>
    <row r="734" spans="4:14" ht="15">
      <c r="D734" s="26"/>
      <c r="E734" s="26"/>
      <c r="F734" t="str">
        <f ca="1">IF(Inventory[[#This Row],[Product Category]]="","",IF(E734&lt;TODAY(),"EXPIRED",
IF(E734&lt;=TODAY()+30,"&lt;30 DAYS",
IF(E734&lt;=TODAY()+60,"&lt;60 DAYS",IF(E734=0,"","")))))</f>
        <v/>
      </c>
      <c r="H734">
        <f>SUMIF(Purchases[Product ID],A734,Purchases[Quantity])</f>
        <v>0</v>
      </c>
      <c r="I734">
        <f>SUMIF(Sales[Product Name],Inventory[[#This Row],[Product Name]],Sales[Quantity Sold])</f>
        <v>0</v>
      </c>
      <c r="J734">
        <f t="shared" si="23"/>
        <v>0</v>
      </c>
      <c r="N734">
        <f t="shared" si="24"/>
        <v>0</v>
      </c>
    </row>
    <row r="735" spans="4:14" ht="15">
      <c r="D735" s="26"/>
      <c r="E735" s="26"/>
      <c r="F735" t="str">
        <f ca="1">IF(Inventory[[#This Row],[Product Category]]="","",IF(E735&lt;TODAY(),"EXPIRED",
IF(E735&lt;=TODAY()+30,"&lt;30 DAYS",
IF(E735&lt;=TODAY()+60,"&lt;60 DAYS",IF(E735=0,"","")))))</f>
        <v/>
      </c>
      <c r="H735">
        <f>SUMIF(Purchases[Product ID],A735,Purchases[Quantity])</f>
        <v>0</v>
      </c>
      <c r="I735">
        <f>SUMIF(Sales[Product Name],Inventory[[#This Row],[Product Name]],Sales[Quantity Sold])</f>
        <v>0</v>
      </c>
      <c r="J735">
        <f t="shared" si="23"/>
        <v>0</v>
      </c>
      <c r="N735">
        <f t="shared" si="24"/>
        <v>0</v>
      </c>
    </row>
    <row r="736" spans="4:14" ht="15">
      <c r="D736" s="26"/>
      <c r="E736" s="26"/>
      <c r="F736" t="str">
        <f ca="1">IF(Inventory[[#This Row],[Product Category]]="","",IF(E736&lt;TODAY(),"EXPIRED",
IF(E736&lt;=TODAY()+30,"&lt;30 DAYS",
IF(E736&lt;=TODAY()+60,"&lt;60 DAYS",IF(E736=0,"","")))))</f>
        <v/>
      </c>
      <c r="H736">
        <f>SUMIF(Purchases[Product ID],A736,Purchases[Quantity])</f>
        <v>0</v>
      </c>
      <c r="I736">
        <f>SUMIF(Sales[Product Name],Inventory[[#This Row],[Product Name]],Sales[Quantity Sold])</f>
        <v>0</v>
      </c>
      <c r="J736">
        <f t="shared" si="23"/>
        <v>0</v>
      </c>
      <c r="N736">
        <f t="shared" si="24"/>
        <v>0</v>
      </c>
    </row>
    <row r="737" spans="4:14" ht="15">
      <c r="D737" s="26"/>
      <c r="E737" s="26"/>
      <c r="F737" t="str">
        <f ca="1">IF(Inventory[[#This Row],[Product Category]]="","",IF(E737&lt;TODAY(),"EXPIRED",
IF(E737&lt;=TODAY()+30,"&lt;30 DAYS",
IF(E737&lt;=TODAY()+60,"&lt;60 DAYS",IF(E737=0,"","")))))</f>
        <v/>
      </c>
      <c r="H737">
        <f>SUMIF(Purchases[Product ID],A737,Purchases[Quantity])</f>
        <v>0</v>
      </c>
      <c r="I737">
        <f>SUMIF(Sales[Product Name],Inventory[[#This Row],[Product Name]],Sales[Quantity Sold])</f>
        <v>0</v>
      </c>
      <c r="J737">
        <f t="shared" si="23"/>
        <v>0</v>
      </c>
      <c r="N737">
        <f t="shared" si="24"/>
        <v>0</v>
      </c>
    </row>
    <row r="738" spans="4:14" ht="15">
      <c r="D738" s="26"/>
      <c r="E738" s="26"/>
      <c r="F738" t="str">
        <f ca="1">IF(Inventory[[#This Row],[Product Category]]="","",IF(E738&lt;TODAY(),"EXPIRED",
IF(E738&lt;=TODAY()+30,"&lt;30 DAYS",
IF(E738&lt;=TODAY()+60,"&lt;60 DAYS",IF(E738=0,"","")))))</f>
        <v/>
      </c>
      <c r="H738">
        <f>SUMIF(Purchases[Product ID],A738,Purchases[Quantity])</f>
        <v>0</v>
      </c>
      <c r="I738">
        <f>SUMIF(Sales[Product Name],Inventory[[#This Row],[Product Name]],Sales[Quantity Sold])</f>
        <v>0</v>
      </c>
      <c r="J738">
        <f t="shared" si="23"/>
        <v>0</v>
      </c>
      <c r="N738">
        <f t="shared" si="24"/>
        <v>0</v>
      </c>
    </row>
    <row r="739" spans="4:14" ht="15">
      <c r="D739" s="26"/>
      <c r="E739" s="26"/>
      <c r="F739" t="str">
        <f ca="1">IF(Inventory[[#This Row],[Product Category]]="","",IF(E739&lt;TODAY(),"EXPIRED",
IF(E739&lt;=TODAY()+30,"&lt;30 DAYS",
IF(E739&lt;=TODAY()+60,"&lt;60 DAYS",IF(E739=0,"","")))))</f>
        <v/>
      </c>
      <c r="H739">
        <f>SUMIF(Purchases[Product ID],A739,Purchases[Quantity])</f>
        <v>0</v>
      </c>
      <c r="I739">
        <f>SUMIF(Sales[Product Name],Inventory[[#This Row],[Product Name]],Sales[Quantity Sold])</f>
        <v>0</v>
      </c>
      <c r="J739">
        <f t="shared" si="23"/>
        <v>0</v>
      </c>
      <c r="N739">
        <f t="shared" si="24"/>
        <v>0</v>
      </c>
    </row>
    <row r="740" spans="4:14" ht="15">
      <c r="D740" s="26"/>
      <c r="E740" s="26"/>
      <c r="F740" t="str">
        <f ca="1">IF(Inventory[[#This Row],[Product Category]]="","",IF(E740&lt;TODAY(),"EXPIRED",
IF(E740&lt;=TODAY()+30,"&lt;30 DAYS",
IF(E740&lt;=TODAY()+60,"&lt;60 DAYS",IF(E740=0,"","")))))</f>
        <v/>
      </c>
      <c r="H740">
        <f>SUMIF(Purchases[Product ID],A740,Purchases[Quantity])</f>
        <v>0</v>
      </c>
      <c r="I740">
        <f>SUMIF(Sales[Product Name],Inventory[[#This Row],[Product Name]],Sales[Quantity Sold])</f>
        <v>0</v>
      </c>
      <c r="J740">
        <f t="shared" si="23"/>
        <v>0</v>
      </c>
      <c r="N740">
        <f t="shared" si="24"/>
        <v>0</v>
      </c>
    </row>
    <row r="741" spans="4:14" ht="15">
      <c r="D741" s="26"/>
      <c r="E741" s="26"/>
      <c r="F741" t="str">
        <f ca="1">IF(Inventory[[#This Row],[Product Category]]="","",IF(E741&lt;TODAY(),"EXPIRED",
IF(E741&lt;=TODAY()+30,"&lt;30 DAYS",
IF(E741&lt;=TODAY()+60,"&lt;60 DAYS",IF(E741=0,"","")))))</f>
        <v/>
      </c>
      <c r="H741">
        <f>SUMIF(Purchases[Product ID],A741,Purchases[Quantity])</f>
        <v>0</v>
      </c>
      <c r="I741">
        <f>SUMIF(Sales[Product Name],Inventory[[#This Row],[Product Name]],Sales[Quantity Sold])</f>
        <v>0</v>
      </c>
      <c r="J741">
        <f t="shared" si="23"/>
        <v>0</v>
      </c>
      <c r="N741">
        <f t="shared" si="24"/>
        <v>0</v>
      </c>
    </row>
    <row r="742" spans="4:14" ht="15">
      <c r="D742" s="26"/>
      <c r="E742" s="26"/>
      <c r="F742" t="str">
        <f ca="1">IF(Inventory[[#This Row],[Product Category]]="","",IF(E742&lt;TODAY(),"EXPIRED",
IF(E742&lt;=TODAY()+30,"&lt;30 DAYS",
IF(E742&lt;=TODAY()+60,"&lt;60 DAYS",IF(E742=0,"","")))))</f>
        <v/>
      </c>
      <c r="H742">
        <f>SUMIF(Purchases[Product ID],A742,Purchases[Quantity])</f>
        <v>0</v>
      </c>
      <c r="I742">
        <f>SUMIF(Sales[Product Name],Inventory[[#This Row],[Product Name]],Sales[Quantity Sold])</f>
        <v>0</v>
      </c>
      <c r="J742">
        <f t="shared" si="23"/>
        <v>0</v>
      </c>
      <c r="N742">
        <f t="shared" si="24"/>
        <v>0</v>
      </c>
    </row>
    <row r="743" spans="4:14" ht="15">
      <c r="D743" s="26"/>
      <c r="E743" s="26"/>
      <c r="F743" t="str">
        <f ca="1">IF(Inventory[[#This Row],[Product Category]]="","",IF(E743&lt;TODAY(),"EXPIRED",
IF(E743&lt;=TODAY()+30,"&lt;30 DAYS",
IF(E743&lt;=TODAY()+60,"&lt;60 DAYS",IF(E743=0,"","")))))</f>
        <v/>
      </c>
      <c r="H743">
        <f>SUMIF(Purchases[Product ID],A743,Purchases[Quantity])</f>
        <v>0</v>
      </c>
      <c r="I743">
        <f>SUMIF(Sales[Product Name],Inventory[[#This Row],[Product Name]],Sales[Quantity Sold])</f>
        <v>0</v>
      </c>
      <c r="J743">
        <f t="shared" si="23"/>
        <v>0</v>
      </c>
      <c r="N743">
        <f t="shared" si="24"/>
        <v>0</v>
      </c>
    </row>
    <row r="744" spans="4:14" ht="15">
      <c r="D744" s="26"/>
      <c r="E744" s="26"/>
      <c r="F744" t="str">
        <f ca="1">IF(Inventory[[#This Row],[Product Category]]="","",IF(E744&lt;TODAY(),"EXPIRED",
IF(E744&lt;=TODAY()+30,"&lt;30 DAYS",
IF(E744&lt;=TODAY()+60,"&lt;60 DAYS",IF(E744=0,"","")))))</f>
        <v/>
      </c>
      <c r="H744">
        <f>SUMIF(Purchases[Product ID],A744,Purchases[Quantity])</f>
        <v>0</v>
      </c>
      <c r="I744">
        <f>SUMIF(Sales[Product Name],Inventory[[#This Row],[Product Name]],Sales[Quantity Sold])</f>
        <v>0</v>
      </c>
      <c r="J744">
        <f t="shared" si="23"/>
        <v>0</v>
      </c>
      <c r="N744">
        <f t="shared" si="24"/>
        <v>0</v>
      </c>
    </row>
    <row r="745" spans="4:14" ht="15">
      <c r="D745" s="26"/>
      <c r="E745" s="26"/>
      <c r="F745" t="str">
        <f ca="1">IF(Inventory[[#This Row],[Product Category]]="","",IF(E745&lt;TODAY(),"EXPIRED",
IF(E745&lt;=TODAY()+30,"&lt;30 DAYS",
IF(E745&lt;=TODAY()+60,"&lt;60 DAYS",IF(E745=0,"","")))))</f>
        <v/>
      </c>
      <c r="H745">
        <f>SUMIF(Purchases[Product ID],A745,Purchases[Quantity])</f>
        <v>0</v>
      </c>
      <c r="I745">
        <f>SUMIF(Sales[Product Name],Inventory[[#This Row],[Product Name]],Sales[Quantity Sold])</f>
        <v>0</v>
      </c>
      <c r="J745">
        <f t="shared" si="23"/>
        <v>0</v>
      </c>
      <c r="N745">
        <f t="shared" si="24"/>
        <v>0</v>
      </c>
    </row>
    <row r="746" spans="4:14" ht="15">
      <c r="D746" s="26"/>
      <c r="E746" s="26"/>
      <c r="F746" t="str">
        <f ca="1">IF(Inventory[[#This Row],[Product Category]]="","",IF(E746&lt;TODAY(),"EXPIRED",
IF(E746&lt;=TODAY()+30,"&lt;30 DAYS",
IF(E746&lt;=TODAY()+60,"&lt;60 DAYS",IF(E746=0,"","")))))</f>
        <v/>
      </c>
      <c r="H746">
        <f>SUMIF(Purchases[Product ID],A746,Purchases[Quantity])</f>
        <v>0</v>
      </c>
      <c r="I746">
        <f>SUMIF(Sales[Product Name],Inventory[[#This Row],[Product Name]],Sales[Quantity Sold])</f>
        <v>0</v>
      </c>
      <c r="J746">
        <f t="shared" si="23"/>
        <v>0</v>
      </c>
      <c r="N746">
        <f t="shared" si="24"/>
        <v>0</v>
      </c>
    </row>
    <row r="747" spans="4:14" ht="15">
      <c r="D747" s="26"/>
      <c r="E747" s="26"/>
      <c r="F747" t="str">
        <f ca="1">IF(Inventory[[#This Row],[Product Category]]="","",IF(E747&lt;TODAY(),"EXPIRED",
IF(E747&lt;=TODAY()+30,"&lt;30 DAYS",
IF(E747&lt;=TODAY()+60,"&lt;60 DAYS",IF(E747=0,"","")))))</f>
        <v/>
      </c>
      <c r="H747">
        <f>SUMIF(Purchases[Product ID],A747,Purchases[Quantity])</f>
        <v>0</v>
      </c>
      <c r="I747">
        <f>SUMIF(Sales[Product Name],Inventory[[#This Row],[Product Name]],Sales[Quantity Sold])</f>
        <v>0</v>
      </c>
      <c r="J747">
        <f t="shared" si="23"/>
        <v>0</v>
      </c>
      <c r="N747">
        <f t="shared" si="24"/>
        <v>0</v>
      </c>
    </row>
    <row r="748" spans="4:14" ht="15">
      <c r="D748" s="26"/>
      <c r="E748" s="26"/>
      <c r="F748" t="str">
        <f ca="1">IF(Inventory[[#This Row],[Product Category]]="","",IF(E748&lt;TODAY(),"EXPIRED",
IF(E748&lt;=TODAY()+30,"&lt;30 DAYS",
IF(E748&lt;=TODAY()+60,"&lt;60 DAYS",IF(E748=0,"","")))))</f>
        <v/>
      </c>
      <c r="H748">
        <f>SUMIF(Purchases[Product ID],A748,Purchases[Quantity])</f>
        <v>0</v>
      </c>
      <c r="I748">
        <f>SUMIF(Sales[Product Name],Inventory[[#This Row],[Product Name]],Sales[Quantity Sold])</f>
        <v>0</v>
      </c>
      <c r="J748">
        <f t="shared" si="23"/>
        <v>0</v>
      </c>
      <c r="N748">
        <f t="shared" si="24"/>
        <v>0</v>
      </c>
    </row>
    <row r="749" spans="4:14" ht="15">
      <c r="D749" s="26"/>
      <c r="E749" s="26"/>
      <c r="F749" t="str">
        <f ca="1">IF(Inventory[[#This Row],[Product Category]]="","",IF(E749&lt;TODAY(),"EXPIRED",
IF(E749&lt;=TODAY()+30,"&lt;30 DAYS",
IF(E749&lt;=TODAY()+60,"&lt;60 DAYS",IF(E749=0,"","")))))</f>
        <v/>
      </c>
      <c r="H749">
        <f>SUMIF(Purchases[Product ID],A749,Purchases[Quantity])</f>
        <v>0</v>
      </c>
      <c r="I749">
        <f>SUMIF(Sales[Product Name],Inventory[[#This Row],[Product Name]],Sales[Quantity Sold])</f>
        <v>0</v>
      </c>
      <c r="J749">
        <f t="shared" si="23"/>
        <v>0</v>
      </c>
      <c r="N749">
        <f t="shared" si="24"/>
        <v>0</v>
      </c>
    </row>
    <row r="750" spans="4:14" ht="15">
      <c r="D750" s="26"/>
      <c r="E750" s="26"/>
      <c r="F750" t="str">
        <f ca="1">IF(Inventory[[#This Row],[Product Category]]="","",IF(E750&lt;TODAY(),"EXPIRED",
IF(E750&lt;=TODAY()+30,"&lt;30 DAYS",
IF(E750&lt;=TODAY()+60,"&lt;60 DAYS",IF(E750=0,"","")))))</f>
        <v/>
      </c>
      <c r="H750">
        <f>SUMIF(Purchases[Product ID],A750,Purchases[Quantity])</f>
        <v>0</v>
      </c>
      <c r="I750">
        <f>SUMIF(Sales[Product Name],Inventory[[#This Row],[Product Name]],Sales[Quantity Sold])</f>
        <v>0</v>
      </c>
      <c r="J750">
        <f t="shared" si="23"/>
        <v>0</v>
      </c>
      <c r="N750">
        <f t="shared" si="24"/>
        <v>0</v>
      </c>
    </row>
    <row r="751" spans="4:14" ht="15">
      <c r="D751" s="26"/>
      <c r="E751" s="26"/>
      <c r="F751" t="str">
        <f ca="1">IF(Inventory[[#This Row],[Product Category]]="","",IF(E751&lt;TODAY(),"EXPIRED",
IF(E751&lt;=TODAY()+30,"&lt;30 DAYS",
IF(E751&lt;=TODAY()+60,"&lt;60 DAYS",IF(E751=0,"","")))))</f>
        <v/>
      </c>
      <c r="H751">
        <f>SUMIF(Purchases[Product ID],A751,Purchases[Quantity])</f>
        <v>0</v>
      </c>
      <c r="I751">
        <f>SUMIF(Sales[Product Name],Inventory[[#This Row],[Product Name]],Sales[Quantity Sold])</f>
        <v>0</v>
      </c>
      <c r="J751">
        <f t="shared" si="23"/>
        <v>0</v>
      </c>
      <c r="N751">
        <f t="shared" si="24"/>
        <v>0</v>
      </c>
    </row>
    <row r="752" spans="4:14" ht="15">
      <c r="D752" s="26"/>
      <c r="E752" s="26"/>
      <c r="F752" t="str">
        <f ca="1">IF(Inventory[[#This Row],[Product Category]]="","",IF(E752&lt;TODAY(),"EXPIRED",
IF(E752&lt;=TODAY()+30,"&lt;30 DAYS",
IF(E752&lt;=TODAY()+60,"&lt;60 DAYS",IF(E752=0,"","")))))</f>
        <v/>
      </c>
      <c r="H752">
        <f>SUMIF(Purchases[Product ID],A752,Purchases[Quantity])</f>
        <v>0</v>
      </c>
      <c r="I752">
        <f>SUMIF(Sales[Product Name],Inventory[[#This Row],[Product Name]],Sales[Quantity Sold])</f>
        <v>0</v>
      </c>
      <c r="J752">
        <f t="shared" si="23"/>
        <v>0</v>
      </c>
      <c r="N752">
        <f t="shared" si="24"/>
        <v>0</v>
      </c>
    </row>
    <row r="753" spans="4:14" ht="15">
      <c r="D753" s="26"/>
      <c r="E753" s="26"/>
      <c r="F753" t="str">
        <f ca="1">IF(Inventory[[#This Row],[Product Category]]="","",IF(E753&lt;TODAY(),"EXPIRED",
IF(E753&lt;=TODAY()+30,"&lt;30 DAYS",
IF(E753&lt;=TODAY()+60,"&lt;60 DAYS",IF(E753=0,"","")))))</f>
        <v/>
      </c>
      <c r="H753">
        <f>SUMIF(Purchases[Product ID],A753,Purchases[Quantity])</f>
        <v>0</v>
      </c>
      <c r="I753">
        <f>SUMIF(Sales[Product Name],Inventory[[#This Row],[Product Name]],Sales[Quantity Sold])</f>
        <v>0</v>
      </c>
      <c r="J753">
        <f t="shared" si="23"/>
        <v>0</v>
      </c>
      <c r="N753">
        <f t="shared" si="24"/>
        <v>0</v>
      </c>
    </row>
    <row r="754" spans="4:14" ht="15">
      <c r="D754" s="26"/>
      <c r="E754" s="26"/>
      <c r="F754" t="str">
        <f ca="1">IF(Inventory[[#This Row],[Product Category]]="","",IF(E754&lt;TODAY(),"EXPIRED",
IF(E754&lt;=TODAY()+30,"&lt;30 DAYS",
IF(E754&lt;=TODAY()+60,"&lt;60 DAYS",IF(E754=0,"","")))))</f>
        <v/>
      </c>
      <c r="H754">
        <f>SUMIF(Purchases[Product ID],A754,Purchases[Quantity])</f>
        <v>0</v>
      </c>
      <c r="I754">
        <f>SUMIF(Sales[Product Name],Inventory[[#This Row],[Product Name]],Sales[Quantity Sold])</f>
        <v>0</v>
      </c>
      <c r="J754">
        <f t="shared" si="23"/>
        <v>0</v>
      </c>
      <c r="N754">
        <f t="shared" si="24"/>
        <v>0</v>
      </c>
    </row>
    <row r="755" spans="4:14" ht="15">
      <c r="D755" s="26"/>
      <c r="E755" s="26"/>
      <c r="F755" t="str">
        <f ca="1">IF(Inventory[[#This Row],[Product Category]]="","",IF(E755&lt;TODAY(),"EXPIRED",
IF(E755&lt;=TODAY()+30,"&lt;30 DAYS",
IF(E755&lt;=TODAY()+60,"&lt;60 DAYS",IF(E755=0,"","")))))</f>
        <v/>
      </c>
      <c r="H755">
        <f>SUMIF(Purchases[Product ID],A755,Purchases[Quantity])</f>
        <v>0</v>
      </c>
      <c r="I755">
        <f>SUMIF(Sales[Product Name],Inventory[[#This Row],[Product Name]],Sales[Quantity Sold])</f>
        <v>0</v>
      </c>
      <c r="J755">
        <f t="shared" si="23"/>
        <v>0</v>
      </c>
      <c r="N755">
        <f t="shared" si="24"/>
        <v>0</v>
      </c>
    </row>
    <row r="756" spans="4:14" ht="15">
      <c r="D756" s="26"/>
      <c r="E756" s="26"/>
      <c r="F756" t="str">
        <f ca="1">IF(Inventory[[#This Row],[Product Category]]="","",IF(E756&lt;TODAY(),"EXPIRED",
IF(E756&lt;=TODAY()+30,"&lt;30 DAYS",
IF(E756&lt;=TODAY()+60,"&lt;60 DAYS",IF(E756=0,"","")))))</f>
        <v/>
      </c>
      <c r="H756">
        <f>SUMIF(Purchases[Product ID],A756,Purchases[Quantity])</f>
        <v>0</v>
      </c>
      <c r="I756">
        <f>SUMIF(Sales[Product Name],Inventory[[#This Row],[Product Name]],Sales[Quantity Sold])</f>
        <v>0</v>
      </c>
      <c r="J756">
        <f t="shared" si="23"/>
        <v>0</v>
      </c>
      <c r="N756">
        <f t="shared" si="24"/>
        <v>0</v>
      </c>
    </row>
    <row r="757" spans="4:14" ht="15">
      <c r="D757" s="26"/>
      <c r="E757" s="26"/>
      <c r="F757" t="str">
        <f ca="1">IF(Inventory[[#This Row],[Product Category]]="","",IF(E757&lt;TODAY(),"EXPIRED",
IF(E757&lt;=TODAY()+30,"&lt;30 DAYS",
IF(E757&lt;=TODAY()+60,"&lt;60 DAYS",IF(E757=0,"","")))))</f>
        <v/>
      </c>
      <c r="H757">
        <f>SUMIF(Purchases[Product ID],A757,Purchases[Quantity])</f>
        <v>0</v>
      </c>
      <c r="I757">
        <f>SUMIF(Sales[Product Name],Inventory[[#This Row],[Product Name]],Sales[Quantity Sold])</f>
        <v>0</v>
      </c>
      <c r="J757">
        <f t="shared" si="23"/>
        <v>0</v>
      </c>
      <c r="N757">
        <f t="shared" si="24"/>
        <v>0</v>
      </c>
    </row>
    <row r="758" spans="4:14" ht="15">
      <c r="D758" s="26"/>
      <c r="E758" s="26"/>
      <c r="F758" t="str">
        <f ca="1">IF(Inventory[[#This Row],[Product Category]]="","",IF(E758&lt;TODAY(),"EXPIRED",
IF(E758&lt;=TODAY()+30,"&lt;30 DAYS",
IF(E758&lt;=TODAY()+60,"&lt;60 DAYS",IF(E758=0,"","")))))</f>
        <v/>
      </c>
      <c r="H758">
        <f>SUMIF(Purchases[Product ID],A758,Purchases[Quantity])</f>
        <v>0</v>
      </c>
      <c r="I758">
        <f>SUMIF(Sales[Product Name],Inventory[[#This Row],[Product Name]],Sales[Quantity Sold])</f>
        <v>0</v>
      </c>
      <c r="J758">
        <f t="shared" si="23"/>
        <v>0</v>
      </c>
      <c r="N758">
        <f t="shared" si="24"/>
        <v>0</v>
      </c>
    </row>
    <row r="759" spans="4:14" ht="15">
      <c r="D759" s="26"/>
      <c r="E759" s="26"/>
      <c r="F759" t="str">
        <f ca="1">IF(Inventory[[#This Row],[Product Category]]="","",IF(E759&lt;TODAY(),"EXPIRED",
IF(E759&lt;=TODAY()+30,"&lt;30 DAYS",
IF(E759&lt;=TODAY()+60,"&lt;60 DAYS",IF(E759=0,"","")))))</f>
        <v/>
      </c>
      <c r="H759">
        <f>SUMIF(Purchases[Product ID],A759,Purchases[Quantity])</f>
        <v>0</v>
      </c>
      <c r="I759">
        <f>SUMIF(Sales[Product Name],Inventory[[#This Row],[Product Name]],Sales[Quantity Sold])</f>
        <v>0</v>
      </c>
      <c r="J759">
        <f t="shared" si="23"/>
        <v>0</v>
      </c>
      <c r="N759">
        <f t="shared" si="24"/>
        <v>0</v>
      </c>
    </row>
    <row r="760" spans="4:14" ht="15">
      <c r="D760" s="26"/>
      <c r="E760" s="26"/>
      <c r="F760" t="str">
        <f ca="1">IF(Inventory[[#This Row],[Product Category]]="","",IF(E760&lt;TODAY(),"EXPIRED",
IF(E760&lt;=TODAY()+30,"&lt;30 DAYS",
IF(E760&lt;=TODAY()+60,"&lt;60 DAYS",IF(E760=0,"","")))))</f>
        <v/>
      </c>
      <c r="H760">
        <f>SUMIF(Purchases[Product ID],A760,Purchases[Quantity])</f>
        <v>0</v>
      </c>
      <c r="I760">
        <f>SUMIF(Sales[Product Name],Inventory[[#This Row],[Product Name]],Sales[Quantity Sold])</f>
        <v>0</v>
      </c>
      <c r="J760">
        <f t="shared" si="23"/>
        <v>0</v>
      </c>
      <c r="N760">
        <f t="shared" si="24"/>
        <v>0</v>
      </c>
    </row>
    <row r="761" spans="4:14" ht="15">
      <c r="D761" s="26"/>
      <c r="E761" s="26"/>
      <c r="F761" t="str">
        <f ca="1">IF(Inventory[[#This Row],[Product Category]]="","",IF(E761&lt;TODAY(),"EXPIRED",
IF(E761&lt;=TODAY()+30,"&lt;30 DAYS",
IF(E761&lt;=TODAY()+60,"&lt;60 DAYS",IF(E761=0,"","")))))</f>
        <v/>
      </c>
      <c r="H761">
        <f>SUMIF(Purchases[Product ID],A761,Purchases[Quantity])</f>
        <v>0</v>
      </c>
      <c r="I761">
        <f>SUMIF(Sales[Product Name],Inventory[[#This Row],[Product Name]],Sales[Quantity Sold])</f>
        <v>0</v>
      </c>
      <c r="J761">
        <f t="shared" si="23"/>
        <v>0</v>
      </c>
      <c r="N761">
        <f t="shared" si="24"/>
        <v>0</v>
      </c>
    </row>
    <row r="762" spans="4:14" ht="15">
      <c r="D762" s="26"/>
      <c r="E762" s="26"/>
      <c r="F762" t="str">
        <f ca="1">IF(Inventory[[#This Row],[Product Category]]="","",IF(E762&lt;TODAY(),"EXPIRED",
IF(E762&lt;=TODAY()+30,"&lt;30 DAYS",
IF(E762&lt;=TODAY()+60,"&lt;60 DAYS",IF(E762=0,"","")))))</f>
        <v/>
      </c>
      <c r="H762">
        <f>SUMIF(Purchases[Product ID],A762,Purchases[Quantity])</f>
        <v>0</v>
      </c>
      <c r="I762">
        <f>SUMIF(Sales[Product Name],Inventory[[#This Row],[Product Name]],Sales[Quantity Sold])</f>
        <v>0</v>
      </c>
      <c r="J762">
        <f t="shared" si="23"/>
        <v>0</v>
      </c>
      <c r="N762">
        <f t="shared" si="24"/>
        <v>0</v>
      </c>
    </row>
    <row r="763" spans="4:14" ht="15">
      <c r="D763" s="26"/>
      <c r="E763" s="26"/>
      <c r="F763" t="str">
        <f ca="1">IF(Inventory[[#This Row],[Product Category]]="","",IF(E763&lt;TODAY(),"EXPIRED",
IF(E763&lt;=TODAY()+30,"&lt;30 DAYS",
IF(E763&lt;=TODAY()+60,"&lt;60 DAYS",IF(E763=0,"","")))))</f>
        <v/>
      </c>
      <c r="H763">
        <f>SUMIF(Purchases[Product ID],A763,Purchases[Quantity])</f>
        <v>0</v>
      </c>
      <c r="I763">
        <f>SUMIF(Sales[Product Name],Inventory[[#This Row],[Product Name]],Sales[Quantity Sold])</f>
        <v>0</v>
      </c>
      <c r="J763">
        <f t="shared" si="23"/>
        <v>0</v>
      </c>
      <c r="N763">
        <f t="shared" si="24"/>
        <v>0</v>
      </c>
    </row>
    <row r="764" spans="4:14" ht="15">
      <c r="D764" s="26"/>
      <c r="E764" s="26"/>
      <c r="F764" t="str">
        <f ca="1">IF(Inventory[[#This Row],[Product Category]]="","",IF(E764&lt;TODAY(),"EXPIRED",
IF(E764&lt;=TODAY()+30,"&lt;30 DAYS",
IF(E764&lt;=TODAY()+60,"&lt;60 DAYS",IF(E764=0,"","")))))</f>
        <v/>
      </c>
      <c r="H764">
        <f>SUMIF(Purchases[Product ID],A764,Purchases[Quantity])</f>
        <v>0</v>
      </c>
      <c r="I764">
        <f>SUMIF(Sales[Product Name],Inventory[[#This Row],[Product Name]],Sales[Quantity Sold])</f>
        <v>0</v>
      </c>
      <c r="J764">
        <f t="shared" si="23"/>
        <v>0</v>
      </c>
      <c r="N764">
        <f t="shared" si="24"/>
        <v>0</v>
      </c>
    </row>
    <row r="765" spans="4:14" ht="15">
      <c r="D765" s="26"/>
      <c r="E765" s="26"/>
      <c r="F765" t="str">
        <f ca="1">IF(Inventory[[#This Row],[Product Category]]="","",IF(E765&lt;TODAY(),"EXPIRED",
IF(E765&lt;=TODAY()+30,"&lt;30 DAYS",
IF(E765&lt;=TODAY()+60,"&lt;60 DAYS",IF(E765=0,"","")))))</f>
        <v/>
      </c>
      <c r="H765">
        <f>SUMIF(Purchases[Product ID],A765,Purchases[Quantity])</f>
        <v>0</v>
      </c>
      <c r="I765">
        <f>SUMIF(Sales[Product Name],Inventory[[#This Row],[Product Name]],Sales[Quantity Sold])</f>
        <v>0</v>
      </c>
      <c r="J765">
        <f t="shared" si="23"/>
        <v>0</v>
      </c>
      <c r="N765">
        <f t="shared" si="24"/>
        <v>0</v>
      </c>
    </row>
    <row r="766" spans="4:14" ht="15">
      <c r="D766" s="26"/>
      <c r="E766" s="26"/>
      <c r="F766" t="str">
        <f ca="1">IF(Inventory[[#This Row],[Product Category]]="","",IF(E766&lt;TODAY(),"EXPIRED",
IF(E766&lt;=TODAY()+30,"&lt;30 DAYS",
IF(E766&lt;=TODAY()+60,"&lt;60 DAYS",IF(E766=0,"","")))))</f>
        <v/>
      </c>
      <c r="H766">
        <f>SUMIF(Purchases[Product ID],A766,Purchases[Quantity])</f>
        <v>0</v>
      </c>
      <c r="I766">
        <f>SUMIF(Sales[Product Name],Inventory[[#This Row],[Product Name]],Sales[Quantity Sold])</f>
        <v>0</v>
      </c>
      <c r="J766">
        <f t="shared" si="23"/>
        <v>0</v>
      </c>
      <c r="N766">
        <f t="shared" si="24"/>
        <v>0</v>
      </c>
    </row>
    <row r="767" spans="4:14" ht="15">
      <c r="D767" s="26"/>
      <c r="E767" s="26"/>
      <c r="F767" t="str">
        <f ca="1">IF(Inventory[[#This Row],[Product Category]]="","",IF(E767&lt;TODAY(),"EXPIRED",
IF(E767&lt;=TODAY()+30,"&lt;30 DAYS",
IF(E767&lt;=TODAY()+60,"&lt;60 DAYS",IF(E767=0,"","")))))</f>
        <v/>
      </c>
      <c r="H767">
        <f>SUMIF(Purchases[Product ID],A767,Purchases[Quantity])</f>
        <v>0</v>
      </c>
      <c r="I767">
        <f>SUMIF(Sales[Product Name],Inventory[[#This Row],[Product Name]],Sales[Quantity Sold])</f>
        <v>0</v>
      </c>
      <c r="J767">
        <f t="shared" si="23"/>
        <v>0</v>
      </c>
      <c r="N767">
        <f t="shared" si="24"/>
        <v>0</v>
      </c>
    </row>
    <row r="768" spans="4:14" ht="15">
      <c r="D768" s="26"/>
      <c r="E768" s="26"/>
      <c r="F768" t="str">
        <f ca="1">IF(Inventory[[#This Row],[Product Category]]="","",IF(E768&lt;TODAY(),"EXPIRED",
IF(E768&lt;=TODAY()+30,"&lt;30 DAYS",
IF(E768&lt;=TODAY()+60,"&lt;60 DAYS",IF(E768=0,"","")))))</f>
        <v/>
      </c>
      <c r="H768">
        <f>SUMIF(Purchases[Product ID],A768,Purchases[Quantity])</f>
        <v>0</v>
      </c>
      <c r="I768">
        <f>SUMIF(Sales[Product Name],Inventory[[#This Row],[Product Name]],Sales[Quantity Sold])</f>
        <v>0</v>
      </c>
      <c r="J768">
        <f t="shared" si="23"/>
        <v>0</v>
      </c>
      <c r="N768">
        <f t="shared" si="24"/>
        <v>0</v>
      </c>
    </row>
    <row r="769" spans="4:14" ht="15">
      <c r="D769" s="26"/>
      <c r="E769" s="26"/>
      <c r="F769" t="str">
        <f ca="1">IF(Inventory[[#This Row],[Product Category]]="","",IF(E769&lt;TODAY(),"EXPIRED",
IF(E769&lt;=TODAY()+30,"&lt;30 DAYS",
IF(E769&lt;=TODAY()+60,"&lt;60 DAYS",IF(E769=0,"","")))))</f>
        <v/>
      </c>
      <c r="H769">
        <f>SUMIF(Purchases[Product ID],A769,Purchases[Quantity])</f>
        <v>0</v>
      </c>
      <c r="I769">
        <f>SUMIF(Sales[Product Name],Inventory[[#This Row],[Product Name]],Sales[Quantity Sold])</f>
        <v>0</v>
      </c>
      <c r="J769">
        <f t="shared" si="23"/>
        <v>0</v>
      </c>
      <c r="N769">
        <f t="shared" si="24"/>
        <v>0</v>
      </c>
    </row>
    <row r="770" spans="4:14" ht="15">
      <c r="D770" s="26"/>
      <c r="E770" s="26"/>
      <c r="F770" t="str">
        <f ca="1">IF(Inventory[[#This Row],[Product Category]]="","",IF(E770&lt;TODAY(),"EXPIRED",
IF(E770&lt;=TODAY()+30,"&lt;30 DAYS",
IF(E770&lt;=TODAY()+60,"&lt;60 DAYS",IF(E770=0,"","")))))</f>
        <v/>
      </c>
      <c r="H770">
        <f>SUMIF(Purchases[Product ID],A770,Purchases[Quantity])</f>
        <v>0</v>
      </c>
      <c r="I770">
        <f>SUMIF(Sales[Product Name],Inventory[[#This Row],[Product Name]],Sales[Quantity Sold])</f>
        <v>0</v>
      </c>
      <c r="J770">
        <f t="shared" si="23"/>
        <v>0</v>
      </c>
      <c r="N770">
        <f t="shared" si="24"/>
        <v>0</v>
      </c>
    </row>
    <row r="771" spans="4:14" ht="15">
      <c r="D771" s="26"/>
      <c r="E771" s="26"/>
      <c r="F771" t="str">
        <f ca="1">IF(Inventory[[#This Row],[Product Category]]="","",IF(E771&lt;TODAY(),"EXPIRED",
IF(E771&lt;=TODAY()+30,"&lt;30 DAYS",
IF(E771&lt;=TODAY()+60,"&lt;60 DAYS",IF(E771=0,"","")))))</f>
        <v/>
      </c>
      <c r="H771">
        <f>SUMIF(Purchases[Product ID],A771,Purchases[Quantity])</f>
        <v>0</v>
      </c>
      <c r="I771">
        <f>SUMIF(Sales[Product Name],Inventory[[#This Row],[Product Name]],Sales[Quantity Sold])</f>
        <v>0</v>
      </c>
      <c r="J771">
        <f t="shared" si="23"/>
        <v>0</v>
      </c>
      <c r="N771">
        <f t="shared" si="24"/>
        <v>0</v>
      </c>
    </row>
    <row r="772" spans="4:14" ht="15">
      <c r="D772" s="26"/>
      <c r="E772" s="26"/>
      <c r="F772" t="str">
        <f ca="1">IF(Inventory[[#This Row],[Product Category]]="","",IF(E772&lt;TODAY(),"EXPIRED",
IF(E772&lt;=TODAY()+30,"&lt;30 DAYS",
IF(E772&lt;=TODAY()+60,"&lt;60 DAYS",IF(E772=0,"","")))))</f>
        <v/>
      </c>
      <c r="H772">
        <f>SUMIF(Purchases[Product ID],A772,Purchases[Quantity])</f>
        <v>0</v>
      </c>
      <c r="I772">
        <f>SUMIF(Sales[Product Name],Inventory[[#This Row],[Product Name]],Sales[Quantity Sold])</f>
        <v>0</v>
      </c>
      <c r="J772">
        <f t="shared" si="23"/>
        <v>0</v>
      </c>
      <c r="N772">
        <f t="shared" si="24"/>
        <v>0</v>
      </c>
    </row>
    <row r="773" spans="4:14" ht="15">
      <c r="D773" s="26"/>
      <c r="E773" s="26"/>
      <c r="F773" t="str">
        <f ca="1">IF(Inventory[[#This Row],[Product Category]]="","",IF(E773&lt;TODAY(),"EXPIRED",
IF(E773&lt;=TODAY()+30,"&lt;30 DAYS",
IF(E773&lt;=TODAY()+60,"&lt;60 DAYS",IF(E773=0,"","")))))</f>
        <v/>
      </c>
      <c r="H773">
        <f>SUMIF(Purchases[Product ID],A773,Purchases[Quantity])</f>
        <v>0</v>
      </c>
      <c r="I773">
        <f>SUMIF(Sales[Product Name],Inventory[[#This Row],[Product Name]],Sales[Quantity Sold])</f>
        <v>0</v>
      </c>
      <c r="J773">
        <f t="shared" si="23"/>
        <v>0</v>
      </c>
      <c r="N773">
        <f t="shared" si="24"/>
        <v>0</v>
      </c>
    </row>
    <row r="774" spans="4:14" ht="15">
      <c r="D774" s="26"/>
      <c r="E774" s="26"/>
      <c r="F774" t="str">
        <f ca="1">IF(Inventory[[#This Row],[Product Category]]="","",IF(E774&lt;TODAY(),"EXPIRED",
IF(E774&lt;=TODAY()+30,"&lt;30 DAYS",
IF(E774&lt;=TODAY()+60,"&lt;60 DAYS",IF(E774=0,"","")))))</f>
        <v/>
      </c>
      <c r="H774">
        <f>SUMIF(Purchases[Product ID],A774,Purchases[Quantity])</f>
        <v>0</v>
      </c>
      <c r="I774">
        <f>SUMIF(Sales[Product Name],Inventory[[#This Row],[Product Name]],Sales[Quantity Sold])</f>
        <v>0</v>
      </c>
      <c r="J774">
        <f t="shared" si="23"/>
        <v>0</v>
      </c>
      <c r="N774">
        <f t="shared" si="24"/>
        <v>0</v>
      </c>
    </row>
    <row r="775" spans="4:14" ht="15">
      <c r="D775" s="26"/>
      <c r="E775" s="26"/>
      <c r="F775" t="str">
        <f ca="1">IF(Inventory[[#This Row],[Product Category]]="","",IF(E775&lt;TODAY(),"EXPIRED",
IF(E775&lt;=TODAY()+30,"&lt;30 DAYS",
IF(E775&lt;=TODAY()+60,"&lt;60 DAYS",IF(E775=0,"","")))))</f>
        <v/>
      </c>
      <c r="H775">
        <f>SUMIF(Purchases[Product ID],A775,Purchases[Quantity])</f>
        <v>0</v>
      </c>
      <c r="I775">
        <f>SUMIF(Sales[Product Name],Inventory[[#This Row],[Product Name]],Sales[Quantity Sold])</f>
        <v>0</v>
      </c>
      <c r="J775">
        <f t="shared" si="23"/>
        <v>0</v>
      </c>
      <c r="N775">
        <f t="shared" si="24"/>
        <v>0</v>
      </c>
    </row>
    <row r="776" spans="4:14" ht="15">
      <c r="D776" s="26"/>
      <c r="E776" s="26"/>
      <c r="F776" t="str">
        <f ca="1">IF(Inventory[[#This Row],[Product Category]]="","",IF(E776&lt;TODAY(),"EXPIRED",
IF(E776&lt;=TODAY()+30,"&lt;30 DAYS",
IF(E776&lt;=TODAY()+60,"&lt;60 DAYS",IF(E776=0,"","")))))</f>
        <v/>
      </c>
      <c r="H776">
        <f>SUMIF(Purchases[Product ID],A776,Purchases[Quantity])</f>
        <v>0</v>
      </c>
      <c r="I776">
        <f>SUMIF(Sales[Product Name],Inventory[[#This Row],[Product Name]],Sales[Quantity Sold])</f>
        <v>0</v>
      </c>
      <c r="J776">
        <f t="shared" ref="J776:J839" si="25">G776+H776-I776</f>
        <v>0</v>
      </c>
      <c r="N776">
        <f t="shared" ref="N776:N839" si="26">J776*L776</f>
        <v>0</v>
      </c>
    </row>
    <row r="777" spans="4:14" ht="15">
      <c r="D777" s="26"/>
      <c r="E777" s="26"/>
      <c r="F777" t="str">
        <f ca="1">IF(Inventory[[#This Row],[Product Category]]="","",IF(E777&lt;TODAY(),"EXPIRED",
IF(E777&lt;=TODAY()+30,"&lt;30 DAYS",
IF(E777&lt;=TODAY()+60,"&lt;60 DAYS",IF(E777=0,"","")))))</f>
        <v/>
      </c>
      <c r="H777">
        <f>SUMIF(Purchases[Product ID],A777,Purchases[Quantity])</f>
        <v>0</v>
      </c>
      <c r="I777">
        <f>SUMIF(Sales[Product Name],Inventory[[#This Row],[Product Name]],Sales[Quantity Sold])</f>
        <v>0</v>
      </c>
      <c r="J777">
        <f t="shared" si="25"/>
        <v>0</v>
      </c>
      <c r="N777">
        <f t="shared" si="26"/>
        <v>0</v>
      </c>
    </row>
    <row r="778" spans="4:14" ht="15">
      <c r="D778" s="26"/>
      <c r="E778" s="26"/>
      <c r="F778" t="str">
        <f ca="1">IF(Inventory[[#This Row],[Product Category]]="","",IF(E778&lt;TODAY(),"EXPIRED",
IF(E778&lt;=TODAY()+30,"&lt;30 DAYS",
IF(E778&lt;=TODAY()+60,"&lt;60 DAYS",IF(E778=0,"","")))))</f>
        <v/>
      </c>
      <c r="H778">
        <f>SUMIF(Purchases[Product ID],A778,Purchases[Quantity])</f>
        <v>0</v>
      </c>
      <c r="I778">
        <f>SUMIF(Sales[Product Name],Inventory[[#This Row],[Product Name]],Sales[Quantity Sold])</f>
        <v>0</v>
      </c>
      <c r="J778">
        <f t="shared" si="25"/>
        <v>0</v>
      </c>
      <c r="N778">
        <f t="shared" si="26"/>
        <v>0</v>
      </c>
    </row>
    <row r="779" spans="4:14" ht="15">
      <c r="D779" s="26"/>
      <c r="E779" s="26"/>
      <c r="F779" t="str">
        <f ca="1">IF(Inventory[[#This Row],[Product Category]]="","",IF(E779&lt;TODAY(),"EXPIRED",
IF(E779&lt;=TODAY()+30,"&lt;30 DAYS",
IF(E779&lt;=TODAY()+60,"&lt;60 DAYS",IF(E779=0,"","")))))</f>
        <v/>
      </c>
      <c r="H779">
        <f>SUMIF(Purchases[Product ID],A779,Purchases[Quantity])</f>
        <v>0</v>
      </c>
      <c r="I779">
        <f>SUMIF(Sales[Product Name],Inventory[[#This Row],[Product Name]],Sales[Quantity Sold])</f>
        <v>0</v>
      </c>
      <c r="J779">
        <f t="shared" si="25"/>
        <v>0</v>
      </c>
      <c r="N779">
        <f t="shared" si="26"/>
        <v>0</v>
      </c>
    </row>
    <row r="780" spans="4:14" ht="15">
      <c r="D780" s="26"/>
      <c r="E780" s="26"/>
      <c r="F780" t="str">
        <f ca="1">IF(Inventory[[#This Row],[Product Category]]="","",IF(E780&lt;TODAY(),"EXPIRED",
IF(E780&lt;=TODAY()+30,"&lt;30 DAYS",
IF(E780&lt;=TODAY()+60,"&lt;60 DAYS",IF(E780=0,"","")))))</f>
        <v/>
      </c>
      <c r="H780">
        <f>SUMIF(Purchases[Product ID],A780,Purchases[Quantity])</f>
        <v>0</v>
      </c>
      <c r="I780">
        <f>SUMIF(Sales[Product Name],Inventory[[#This Row],[Product Name]],Sales[Quantity Sold])</f>
        <v>0</v>
      </c>
      <c r="J780">
        <f t="shared" si="25"/>
        <v>0</v>
      </c>
      <c r="N780">
        <f t="shared" si="26"/>
        <v>0</v>
      </c>
    </row>
    <row r="781" spans="4:14" ht="15">
      <c r="D781" s="26"/>
      <c r="E781" s="26"/>
      <c r="F781" t="str">
        <f ca="1">IF(Inventory[[#This Row],[Product Category]]="","",IF(E781&lt;TODAY(),"EXPIRED",
IF(E781&lt;=TODAY()+30,"&lt;30 DAYS",
IF(E781&lt;=TODAY()+60,"&lt;60 DAYS",IF(E781=0,"","")))))</f>
        <v/>
      </c>
      <c r="H781">
        <f>SUMIF(Purchases[Product ID],A781,Purchases[Quantity])</f>
        <v>0</v>
      </c>
      <c r="I781">
        <f>SUMIF(Sales[Product Name],Inventory[[#This Row],[Product Name]],Sales[Quantity Sold])</f>
        <v>0</v>
      </c>
      <c r="J781">
        <f t="shared" si="25"/>
        <v>0</v>
      </c>
      <c r="N781">
        <f t="shared" si="26"/>
        <v>0</v>
      </c>
    </row>
    <row r="782" spans="4:14" ht="15">
      <c r="D782" s="26"/>
      <c r="E782" s="26"/>
      <c r="F782" t="str">
        <f ca="1">IF(Inventory[[#This Row],[Product Category]]="","",IF(E782&lt;TODAY(),"EXPIRED",
IF(E782&lt;=TODAY()+30,"&lt;30 DAYS",
IF(E782&lt;=TODAY()+60,"&lt;60 DAYS",IF(E782=0,"","")))))</f>
        <v/>
      </c>
      <c r="H782">
        <f>SUMIF(Purchases[Product ID],A782,Purchases[Quantity])</f>
        <v>0</v>
      </c>
      <c r="I782">
        <f>SUMIF(Sales[Product Name],Inventory[[#This Row],[Product Name]],Sales[Quantity Sold])</f>
        <v>0</v>
      </c>
      <c r="J782">
        <f t="shared" si="25"/>
        <v>0</v>
      </c>
      <c r="N782">
        <f t="shared" si="26"/>
        <v>0</v>
      </c>
    </row>
    <row r="783" spans="4:14" ht="15">
      <c r="D783" s="26"/>
      <c r="E783" s="26"/>
      <c r="F783" t="str">
        <f ca="1">IF(Inventory[[#This Row],[Product Category]]="","",IF(E783&lt;TODAY(),"EXPIRED",
IF(E783&lt;=TODAY()+30,"&lt;30 DAYS",
IF(E783&lt;=TODAY()+60,"&lt;60 DAYS",IF(E783=0,"","")))))</f>
        <v/>
      </c>
      <c r="H783">
        <f>SUMIF(Purchases[Product ID],A783,Purchases[Quantity])</f>
        <v>0</v>
      </c>
      <c r="I783">
        <f>SUMIF(Sales[Product Name],Inventory[[#This Row],[Product Name]],Sales[Quantity Sold])</f>
        <v>0</v>
      </c>
      <c r="J783">
        <f t="shared" si="25"/>
        <v>0</v>
      </c>
      <c r="N783">
        <f t="shared" si="26"/>
        <v>0</v>
      </c>
    </row>
    <row r="784" spans="4:14" ht="15">
      <c r="D784" s="26"/>
      <c r="E784" s="26"/>
      <c r="F784" t="str">
        <f ca="1">IF(Inventory[[#This Row],[Product Category]]="","",IF(E784&lt;TODAY(),"EXPIRED",
IF(E784&lt;=TODAY()+30,"&lt;30 DAYS",
IF(E784&lt;=TODAY()+60,"&lt;60 DAYS",IF(E784=0,"","")))))</f>
        <v/>
      </c>
      <c r="H784">
        <f>SUMIF(Purchases[Product ID],A784,Purchases[Quantity])</f>
        <v>0</v>
      </c>
      <c r="I784">
        <f>SUMIF(Sales[Product Name],Inventory[[#This Row],[Product Name]],Sales[Quantity Sold])</f>
        <v>0</v>
      </c>
      <c r="J784">
        <f t="shared" si="25"/>
        <v>0</v>
      </c>
      <c r="N784">
        <f t="shared" si="26"/>
        <v>0</v>
      </c>
    </row>
    <row r="785" spans="4:14" ht="15">
      <c r="D785" s="26"/>
      <c r="E785" s="26"/>
      <c r="F785" t="str">
        <f ca="1">IF(Inventory[[#This Row],[Product Category]]="","",IF(E785&lt;TODAY(),"EXPIRED",
IF(E785&lt;=TODAY()+30,"&lt;30 DAYS",
IF(E785&lt;=TODAY()+60,"&lt;60 DAYS",IF(E785=0,"","")))))</f>
        <v/>
      </c>
      <c r="H785">
        <f>SUMIF(Purchases[Product ID],A785,Purchases[Quantity])</f>
        <v>0</v>
      </c>
      <c r="I785">
        <f>SUMIF(Sales[Product Name],Inventory[[#This Row],[Product Name]],Sales[Quantity Sold])</f>
        <v>0</v>
      </c>
      <c r="J785">
        <f t="shared" si="25"/>
        <v>0</v>
      </c>
      <c r="N785">
        <f t="shared" si="26"/>
        <v>0</v>
      </c>
    </row>
    <row r="786" spans="4:14" ht="15">
      <c r="D786" s="26"/>
      <c r="E786" s="26"/>
      <c r="F786" t="str">
        <f ca="1">IF(Inventory[[#This Row],[Product Category]]="","",IF(E786&lt;TODAY(),"EXPIRED",
IF(E786&lt;=TODAY()+30,"&lt;30 DAYS",
IF(E786&lt;=TODAY()+60,"&lt;60 DAYS",IF(E786=0,"","")))))</f>
        <v/>
      </c>
      <c r="H786">
        <f>SUMIF(Purchases[Product ID],A786,Purchases[Quantity])</f>
        <v>0</v>
      </c>
      <c r="I786">
        <f>SUMIF(Sales[Product Name],Inventory[[#This Row],[Product Name]],Sales[Quantity Sold])</f>
        <v>0</v>
      </c>
      <c r="J786">
        <f t="shared" si="25"/>
        <v>0</v>
      </c>
      <c r="N786">
        <f t="shared" si="26"/>
        <v>0</v>
      </c>
    </row>
    <row r="787" spans="4:14" ht="15">
      <c r="D787" s="26"/>
      <c r="E787" s="26"/>
      <c r="F787" t="str">
        <f ca="1">IF(Inventory[[#This Row],[Product Category]]="","",IF(E787&lt;TODAY(),"EXPIRED",
IF(E787&lt;=TODAY()+30,"&lt;30 DAYS",
IF(E787&lt;=TODAY()+60,"&lt;60 DAYS",IF(E787=0,"","")))))</f>
        <v/>
      </c>
      <c r="H787">
        <f>SUMIF(Purchases[Product ID],A787,Purchases[Quantity])</f>
        <v>0</v>
      </c>
      <c r="I787">
        <f>SUMIF(Sales[Product Name],Inventory[[#This Row],[Product Name]],Sales[Quantity Sold])</f>
        <v>0</v>
      </c>
      <c r="J787">
        <f t="shared" si="25"/>
        <v>0</v>
      </c>
      <c r="N787">
        <f t="shared" si="26"/>
        <v>0</v>
      </c>
    </row>
    <row r="788" spans="4:14" ht="15">
      <c r="D788" s="26"/>
      <c r="E788" s="26"/>
      <c r="F788" t="str">
        <f ca="1">IF(Inventory[[#This Row],[Product Category]]="","",IF(E788&lt;TODAY(),"EXPIRED",
IF(E788&lt;=TODAY()+30,"&lt;30 DAYS",
IF(E788&lt;=TODAY()+60,"&lt;60 DAYS",IF(E788=0,"","")))))</f>
        <v/>
      </c>
      <c r="H788">
        <f>SUMIF(Purchases[Product ID],A788,Purchases[Quantity])</f>
        <v>0</v>
      </c>
      <c r="I788">
        <f>SUMIF(Sales[Product Name],Inventory[[#This Row],[Product Name]],Sales[Quantity Sold])</f>
        <v>0</v>
      </c>
      <c r="J788">
        <f t="shared" si="25"/>
        <v>0</v>
      </c>
      <c r="N788">
        <f t="shared" si="26"/>
        <v>0</v>
      </c>
    </row>
    <row r="789" spans="4:14" ht="15">
      <c r="D789" s="26"/>
      <c r="E789" s="26"/>
      <c r="F789" t="str">
        <f ca="1">IF(Inventory[[#This Row],[Product Category]]="","",IF(E789&lt;TODAY(),"EXPIRED",
IF(E789&lt;=TODAY()+30,"&lt;30 DAYS",
IF(E789&lt;=TODAY()+60,"&lt;60 DAYS",IF(E789=0,"","")))))</f>
        <v/>
      </c>
      <c r="H789">
        <f>SUMIF(Purchases[Product ID],A789,Purchases[Quantity])</f>
        <v>0</v>
      </c>
      <c r="I789">
        <f>SUMIF(Sales[Product Name],Inventory[[#This Row],[Product Name]],Sales[Quantity Sold])</f>
        <v>0</v>
      </c>
      <c r="J789">
        <f t="shared" si="25"/>
        <v>0</v>
      </c>
      <c r="N789">
        <f t="shared" si="26"/>
        <v>0</v>
      </c>
    </row>
    <row r="790" spans="4:14" ht="15">
      <c r="D790" s="26"/>
      <c r="E790" s="26"/>
      <c r="F790" t="str">
        <f ca="1">IF(Inventory[[#This Row],[Product Category]]="","",IF(E790&lt;TODAY(),"EXPIRED",
IF(E790&lt;=TODAY()+30,"&lt;30 DAYS",
IF(E790&lt;=TODAY()+60,"&lt;60 DAYS",IF(E790=0,"","")))))</f>
        <v/>
      </c>
      <c r="H790">
        <f>SUMIF(Purchases[Product ID],A790,Purchases[Quantity])</f>
        <v>0</v>
      </c>
      <c r="I790">
        <f>SUMIF(Sales[Product Name],Inventory[[#This Row],[Product Name]],Sales[Quantity Sold])</f>
        <v>0</v>
      </c>
      <c r="J790">
        <f t="shared" si="25"/>
        <v>0</v>
      </c>
      <c r="N790">
        <f t="shared" si="26"/>
        <v>0</v>
      </c>
    </row>
    <row r="791" spans="4:14" ht="15">
      <c r="D791" s="26"/>
      <c r="E791" s="26"/>
      <c r="F791" t="str">
        <f ca="1">IF(Inventory[[#This Row],[Product Category]]="","",IF(E791&lt;TODAY(),"EXPIRED",
IF(E791&lt;=TODAY()+30,"&lt;30 DAYS",
IF(E791&lt;=TODAY()+60,"&lt;60 DAYS",IF(E791=0,"","")))))</f>
        <v/>
      </c>
      <c r="H791">
        <f>SUMIF(Purchases[Product ID],A791,Purchases[Quantity])</f>
        <v>0</v>
      </c>
      <c r="I791">
        <f>SUMIF(Sales[Product Name],Inventory[[#This Row],[Product Name]],Sales[Quantity Sold])</f>
        <v>0</v>
      </c>
      <c r="J791">
        <f t="shared" si="25"/>
        <v>0</v>
      </c>
      <c r="N791">
        <f t="shared" si="26"/>
        <v>0</v>
      </c>
    </row>
    <row r="792" spans="4:14" ht="15">
      <c r="D792" s="26"/>
      <c r="E792" s="26"/>
      <c r="F792" t="str">
        <f ca="1">IF(Inventory[[#This Row],[Product Category]]="","",IF(E792&lt;TODAY(),"EXPIRED",
IF(E792&lt;=TODAY()+30,"&lt;30 DAYS",
IF(E792&lt;=TODAY()+60,"&lt;60 DAYS",IF(E792=0,"","")))))</f>
        <v/>
      </c>
      <c r="H792">
        <f>SUMIF(Purchases[Product ID],A792,Purchases[Quantity])</f>
        <v>0</v>
      </c>
      <c r="I792">
        <f>SUMIF(Sales[Product Name],Inventory[[#This Row],[Product Name]],Sales[Quantity Sold])</f>
        <v>0</v>
      </c>
      <c r="J792">
        <f t="shared" si="25"/>
        <v>0</v>
      </c>
      <c r="N792">
        <f t="shared" si="26"/>
        <v>0</v>
      </c>
    </row>
    <row r="793" spans="4:14" ht="15">
      <c r="D793" s="26"/>
      <c r="E793" s="26"/>
      <c r="F793" t="str">
        <f ca="1">IF(Inventory[[#This Row],[Product Category]]="","",IF(E793&lt;TODAY(),"EXPIRED",
IF(E793&lt;=TODAY()+30,"&lt;30 DAYS",
IF(E793&lt;=TODAY()+60,"&lt;60 DAYS",IF(E793=0,"","")))))</f>
        <v/>
      </c>
      <c r="H793">
        <f>SUMIF(Purchases[Product ID],A793,Purchases[Quantity])</f>
        <v>0</v>
      </c>
      <c r="I793">
        <f>SUMIF(Sales[Product Name],Inventory[[#This Row],[Product Name]],Sales[Quantity Sold])</f>
        <v>0</v>
      </c>
      <c r="J793">
        <f t="shared" si="25"/>
        <v>0</v>
      </c>
      <c r="N793">
        <f t="shared" si="26"/>
        <v>0</v>
      </c>
    </row>
    <row r="794" spans="4:14" ht="15">
      <c r="D794" s="26"/>
      <c r="E794" s="26"/>
      <c r="F794" t="str">
        <f ca="1">IF(Inventory[[#This Row],[Product Category]]="","",IF(E794&lt;TODAY(),"EXPIRED",
IF(E794&lt;=TODAY()+30,"&lt;30 DAYS",
IF(E794&lt;=TODAY()+60,"&lt;60 DAYS",IF(E794=0,"","")))))</f>
        <v/>
      </c>
      <c r="H794">
        <f>SUMIF(Purchases[Product ID],A794,Purchases[Quantity])</f>
        <v>0</v>
      </c>
      <c r="I794">
        <f>SUMIF(Sales[Product Name],Inventory[[#This Row],[Product Name]],Sales[Quantity Sold])</f>
        <v>0</v>
      </c>
      <c r="J794">
        <f t="shared" si="25"/>
        <v>0</v>
      </c>
      <c r="N794">
        <f t="shared" si="26"/>
        <v>0</v>
      </c>
    </row>
    <row r="795" spans="4:14" ht="15">
      <c r="D795" s="26"/>
      <c r="E795" s="26"/>
      <c r="F795" t="str">
        <f ca="1">IF(Inventory[[#This Row],[Product Category]]="","",IF(E795&lt;TODAY(),"EXPIRED",
IF(E795&lt;=TODAY()+30,"&lt;30 DAYS",
IF(E795&lt;=TODAY()+60,"&lt;60 DAYS",IF(E795=0,"","")))))</f>
        <v/>
      </c>
      <c r="H795">
        <f>SUMIF(Purchases[Product ID],A795,Purchases[Quantity])</f>
        <v>0</v>
      </c>
      <c r="I795">
        <f>SUMIF(Sales[Product Name],Inventory[[#This Row],[Product Name]],Sales[Quantity Sold])</f>
        <v>0</v>
      </c>
      <c r="J795">
        <f t="shared" si="25"/>
        <v>0</v>
      </c>
      <c r="N795">
        <f t="shared" si="26"/>
        <v>0</v>
      </c>
    </row>
    <row r="796" spans="4:14" ht="15">
      <c r="D796" s="26"/>
      <c r="E796" s="26"/>
      <c r="F796" t="str">
        <f ca="1">IF(Inventory[[#This Row],[Product Category]]="","",IF(E796&lt;TODAY(),"EXPIRED",
IF(E796&lt;=TODAY()+30,"&lt;30 DAYS",
IF(E796&lt;=TODAY()+60,"&lt;60 DAYS",IF(E796=0,"","")))))</f>
        <v/>
      </c>
      <c r="H796">
        <f>SUMIF(Purchases[Product ID],A796,Purchases[Quantity])</f>
        <v>0</v>
      </c>
      <c r="I796">
        <f>SUMIF(Sales[Product Name],Inventory[[#This Row],[Product Name]],Sales[Quantity Sold])</f>
        <v>0</v>
      </c>
      <c r="J796">
        <f t="shared" si="25"/>
        <v>0</v>
      </c>
      <c r="N796">
        <f t="shared" si="26"/>
        <v>0</v>
      </c>
    </row>
    <row r="797" spans="4:14" ht="15">
      <c r="D797" s="26"/>
      <c r="E797" s="26"/>
      <c r="F797" t="str">
        <f ca="1">IF(Inventory[[#This Row],[Product Category]]="","",IF(E797&lt;TODAY(),"EXPIRED",
IF(E797&lt;=TODAY()+30,"&lt;30 DAYS",
IF(E797&lt;=TODAY()+60,"&lt;60 DAYS",IF(E797=0,"","")))))</f>
        <v/>
      </c>
      <c r="H797">
        <f>SUMIF(Purchases[Product ID],A797,Purchases[Quantity])</f>
        <v>0</v>
      </c>
      <c r="I797">
        <f>SUMIF(Sales[Product Name],Inventory[[#This Row],[Product Name]],Sales[Quantity Sold])</f>
        <v>0</v>
      </c>
      <c r="J797">
        <f t="shared" si="25"/>
        <v>0</v>
      </c>
      <c r="N797">
        <f t="shared" si="26"/>
        <v>0</v>
      </c>
    </row>
    <row r="798" spans="4:14" ht="15">
      <c r="D798" s="26"/>
      <c r="E798" s="26"/>
      <c r="F798" t="str">
        <f ca="1">IF(Inventory[[#This Row],[Product Category]]="","",IF(E798&lt;TODAY(),"EXPIRED",
IF(E798&lt;=TODAY()+30,"&lt;30 DAYS",
IF(E798&lt;=TODAY()+60,"&lt;60 DAYS",IF(E798=0,"","")))))</f>
        <v/>
      </c>
      <c r="H798">
        <f>SUMIF(Purchases[Product ID],A798,Purchases[Quantity])</f>
        <v>0</v>
      </c>
      <c r="I798">
        <f>SUMIF(Sales[Product Name],Inventory[[#This Row],[Product Name]],Sales[Quantity Sold])</f>
        <v>0</v>
      </c>
      <c r="J798">
        <f t="shared" si="25"/>
        <v>0</v>
      </c>
      <c r="N798">
        <f t="shared" si="26"/>
        <v>0</v>
      </c>
    </row>
    <row r="799" spans="4:14" ht="15">
      <c r="D799" s="26"/>
      <c r="E799" s="26"/>
      <c r="F799" t="str">
        <f ca="1">IF(Inventory[[#This Row],[Product Category]]="","",IF(E799&lt;TODAY(),"EXPIRED",
IF(E799&lt;=TODAY()+30,"&lt;30 DAYS",
IF(E799&lt;=TODAY()+60,"&lt;60 DAYS",IF(E799=0,"","")))))</f>
        <v/>
      </c>
      <c r="H799">
        <f>SUMIF(Purchases[Product ID],A799,Purchases[Quantity])</f>
        <v>0</v>
      </c>
      <c r="I799">
        <f>SUMIF(Sales[Product Name],Inventory[[#This Row],[Product Name]],Sales[Quantity Sold])</f>
        <v>0</v>
      </c>
      <c r="J799">
        <f t="shared" si="25"/>
        <v>0</v>
      </c>
      <c r="N799">
        <f t="shared" si="26"/>
        <v>0</v>
      </c>
    </row>
    <row r="800" spans="4:14" ht="15">
      <c r="D800" s="26"/>
      <c r="E800" s="26"/>
      <c r="F800" t="str">
        <f ca="1">IF(Inventory[[#This Row],[Product Category]]="","",IF(E800&lt;TODAY(),"EXPIRED",
IF(E800&lt;=TODAY()+30,"&lt;30 DAYS",
IF(E800&lt;=TODAY()+60,"&lt;60 DAYS",IF(E800=0,"","")))))</f>
        <v/>
      </c>
      <c r="H800">
        <f>SUMIF(Purchases[Product ID],A800,Purchases[Quantity])</f>
        <v>0</v>
      </c>
      <c r="I800">
        <f>SUMIF(Sales[Product Name],Inventory[[#This Row],[Product Name]],Sales[Quantity Sold])</f>
        <v>0</v>
      </c>
      <c r="J800">
        <f t="shared" si="25"/>
        <v>0</v>
      </c>
      <c r="N800">
        <f t="shared" si="26"/>
        <v>0</v>
      </c>
    </row>
    <row r="801" spans="4:14" ht="15">
      <c r="D801" s="26"/>
      <c r="E801" s="26"/>
      <c r="F801" t="str">
        <f ca="1">IF(Inventory[[#This Row],[Product Category]]="","",IF(E801&lt;TODAY(),"EXPIRED",
IF(E801&lt;=TODAY()+30,"&lt;30 DAYS",
IF(E801&lt;=TODAY()+60,"&lt;60 DAYS",IF(E801=0,"","")))))</f>
        <v/>
      </c>
      <c r="H801">
        <f>SUMIF(Purchases[Product ID],A801,Purchases[Quantity])</f>
        <v>0</v>
      </c>
      <c r="I801">
        <f>SUMIF(Sales[Product Name],Inventory[[#This Row],[Product Name]],Sales[Quantity Sold])</f>
        <v>0</v>
      </c>
      <c r="J801">
        <f t="shared" si="25"/>
        <v>0</v>
      </c>
      <c r="N801">
        <f t="shared" si="26"/>
        <v>0</v>
      </c>
    </row>
    <row r="802" spans="4:14" ht="15">
      <c r="D802" s="26"/>
      <c r="E802" s="26"/>
      <c r="F802" t="str">
        <f ca="1">IF(Inventory[[#This Row],[Product Category]]="","",IF(E802&lt;TODAY(),"EXPIRED",
IF(E802&lt;=TODAY()+30,"&lt;30 DAYS",
IF(E802&lt;=TODAY()+60,"&lt;60 DAYS",IF(E802=0,"","")))))</f>
        <v/>
      </c>
      <c r="H802">
        <f>SUMIF(Purchases[Product ID],A802,Purchases[Quantity])</f>
        <v>0</v>
      </c>
      <c r="I802">
        <f>SUMIF(Sales[Product Name],Inventory[[#This Row],[Product Name]],Sales[Quantity Sold])</f>
        <v>0</v>
      </c>
      <c r="J802">
        <f t="shared" si="25"/>
        <v>0</v>
      </c>
      <c r="N802">
        <f t="shared" si="26"/>
        <v>0</v>
      </c>
    </row>
    <row r="803" spans="4:14" ht="15">
      <c r="D803" s="26"/>
      <c r="E803" s="26"/>
      <c r="F803" t="str">
        <f ca="1">IF(Inventory[[#This Row],[Product Category]]="","",IF(E803&lt;TODAY(),"EXPIRED",
IF(E803&lt;=TODAY()+30,"&lt;30 DAYS",
IF(E803&lt;=TODAY()+60,"&lt;60 DAYS",IF(E803=0,"","")))))</f>
        <v/>
      </c>
      <c r="H803">
        <f>SUMIF(Purchases[Product ID],A803,Purchases[Quantity])</f>
        <v>0</v>
      </c>
      <c r="I803">
        <f>SUMIF(Sales[Product Name],Inventory[[#This Row],[Product Name]],Sales[Quantity Sold])</f>
        <v>0</v>
      </c>
      <c r="J803">
        <f t="shared" si="25"/>
        <v>0</v>
      </c>
      <c r="N803">
        <f t="shared" si="26"/>
        <v>0</v>
      </c>
    </row>
    <row r="804" spans="4:14" ht="15">
      <c r="D804" s="26"/>
      <c r="E804" s="26"/>
      <c r="F804" t="str">
        <f ca="1">IF(Inventory[[#This Row],[Product Category]]="","",IF(E804&lt;TODAY(),"EXPIRED",
IF(E804&lt;=TODAY()+30,"&lt;30 DAYS",
IF(E804&lt;=TODAY()+60,"&lt;60 DAYS",IF(E804=0,"","")))))</f>
        <v/>
      </c>
      <c r="H804">
        <f>SUMIF(Purchases[Product ID],A804,Purchases[Quantity])</f>
        <v>0</v>
      </c>
      <c r="I804">
        <f>SUMIF(Sales[Product Name],Inventory[[#This Row],[Product Name]],Sales[Quantity Sold])</f>
        <v>0</v>
      </c>
      <c r="J804">
        <f t="shared" si="25"/>
        <v>0</v>
      </c>
      <c r="N804">
        <f t="shared" si="26"/>
        <v>0</v>
      </c>
    </row>
    <row r="805" spans="4:14" ht="15">
      <c r="D805" s="26"/>
      <c r="E805" s="26"/>
      <c r="F805" t="str">
        <f ca="1">IF(Inventory[[#This Row],[Product Category]]="","",IF(E805&lt;TODAY(),"EXPIRED",
IF(E805&lt;=TODAY()+30,"&lt;30 DAYS",
IF(E805&lt;=TODAY()+60,"&lt;60 DAYS",IF(E805=0,"","")))))</f>
        <v/>
      </c>
      <c r="H805">
        <f>SUMIF(Purchases[Product ID],A805,Purchases[Quantity])</f>
        <v>0</v>
      </c>
      <c r="I805">
        <f>SUMIF(Sales[Product Name],Inventory[[#This Row],[Product Name]],Sales[Quantity Sold])</f>
        <v>0</v>
      </c>
      <c r="J805">
        <f t="shared" si="25"/>
        <v>0</v>
      </c>
      <c r="N805">
        <f t="shared" si="26"/>
        <v>0</v>
      </c>
    </row>
    <row r="806" spans="4:14" ht="15">
      <c r="D806" s="26"/>
      <c r="E806" s="26"/>
      <c r="F806" t="str">
        <f ca="1">IF(Inventory[[#This Row],[Product Category]]="","",IF(E806&lt;TODAY(),"EXPIRED",
IF(E806&lt;=TODAY()+30,"&lt;30 DAYS",
IF(E806&lt;=TODAY()+60,"&lt;60 DAYS",IF(E806=0,"","")))))</f>
        <v/>
      </c>
      <c r="H806">
        <f>SUMIF(Purchases[Product ID],A806,Purchases[Quantity])</f>
        <v>0</v>
      </c>
      <c r="I806">
        <f>SUMIF(Sales[Product Name],Inventory[[#This Row],[Product Name]],Sales[Quantity Sold])</f>
        <v>0</v>
      </c>
      <c r="J806">
        <f t="shared" si="25"/>
        <v>0</v>
      </c>
      <c r="N806">
        <f t="shared" si="26"/>
        <v>0</v>
      </c>
    </row>
    <row r="807" spans="4:14" ht="15">
      <c r="D807" s="26"/>
      <c r="E807" s="26"/>
      <c r="F807" t="str">
        <f ca="1">IF(Inventory[[#This Row],[Product Category]]="","",IF(E807&lt;TODAY(),"EXPIRED",
IF(E807&lt;=TODAY()+30,"&lt;30 DAYS",
IF(E807&lt;=TODAY()+60,"&lt;60 DAYS",IF(E807=0,"","")))))</f>
        <v/>
      </c>
      <c r="H807">
        <f>SUMIF(Purchases[Product ID],A807,Purchases[Quantity])</f>
        <v>0</v>
      </c>
      <c r="I807">
        <f>SUMIF(Sales[Product Name],Inventory[[#This Row],[Product Name]],Sales[Quantity Sold])</f>
        <v>0</v>
      </c>
      <c r="J807">
        <f t="shared" si="25"/>
        <v>0</v>
      </c>
      <c r="N807">
        <f t="shared" si="26"/>
        <v>0</v>
      </c>
    </row>
    <row r="808" spans="4:14" ht="15">
      <c r="D808" s="26"/>
      <c r="E808" s="26"/>
      <c r="F808" t="str">
        <f ca="1">IF(Inventory[[#This Row],[Product Category]]="","",IF(E808&lt;TODAY(),"EXPIRED",
IF(E808&lt;=TODAY()+30,"&lt;30 DAYS",
IF(E808&lt;=TODAY()+60,"&lt;60 DAYS",IF(E808=0,"","")))))</f>
        <v/>
      </c>
      <c r="H808">
        <f>SUMIF(Purchases[Product ID],A808,Purchases[Quantity])</f>
        <v>0</v>
      </c>
      <c r="I808">
        <f>SUMIF(Sales[Product Name],Inventory[[#This Row],[Product Name]],Sales[Quantity Sold])</f>
        <v>0</v>
      </c>
      <c r="J808">
        <f t="shared" si="25"/>
        <v>0</v>
      </c>
      <c r="N808">
        <f t="shared" si="26"/>
        <v>0</v>
      </c>
    </row>
    <row r="809" spans="4:14" ht="15">
      <c r="D809" s="26"/>
      <c r="E809" s="26"/>
      <c r="F809" t="str">
        <f ca="1">IF(Inventory[[#This Row],[Product Category]]="","",IF(E809&lt;TODAY(),"EXPIRED",
IF(E809&lt;=TODAY()+30,"&lt;30 DAYS",
IF(E809&lt;=TODAY()+60,"&lt;60 DAYS",IF(E809=0,"","")))))</f>
        <v/>
      </c>
      <c r="H809">
        <f>SUMIF(Purchases[Product ID],A809,Purchases[Quantity])</f>
        <v>0</v>
      </c>
      <c r="I809">
        <f>SUMIF(Sales[Product Name],Inventory[[#This Row],[Product Name]],Sales[Quantity Sold])</f>
        <v>0</v>
      </c>
      <c r="J809">
        <f t="shared" si="25"/>
        <v>0</v>
      </c>
      <c r="N809">
        <f t="shared" si="26"/>
        <v>0</v>
      </c>
    </row>
    <row r="810" spans="4:14" ht="15">
      <c r="D810" s="26"/>
      <c r="E810" s="26"/>
      <c r="F810" t="str">
        <f ca="1">IF(Inventory[[#This Row],[Product Category]]="","",IF(E810&lt;TODAY(),"EXPIRED",
IF(E810&lt;=TODAY()+30,"&lt;30 DAYS",
IF(E810&lt;=TODAY()+60,"&lt;60 DAYS",IF(E810=0,"","")))))</f>
        <v/>
      </c>
      <c r="H810">
        <f>SUMIF(Purchases[Product ID],A810,Purchases[Quantity])</f>
        <v>0</v>
      </c>
      <c r="I810">
        <f>SUMIF(Sales[Product Name],Inventory[[#This Row],[Product Name]],Sales[Quantity Sold])</f>
        <v>0</v>
      </c>
      <c r="J810">
        <f t="shared" si="25"/>
        <v>0</v>
      </c>
      <c r="N810">
        <f t="shared" si="26"/>
        <v>0</v>
      </c>
    </row>
    <row r="811" spans="4:14" ht="15">
      <c r="D811" s="26"/>
      <c r="E811" s="26"/>
      <c r="F811" t="str">
        <f ca="1">IF(Inventory[[#This Row],[Product Category]]="","",IF(E811&lt;TODAY(),"EXPIRED",
IF(E811&lt;=TODAY()+30,"&lt;30 DAYS",
IF(E811&lt;=TODAY()+60,"&lt;60 DAYS",IF(E811=0,"","")))))</f>
        <v/>
      </c>
      <c r="H811">
        <f>SUMIF(Purchases[Product ID],A811,Purchases[Quantity])</f>
        <v>0</v>
      </c>
      <c r="I811">
        <f>SUMIF(Sales[Product Name],Inventory[[#This Row],[Product Name]],Sales[Quantity Sold])</f>
        <v>0</v>
      </c>
      <c r="J811">
        <f t="shared" si="25"/>
        <v>0</v>
      </c>
      <c r="N811">
        <f t="shared" si="26"/>
        <v>0</v>
      </c>
    </row>
    <row r="812" spans="4:14" ht="15">
      <c r="D812" s="26"/>
      <c r="E812" s="26"/>
      <c r="F812" t="str">
        <f ca="1">IF(Inventory[[#This Row],[Product Category]]="","",IF(E812&lt;TODAY(),"EXPIRED",
IF(E812&lt;=TODAY()+30,"&lt;30 DAYS",
IF(E812&lt;=TODAY()+60,"&lt;60 DAYS",IF(E812=0,"","")))))</f>
        <v/>
      </c>
      <c r="H812">
        <f>SUMIF(Purchases[Product ID],A812,Purchases[Quantity])</f>
        <v>0</v>
      </c>
      <c r="I812">
        <f>SUMIF(Sales[Product Name],Inventory[[#This Row],[Product Name]],Sales[Quantity Sold])</f>
        <v>0</v>
      </c>
      <c r="J812">
        <f t="shared" si="25"/>
        <v>0</v>
      </c>
      <c r="N812">
        <f t="shared" si="26"/>
        <v>0</v>
      </c>
    </row>
    <row r="813" spans="4:14" ht="15">
      <c r="D813" s="26"/>
      <c r="E813" s="26"/>
      <c r="F813" t="str">
        <f ca="1">IF(Inventory[[#This Row],[Product Category]]="","",IF(E813&lt;TODAY(),"EXPIRED",
IF(E813&lt;=TODAY()+30,"&lt;30 DAYS",
IF(E813&lt;=TODAY()+60,"&lt;60 DAYS",IF(E813=0,"","")))))</f>
        <v/>
      </c>
      <c r="H813">
        <f>SUMIF(Purchases[Product ID],A813,Purchases[Quantity])</f>
        <v>0</v>
      </c>
      <c r="I813">
        <f>SUMIF(Sales[Product Name],Inventory[[#This Row],[Product Name]],Sales[Quantity Sold])</f>
        <v>0</v>
      </c>
      <c r="J813">
        <f t="shared" si="25"/>
        <v>0</v>
      </c>
      <c r="N813">
        <f t="shared" si="26"/>
        <v>0</v>
      </c>
    </row>
    <row r="814" spans="4:14" ht="15">
      <c r="D814" s="26"/>
      <c r="E814" s="26"/>
      <c r="F814" t="str">
        <f ca="1">IF(Inventory[[#This Row],[Product Category]]="","",IF(E814&lt;TODAY(),"EXPIRED",
IF(E814&lt;=TODAY()+30,"&lt;30 DAYS",
IF(E814&lt;=TODAY()+60,"&lt;60 DAYS",IF(E814=0,"","")))))</f>
        <v/>
      </c>
      <c r="H814">
        <f>SUMIF(Purchases[Product ID],A814,Purchases[Quantity])</f>
        <v>0</v>
      </c>
      <c r="I814">
        <f>SUMIF(Sales[Product Name],Inventory[[#This Row],[Product Name]],Sales[Quantity Sold])</f>
        <v>0</v>
      </c>
      <c r="J814">
        <f t="shared" si="25"/>
        <v>0</v>
      </c>
      <c r="N814">
        <f t="shared" si="26"/>
        <v>0</v>
      </c>
    </row>
    <row r="815" spans="4:14" ht="15">
      <c r="D815" s="26"/>
      <c r="E815" s="26"/>
      <c r="F815" t="str">
        <f ca="1">IF(Inventory[[#This Row],[Product Category]]="","",IF(E815&lt;TODAY(),"EXPIRED",
IF(E815&lt;=TODAY()+30,"&lt;30 DAYS",
IF(E815&lt;=TODAY()+60,"&lt;60 DAYS",IF(E815=0,"","")))))</f>
        <v/>
      </c>
      <c r="H815">
        <f>SUMIF(Purchases[Product ID],A815,Purchases[Quantity])</f>
        <v>0</v>
      </c>
      <c r="I815">
        <f>SUMIF(Sales[Product Name],Inventory[[#This Row],[Product Name]],Sales[Quantity Sold])</f>
        <v>0</v>
      </c>
      <c r="J815">
        <f t="shared" si="25"/>
        <v>0</v>
      </c>
      <c r="N815">
        <f t="shared" si="26"/>
        <v>0</v>
      </c>
    </row>
    <row r="816" spans="4:14" ht="15">
      <c r="D816" s="26"/>
      <c r="E816" s="26"/>
      <c r="F816" t="str">
        <f ca="1">IF(Inventory[[#This Row],[Product Category]]="","",IF(E816&lt;TODAY(),"EXPIRED",
IF(E816&lt;=TODAY()+30,"&lt;30 DAYS",
IF(E816&lt;=TODAY()+60,"&lt;60 DAYS",IF(E816=0,"","")))))</f>
        <v/>
      </c>
      <c r="H816">
        <f>SUMIF(Purchases[Product ID],A816,Purchases[Quantity])</f>
        <v>0</v>
      </c>
      <c r="I816">
        <f>SUMIF(Sales[Product Name],Inventory[[#This Row],[Product Name]],Sales[Quantity Sold])</f>
        <v>0</v>
      </c>
      <c r="J816">
        <f t="shared" si="25"/>
        <v>0</v>
      </c>
      <c r="N816">
        <f t="shared" si="26"/>
        <v>0</v>
      </c>
    </row>
    <row r="817" spans="4:14" ht="15">
      <c r="D817" s="26"/>
      <c r="E817" s="26"/>
      <c r="F817" t="str">
        <f ca="1">IF(Inventory[[#This Row],[Product Category]]="","",IF(E817&lt;TODAY(),"EXPIRED",
IF(E817&lt;=TODAY()+30,"&lt;30 DAYS",
IF(E817&lt;=TODAY()+60,"&lt;60 DAYS",IF(E817=0,"","")))))</f>
        <v/>
      </c>
      <c r="H817">
        <f>SUMIF(Purchases[Product ID],A817,Purchases[Quantity])</f>
        <v>0</v>
      </c>
      <c r="I817">
        <f>SUMIF(Sales[Product Name],Inventory[[#This Row],[Product Name]],Sales[Quantity Sold])</f>
        <v>0</v>
      </c>
      <c r="J817">
        <f t="shared" si="25"/>
        <v>0</v>
      </c>
      <c r="N817">
        <f t="shared" si="26"/>
        <v>0</v>
      </c>
    </row>
    <row r="818" spans="4:14" ht="15">
      <c r="D818" s="26"/>
      <c r="E818" s="26"/>
      <c r="F818" t="str">
        <f ca="1">IF(Inventory[[#This Row],[Product Category]]="","",IF(E818&lt;TODAY(),"EXPIRED",
IF(E818&lt;=TODAY()+30,"&lt;30 DAYS",
IF(E818&lt;=TODAY()+60,"&lt;60 DAYS",IF(E818=0,"","")))))</f>
        <v/>
      </c>
      <c r="H818">
        <f>SUMIF(Purchases[Product ID],A818,Purchases[Quantity])</f>
        <v>0</v>
      </c>
      <c r="I818">
        <f>SUMIF(Sales[Product Name],Inventory[[#This Row],[Product Name]],Sales[Quantity Sold])</f>
        <v>0</v>
      </c>
      <c r="J818">
        <f t="shared" si="25"/>
        <v>0</v>
      </c>
      <c r="N818">
        <f t="shared" si="26"/>
        <v>0</v>
      </c>
    </row>
    <row r="819" spans="4:14" ht="15">
      <c r="D819" s="26"/>
      <c r="E819" s="26"/>
      <c r="F819" t="str">
        <f ca="1">IF(Inventory[[#This Row],[Product Category]]="","",IF(E819&lt;TODAY(),"EXPIRED",
IF(E819&lt;=TODAY()+30,"&lt;30 DAYS",
IF(E819&lt;=TODAY()+60,"&lt;60 DAYS",IF(E819=0,"","")))))</f>
        <v/>
      </c>
      <c r="H819">
        <f>SUMIF(Purchases[Product ID],A819,Purchases[Quantity])</f>
        <v>0</v>
      </c>
      <c r="I819">
        <f>SUMIF(Sales[Product Name],Inventory[[#This Row],[Product Name]],Sales[Quantity Sold])</f>
        <v>0</v>
      </c>
      <c r="J819">
        <f t="shared" si="25"/>
        <v>0</v>
      </c>
      <c r="N819">
        <f t="shared" si="26"/>
        <v>0</v>
      </c>
    </row>
    <row r="820" spans="4:14" ht="15">
      <c r="D820" s="26"/>
      <c r="E820" s="26"/>
      <c r="F820" t="str">
        <f ca="1">IF(Inventory[[#This Row],[Product Category]]="","",IF(E820&lt;TODAY(),"EXPIRED",
IF(E820&lt;=TODAY()+30,"&lt;30 DAYS",
IF(E820&lt;=TODAY()+60,"&lt;60 DAYS",IF(E820=0,"","")))))</f>
        <v/>
      </c>
      <c r="H820">
        <f>SUMIF(Purchases[Product ID],A820,Purchases[Quantity])</f>
        <v>0</v>
      </c>
      <c r="I820">
        <f>SUMIF(Sales[Product Name],Inventory[[#This Row],[Product Name]],Sales[Quantity Sold])</f>
        <v>0</v>
      </c>
      <c r="J820">
        <f t="shared" si="25"/>
        <v>0</v>
      </c>
      <c r="N820">
        <f t="shared" si="26"/>
        <v>0</v>
      </c>
    </row>
    <row r="821" spans="4:14" ht="15">
      <c r="D821" s="26"/>
      <c r="E821" s="26"/>
      <c r="F821" t="str">
        <f ca="1">IF(Inventory[[#This Row],[Product Category]]="","",IF(E821&lt;TODAY(),"EXPIRED",
IF(E821&lt;=TODAY()+30,"&lt;30 DAYS",
IF(E821&lt;=TODAY()+60,"&lt;60 DAYS",IF(E821=0,"","")))))</f>
        <v/>
      </c>
      <c r="H821">
        <f>SUMIF(Purchases[Product ID],A821,Purchases[Quantity])</f>
        <v>0</v>
      </c>
      <c r="I821">
        <f>SUMIF(Sales[Product Name],Inventory[[#This Row],[Product Name]],Sales[Quantity Sold])</f>
        <v>0</v>
      </c>
      <c r="J821">
        <f t="shared" si="25"/>
        <v>0</v>
      </c>
      <c r="N821">
        <f t="shared" si="26"/>
        <v>0</v>
      </c>
    </row>
    <row r="822" spans="4:14" ht="15">
      <c r="D822" s="26"/>
      <c r="E822" s="26"/>
      <c r="F822" t="str">
        <f ca="1">IF(Inventory[[#This Row],[Product Category]]="","",IF(E822&lt;TODAY(),"EXPIRED",
IF(E822&lt;=TODAY()+30,"&lt;30 DAYS",
IF(E822&lt;=TODAY()+60,"&lt;60 DAYS",IF(E822=0,"","")))))</f>
        <v/>
      </c>
      <c r="H822">
        <f>SUMIF(Purchases[Product ID],A822,Purchases[Quantity])</f>
        <v>0</v>
      </c>
      <c r="I822">
        <f>SUMIF(Sales[Product Name],Inventory[[#This Row],[Product Name]],Sales[Quantity Sold])</f>
        <v>0</v>
      </c>
      <c r="J822">
        <f t="shared" si="25"/>
        <v>0</v>
      </c>
      <c r="N822">
        <f t="shared" si="26"/>
        <v>0</v>
      </c>
    </row>
    <row r="823" spans="4:14" ht="15">
      <c r="D823" s="26"/>
      <c r="E823" s="26"/>
      <c r="F823" t="str">
        <f ca="1">IF(Inventory[[#This Row],[Product Category]]="","",IF(E823&lt;TODAY(),"EXPIRED",
IF(E823&lt;=TODAY()+30,"&lt;30 DAYS",
IF(E823&lt;=TODAY()+60,"&lt;60 DAYS",IF(E823=0,"","")))))</f>
        <v/>
      </c>
      <c r="H823">
        <f>SUMIF(Purchases[Product ID],A823,Purchases[Quantity])</f>
        <v>0</v>
      </c>
      <c r="I823">
        <f>SUMIF(Sales[Product Name],Inventory[[#This Row],[Product Name]],Sales[Quantity Sold])</f>
        <v>0</v>
      </c>
      <c r="J823">
        <f t="shared" si="25"/>
        <v>0</v>
      </c>
      <c r="N823">
        <f t="shared" si="26"/>
        <v>0</v>
      </c>
    </row>
    <row r="824" spans="4:14" ht="15">
      <c r="D824" s="26"/>
      <c r="E824" s="26"/>
      <c r="F824" t="str">
        <f ca="1">IF(Inventory[[#This Row],[Product Category]]="","",IF(E824&lt;TODAY(),"EXPIRED",
IF(E824&lt;=TODAY()+30,"&lt;30 DAYS",
IF(E824&lt;=TODAY()+60,"&lt;60 DAYS",IF(E824=0,"","")))))</f>
        <v/>
      </c>
      <c r="H824">
        <f>SUMIF(Purchases[Product ID],A824,Purchases[Quantity])</f>
        <v>0</v>
      </c>
      <c r="I824">
        <f>SUMIF(Sales[Product Name],Inventory[[#This Row],[Product Name]],Sales[Quantity Sold])</f>
        <v>0</v>
      </c>
      <c r="J824">
        <f t="shared" si="25"/>
        <v>0</v>
      </c>
      <c r="N824">
        <f t="shared" si="26"/>
        <v>0</v>
      </c>
    </row>
    <row r="825" spans="4:14" ht="15">
      <c r="D825" s="26"/>
      <c r="E825" s="26"/>
      <c r="F825" t="str">
        <f ca="1">IF(Inventory[[#This Row],[Product Category]]="","",IF(E825&lt;TODAY(),"EXPIRED",
IF(E825&lt;=TODAY()+30,"&lt;30 DAYS",
IF(E825&lt;=TODAY()+60,"&lt;60 DAYS",IF(E825=0,"","")))))</f>
        <v/>
      </c>
      <c r="H825">
        <f>SUMIF(Purchases[Product ID],A825,Purchases[Quantity])</f>
        <v>0</v>
      </c>
      <c r="I825">
        <f>SUMIF(Sales[Product Name],Inventory[[#This Row],[Product Name]],Sales[Quantity Sold])</f>
        <v>0</v>
      </c>
      <c r="J825">
        <f t="shared" si="25"/>
        <v>0</v>
      </c>
      <c r="N825">
        <f t="shared" si="26"/>
        <v>0</v>
      </c>
    </row>
    <row r="826" spans="4:14" ht="15">
      <c r="D826" s="26"/>
      <c r="E826" s="26"/>
      <c r="F826" t="str">
        <f ca="1">IF(Inventory[[#This Row],[Product Category]]="","",IF(E826&lt;TODAY(),"EXPIRED",
IF(E826&lt;=TODAY()+30,"&lt;30 DAYS",
IF(E826&lt;=TODAY()+60,"&lt;60 DAYS",IF(E826=0,"","")))))</f>
        <v/>
      </c>
      <c r="H826">
        <f>SUMIF(Purchases[Product ID],A826,Purchases[Quantity])</f>
        <v>0</v>
      </c>
      <c r="I826">
        <f>SUMIF(Sales[Product Name],Inventory[[#This Row],[Product Name]],Sales[Quantity Sold])</f>
        <v>0</v>
      </c>
      <c r="J826">
        <f t="shared" si="25"/>
        <v>0</v>
      </c>
      <c r="N826">
        <f t="shared" si="26"/>
        <v>0</v>
      </c>
    </row>
    <row r="827" spans="4:14" ht="15">
      <c r="D827" s="26"/>
      <c r="E827" s="26"/>
      <c r="F827" t="str">
        <f ca="1">IF(Inventory[[#This Row],[Product Category]]="","",IF(E827&lt;TODAY(),"EXPIRED",
IF(E827&lt;=TODAY()+30,"&lt;30 DAYS",
IF(E827&lt;=TODAY()+60,"&lt;60 DAYS",IF(E827=0,"","")))))</f>
        <v/>
      </c>
      <c r="H827">
        <f>SUMIF(Purchases[Product ID],A827,Purchases[Quantity])</f>
        <v>0</v>
      </c>
      <c r="I827">
        <f>SUMIF(Sales[Product Name],Inventory[[#This Row],[Product Name]],Sales[Quantity Sold])</f>
        <v>0</v>
      </c>
      <c r="J827">
        <f t="shared" si="25"/>
        <v>0</v>
      </c>
      <c r="N827">
        <f t="shared" si="26"/>
        <v>0</v>
      </c>
    </row>
    <row r="828" spans="4:14" ht="15">
      <c r="D828" s="26"/>
      <c r="E828" s="26"/>
      <c r="F828" t="str">
        <f ca="1">IF(Inventory[[#This Row],[Product Category]]="","",IF(E828&lt;TODAY(),"EXPIRED",
IF(E828&lt;=TODAY()+30,"&lt;30 DAYS",
IF(E828&lt;=TODAY()+60,"&lt;60 DAYS",IF(E828=0,"","")))))</f>
        <v/>
      </c>
      <c r="H828">
        <f>SUMIF(Purchases[Product ID],A828,Purchases[Quantity])</f>
        <v>0</v>
      </c>
      <c r="I828">
        <f>SUMIF(Sales[Product Name],Inventory[[#This Row],[Product Name]],Sales[Quantity Sold])</f>
        <v>0</v>
      </c>
      <c r="J828">
        <f t="shared" si="25"/>
        <v>0</v>
      </c>
      <c r="N828">
        <f t="shared" si="26"/>
        <v>0</v>
      </c>
    </row>
    <row r="829" spans="4:14" ht="15">
      <c r="D829" s="26"/>
      <c r="E829" s="26"/>
      <c r="F829" t="str">
        <f ca="1">IF(Inventory[[#This Row],[Product Category]]="","",IF(E829&lt;TODAY(),"EXPIRED",
IF(E829&lt;=TODAY()+30,"&lt;30 DAYS",
IF(E829&lt;=TODAY()+60,"&lt;60 DAYS",IF(E829=0,"","")))))</f>
        <v/>
      </c>
      <c r="H829">
        <f>SUMIF(Purchases[Product ID],A829,Purchases[Quantity])</f>
        <v>0</v>
      </c>
      <c r="I829">
        <f>SUMIF(Sales[Product Name],Inventory[[#This Row],[Product Name]],Sales[Quantity Sold])</f>
        <v>0</v>
      </c>
      <c r="J829">
        <f t="shared" si="25"/>
        <v>0</v>
      </c>
      <c r="N829">
        <f t="shared" si="26"/>
        <v>0</v>
      </c>
    </row>
    <row r="830" spans="4:14" ht="15">
      <c r="D830" s="26"/>
      <c r="E830" s="26"/>
      <c r="F830" t="str">
        <f ca="1">IF(Inventory[[#This Row],[Product Category]]="","",IF(E830&lt;TODAY(),"EXPIRED",
IF(E830&lt;=TODAY()+30,"&lt;30 DAYS",
IF(E830&lt;=TODAY()+60,"&lt;60 DAYS",IF(E830=0,"","")))))</f>
        <v/>
      </c>
      <c r="H830">
        <f>SUMIF(Purchases[Product ID],A830,Purchases[Quantity])</f>
        <v>0</v>
      </c>
      <c r="I830">
        <f>SUMIF(Sales[Product Name],Inventory[[#This Row],[Product Name]],Sales[Quantity Sold])</f>
        <v>0</v>
      </c>
      <c r="J830">
        <f t="shared" si="25"/>
        <v>0</v>
      </c>
      <c r="N830">
        <f t="shared" si="26"/>
        <v>0</v>
      </c>
    </row>
    <row r="831" spans="4:14" ht="15">
      <c r="D831" s="26"/>
      <c r="E831" s="26"/>
      <c r="F831" t="str">
        <f ca="1">IF(Inventory[[#This Row],[Product Category]]="","",IF(E831&lt;TODAY(),"EXPIRED",
IF(E831&lt;=TODAY()+30,"&lt;30 DAYS",
IF(E831&lt;=TODAY()+60,"&lt;60 DAYS",IF(E831=0,"","")))))</f>
        <v/>
      </c>
      <c r="H831">
        <f>SUMIF(Purchases[Product ID],A831,Purchases[Quantity])</f>
        <v>0</v>
      </c>
      <c r="I831">
        <f>SUMIF(Sales[Product Name],Inventory[[#This Row],[Product Name]],Sales[Quantity Sold])</f>
        <v>0</v>
      </c>
      <c r="J831">
        <f t="shared" si="25"/>
        <v>0</v>
      </c>
      <c r="N831">
        <f t="shared" si="26"/>
        <v>0</v>
      </c>
    </row>
    <row r="832" spans="4:14" ht="15">
      <c r="D832" s="26"/>
      <c r="E832" s="26"/>
      <c r="F832" t="str">
        <f ca="1">IF(Inventory[[#This Row],[Product Category]]="","",IF(E832&lt;TODAY(),"EXPIRED",
IF(E832&lt;=TODAY()+30,"&lt;30 DAYS",
IF(E832&lt;=TODAY()+60,"&lt;60 DAYS",IF(E832=0,"","")))))</f>
        <v/>
      </c>
      <c r="H832">
        <f>SUMIF(Purchases[Product ID],A832,Purchases[Quantity])</f>
        <v>0</v>
      </c>
      <c r="I832">
        <f>SUMIF(Sales[Product Name],Inventory[[#This Row],[Product Name]],Sales[Quantity Sold])</f>
        <v>0</v>
      </c>
      <c r="J832">
        <f t="shared" si="25"/>
        <v>0</v>
      </c>
      <c r="N832">
        <f t="shared" si="26"/>
        <v>0</v>
      </c>
    </row>
    <row r="833" spans="4:14" ht="15">
      <c r="D833" s="26"/>
      <c r="E833" s="26"/>
      <c r="F833" t="str">
        <f ca="1">IF(Inventory[[#This Row],[Product Category]]="","",IF(E833&lt;TODAY(),"EXPIRED",
IF(E833&lt;=TODAY()+30,"&lt;30 DAYS",
IF(E833&lt;=TODAY()+60,"&lt;60 DAYS",IF(E833=0,"","")))))</f>
        <v/>
      </c>
      <c r="H833">
        <f>SUMIF(Purchases[Product ID],A833,Purchases[Quantity])</f>
        <v>0</v>
      </c>
      <c r="I833">
        <f>SUMIF(Sales[Product Name],Inventory[[#This Row],[Product Name]],Sales[Quantity Sold])</f>
        <v>0</v>
      </c>
      <c r="J833">
        <f t="shared" si="25"/>
        <v>0</v>
      </c>
      <c r="N833">
        <f t="shared" si="26"/>
        <v>0</v>
      </c>
    </row>
    <row r="834" spans="4:14" ht="15">
      <c r="D834" s="26"/>
      <c r="E834" s="26"/>
      <c r="F834" t="str">
        <f ca="1">IF(Inventory[[#This Row],[Product Category]]="","",IF(E834&lt;TODAY(),"EXPIRED",
IF(E834&lt;=TODAY()+30,"&lt;30 DAYS",
IF(E834&lt;=TODAY()+60,"&lt;60 DAYS",IF(E834=0,"","")))))</f>
        <v/>
      </c>
      <c r="H834">
        <f>SUMIF(Purchases[Product ID],A834,Purchases[Quantity])</f>
        <v>0</v>
      </c>
      <c r="I834">
        <f>SUMIF(Sales[Product Name],Inventory[[#This Row],[Product Name]],Sales[Quantity Sold])</f>
        <v>0</v>
      </c>
      <c r="J834">
        <f t="shared" si="25"/>
        <v>0</v>
      </c>
      <c r="N834">
        <f t="shared" si="26"/>
        <v>0</v>
      </c>
    </row>
    <row r="835" spans="4:14" ht="15">
      <c r="D835" s="26"/>
      <c r="E835" s="26"/>
      <c r="F835" t="str">
        <f ca="1">IF(Inventory[[#This Row],[Product Category]]="","",IF(E835&lt;TODAY(),"EXPIRED",
IF(E835&lt;=TODAY()+30,"&lt;30 DAYS",
IF(E835&lt;=TODAY()+60,"&lt;60 DAYS",IF(E835=0,"","")))))</f>
        <v/>
      </c>
      <c r="H835">
        <f>SUMIF(Purchases[Product ID],A835,Purchases[Quantity])</f>
        <v>0</v>
      </c>
      <c r="I835">
        <f>SUMIF(Sales[Product Name],Inventory[[#This Row],[Product Name]],Sales[Quantity Sold])</f>
        <v>0</v>
      </c>
      <c r="J835">
        <f t="shared" si="25"/>
        <v>0</v>
      </c>
      <c r="N835">
        <f t="shared" si="26"/>
        <v>0</v>
      </c>
    </row>
    <row r="836" spans="4:14" ht="15">
      <c r="D836" s="26"/>
      <c r="E836" s="26"/>
      <c r="F836" t="str">
        <f ca="1">IF(Inventory[[#This Row],[Product Category]]="","",IF(E836&lt;TODAY(),"EXPIRED",
IF(E836&lt;=TODAY()+30,"&lt;30 DAYS",
IF(E836&lt;=TODAY()+60,"&lt;60 DAYS",IF(E836=0,"","")))))</f>
        <v/>
      </c>
      <c r="H836">
        <f>SUMIF(Purchases[Product ID],A836,Purchases[Quantity])</f>
        <v>0</v>
      </c>
      <c r="I836">
        <f>SUMIF(Sales[Product Name],Inventory[[#This Row],[Product Name]],Sales[Quantity Sold])</f>
        <v>0</v>
      </c>
      <c r="J836">
        <f t="shared" si="25"/>
        <v>0</v>
      </c>
      <c r="N836">
        <f t="shared" si="26"/>
        <v>0</v>
      </c>
    </row>
    <row r="837" spans="4:14" ht="15">
      <c r="D837" s="26"/>
      <c r="E837" s="26"/>
      <c r="F837" t="str">
        <f ca="1">IF(Inventory[[#This Row],[Product Category]]="","",IF(E837&lt;TODAY(),"EXPIRED",
IF(E837&lt;=TODAY()+30,"&lt;30 DAYS",
IF(E837&lt;=TODAY()+60,"&lt;60 DAYS",IF(E837=0,"","")))))</f>
        <v/>
      </c>
      <c r="H837">
        <f>SUMIF(Purchases[Product ID],A837,Purchases[Quantity])</f>
        <v>0</v>
      </c>
      <c r="I837">
        <f>SUMIF(Sales[Product Name],Inventory[[#This Row],[Product Name]],Sales[Quantity Sold])</f>
        <v>0</v>
      </c>
      <c r="J837">
        <f t="shared" si="25"/>
        <v>0</v>
      </c>
      <c r="N837">
        <f t="shared" si="26"/>
        <v>0</v>
      </c>
    </row>
    <row r="838" spans="4:14" ht="15">
      <c r="D838" s="26"/>
      <c r="E838" s="26"/>
      <c r="F838" t="str">
        <f ca="1">IF(Inventory[[#This Row],[Product Category]]="","",IF(E838&lt;TODAY(),"EXPIRED",
IF(E838&lt;=TODAY()+30,"&lt;30 DAYS",
IF(E838&lt;=TODAY()+60,"&lt;60 DAYS",IF(E838=0,"","")))))</f>
        <v/>
      </c>
      <c r="H838">
        <f>SUMIF(Purchases[Product ID],A838,Purchases[Quantity])</f>
        <v>0</v>
      </c>
      <c r="I838">
        <f>SUMIF(Sales[Product Name],Inventory[[#This Row],[Product Name]],Sales[Quantity Sold])</f>
        <v>0</v>
      </c>
      <c r="J838">
        <f t="shared" si="25"/>
        <v>0</v>
      </c>
      <c r="N838">
        <f t="shared" si="26"/>
        <v>0</v>
      </c>
    </row>
    <row r="839" spans="4:14" ht="15">
      <c r="D839" s="26"/>
      <c r="E839" s="26"/>
      <c r="F839" t="str">
        <f ca="1">IF(Inventory[[#This Row],[Product Category]]="","",IF(E839&lt;TODAY(),"EXPIRED",
IF(E839&lt;=TODAY()+30,"&lt;30 DAYS",
IF(E839&lt;=TODAY()+60,"&lt;60 DAYS",IF(E839=0,"","")))))</f>
        <v/>
      </c>
      <c r="H839">
        <f>SUMIF(Purchases[Product ID],A839,Purchases[Quantity])</f>
        <v>0</v>
      </c>
      <c r="I839">
        <f>SUMIF(Sales[Product Name],Inventory[[#This Row],[Product Name]],Sales[Quantity Sold])</f>
        <v>0</v>
      </c>
      <c r="J839">
        <f t="shared" si="25"/>
        <v>0</v>
      </c>
      <c r="N839">
        <f t="shared" si="26"/>
        <v>0</v>
      </c>
    </row>
    <row r="840" spans="4:14" ht="15">
      <c r="D840" s="26"/>
      <c r="E840" s="26"/>
      <c r="F840" t="str">
        <f ca="1">IF(Inventory[[#This Row],[Product Category]]="","",IF(E840&lt;TODAY(),"EXPIRED",
IF(E840&lt;=TODAY()+30,"&lt;30 DAYS",
IF(E840&lt;=TODAY()+60,"&lt;60 DAYS",IF(E840=0,"","")))))</f>
        <v/>
      </c>
      <c r="H840">
        <f>SUMIF(Purchases[Product ID],A840,Purchases[Quantity])</f>
        <v>0</v>
      </c>
      <c r="I840">
        <f>SUMIF(Sales[Product Name],Inventory[[#This Row],[Product Name]],Sales[Quantity Sold])</f>
        <v>0</v>
      </c>
      <c r="J840">
        <f t="shared" ref="J840:J903" si="27">G840+H840-I840</f>
        <v>0</v>
      </c>
      <c r="N840">
        <f t="shared" ref="N840:N903" si="28">J840*L840</f>
        <v>0</v>
      </c>
    </row>
    <row r="841" spans="4:14" ht="15">
      <c r="D841" s="26"/>
      <c r="E841" s="26"/>
      <c r="F841" t="str">
        <f ca="1">IF(Inventory[[#This Row],[Product Category]]="","",IF(E841&lt;TODAY(),"EXPIRED",
IF(E841&lt;=TODAY()+30,"&lt;30 DAYS",
IF(E841&lt;=TODAY()+60,"&lt;60 DAYS",IF(E841=0,"","")))))</f>
        <v/>
      </c>
      <c r="H841">
        <f>SUMIF(Purchases[Product ID],A841,Purchases[Quantity])</f>
        <v>0</v>
      </c>
      <c r="I841">
        <f>SUMIF(Sales[Product Name],Inventory[[#This Row],[Product Name]],Sales[Quantity Sold])</f>
        <v>0</v>
      </c>
      <c r="J841">
        <f t="shared" si="27"/>
        <v>0</v>
      </c>
      <c r="N841">
        <f t="shared" si="28"/>
        <v>0</v>
      </c>
    </row>
    <row r="842" spans="4:14" ht="15">
      <c r="D842" s="26"/>
      <c r="E842" s="26"/>
      <c r="F842" t="str">
        <f ca="1">IF(Inventory[[#This Row],[Product Category]]="","",IF(E842&lt;TODAY(),"EXPIRED",
IF(E842&lt;=TODAY()+30,"&lt;30 DAYS",
IF(E842&lt;=TODAY()+60,"&lt;60 DAYS",IF(E842=0,"","")))))</f>
        <v/>
      </c>
      <c r="H842">
        <f>SUMIF(Purchases[Product ID],A842,Purchases[Quantity])</f>
        <v>0</v>
      </c>
      <c r="I842">
        <f>SUMIF(Sales[Product Name],Inventory[[#This Row],[Product Name]],Sales[Quantity Sold])</f>
        <v>0</v>
      </c>
      <c r="J842">
        <f t="shared" si="27"/>
        <v>0</v>
      </c>
      <c r="N842">
        <f t="shared" si="28"/>
        <v>0</v>
      </c>
    </row>
    <row r="843" spans="4:14" ht="15">
      <c r="D843" s="26"/>
      <c r="E843" s="26"/>
      <c r="F843" t="str">
        <f ca="1">IF(Inventory[[#This Row],[Product Category]]="","",IF(E843&lt;TODAY(),"EXPIRED",
IF(E843&lt;=TODAY()+30,"&lt;30 DAYS",
IF(E843&lt;=TODAY()+60,"&lt;60 DAYS",IF(E843=0,"","")))))</f>
        <v/>
      </c>
      <c r="H843">
        <f>SUMIF(Purchases[Product ID],A843,Purchases[Quantity])</f>
        <v>0</v>
      </c>
      <c r="I843">
        <f>SUMIF(Sales[Product Name],Inventory[[#This Row],[Product Name]],Sales[Quantity Sold])</f>
        <v>0</v>
      </c>
      <c r="J843">
        <f t="shared" si="27"/>
        <v>0</v>
      </c>
      <c r="N843">
        <f t="shared" si="28"/>
        <v>0</v>
      </c>
    </row>
    <row r="844" spans="4:14" ht="15">
      <c r="D844" s="26"/>
      <c r="E844" s="26"/>
      <c r="F844" t="str">
        <f ca="1">IF(Inventory[[#This Row],[Product Category]]="","",IF(E844&lt;TODAY(),"EXPIRED",
IF(E844&lt;=TODAY()+30,"&lt;30 DAYS",
IF(E844&lt;=TODAY()+60,"&lt;60 DAYS",IF(E844=0,"","")))))</f>
        <v/>
      </c>
      <c r="H844">
        <f>SUMIF(Purchases[Product ID],A844,Purchases[Quantity])</f>
        <v>0</v>
      </c>
      <c r="I844">
        <f>SUMIF(Sales[Product Name],Inventory[[#This Row],[Product Name]],Sales[Quantity Sold])</f>
        <v>0</v>
      </c>
      <c r="J844">
        <f t="shared" si="27"/>
        <v>0</v>
      </c>
      <c r="N844">
        <f t="shared" si="28"/>
        <v>0</v>
      </c>
    </row>
    <row r="845" spans="4:14" ht="15">
      <c r="D845" s="26"/>
      <c r="E845" s="26"/>
      <c r="F845" t="str">
        <f ca="1">IF(Inventory[[#This Row],[Product Category]]="","",IF(E845&lt;TODAY(),"EXPIRED",
IF(E845&lt;=TODAY()+30,"&lt;30 DAYS",
IF(E845&lt;=TODAY()+60,"&lt;60 DAYS",IF(E845=0,"","")))))</f>
        <v/>
      </c>
      <c r="H845">
        <f>SUMIF(Purchases[Product ID],A845,Purchases[Quantity])</f>
        <v>0</v>
      </c>
      <c r="I845">
        <f>SUMIF(Sales[Product Name],Inventory[[#This Row],[Product Name]],Sales[Quantity Sold])</f>
        <v>0</v>
      </c>
      <c r="J845">
        <f t="shared" si="27"/>
        <v>0</v>
      </c>
      <c r="N845">
        <f t="shared" si="28"/>
        <v>0</v>
      </c>
    </row>
    <row r="846" spans="4:14" ht="15">
      <c r="D846" s="26"/>
      <c r="E846" s="26"/>
      <c r="F846" t="str">
        <f ca="1">IF(Inventory[[#This Row],[Product Category]]="","",IF(E846&lt;TODAY(),"EXPIRED",
IF(E846&lt;=TODAY()+30,"&lt;30 DAYS",
IF(E846&lt;=TODAY()+60,"&lt;60 DAYS",IF(E846=0,"","")))))</f>
        <v/>
      </c>
      <c r="H846">
        <f>SUMIF(Purchases[Product ID],A846,Purchases[Quantity])</f>
        <v>0</v>
      </c>
      <c r="I846">
        <f>SUMIF(Sales[Product Name],Inventory[[#This Row],[Product Name]],Sales[Quantity Sold])</f>
        <v>0</v>
      </c>
      <c r="J846">
        <f t="shared" si="27"/>
        <v>0</v>
      </c>
      <c r="N846">
        <f t="shared" si="28"/>
        <v>0</v>
      </c>
    </row>
    <row r="847" spans="4:14" ht="15">
      <c r="D847" s="26"/>
      <c r="E847" s="26"/>
      <c r="F847" t="str">
        <f ca="1">IF(Inventory[[#This Row],[Product Category]]="","",IF(E847&lt;TODAY(),"EXPIRED",
IF(E847&lt;=TODAY()+30,"&lt;30 DAYS",
IF(E847&lt;=TODAY()+60,"&lt;60 DAYS",IF(E847=0,"","")))))</f>
        <v/>
      </c>
      <c r="H847">
        <f>SUMIF(Purchases[Product ID],A847,Purchases[Quantity])</f>
        <v>0</v>
      </c>
      <c r="I847">
        <f>SUMIF(Sales[Product Name],Inventory[[#This Row],[Product Name]],Sales[Quantity Sold])</f>
        <v>0</v>
      </c>
      <c r="J847">
        <f t="shared" si="27"/>
        <v>0</v>
      </c>
      <c r="N847">
        <f t="shared" si="28"/>
        <v>0</v>
      </c>
    </row>
    <row r="848" spans="4:14" ht="15">
      <c r="D848" s="26"/>
      <c r="E848" s="26"/>
      <c r="F848" t="str">
        <f ca="1">IF(Inventory[[#This Row],[Product Category]]="","",IF(E848&lt;TODAY(),"EXPIRED",
IF(E848&lt;=TODAY()+30,"&lt;30 DAYS",
IF(E848&lt;=TODAY()+60,"&lt;60 DAYS",IF(E848=0,"","")))))</f>
        <v/>
      </c>
      <c r="H848">
        <f>SUMIF(Purchases[Product ID],A848,Purchases[Quantity])</f>
        <v>0</v>
      </c>
      <c r="I848">
        <f>SUMIF(Sales[Product Name],Inventory[[#This Row],[Product Name]],Sales[Quantity Sold])</f>
        <v>0</v>
      </c>
      <c r="J848">
        <f t="shared" si="27"/>
        <v>0</v>
      </c>
      <c r="N848">
        <f t="shared" si="28"/>
        <v>0</v>
      </c>
    </row>
    <row r="849" spans="4:14" ht="15">
      <c r="D849" s="26"/>
      <c r="E849" s="26"/>
      <c r="F849" t="str">
        <f ca="1">IF(Inventory[[#This Row],[Product Category]]="","",IF(E849&lt;TODAY(),"EXPIRED",
IF(E849&lt;=TODAY()+30,"&lt;30 DAYS",
IF(E849&lt;=TODAY()+60,"&lt;60 DAYS",IF(E849=0,"","")))))</f>
        <v/>
      </c>
      <c r="H849">
        <f>SUMIF(Purchases[Product ID],A849,Purchases[Quantity])</f>
        <v>0</v>
      </c>
      <c r="I849">
        <f>SUMIF(Sales[Product Name],Inventory[[#This Row],[Product Name]],Sales[Quantity Sold])</f>
        <v>0</v>
      </c>
      <c r="J849">
        <f t="shared" si="27"/>
        <v>0</v>
      </c>
      <c r="N849">
        <f t="shared" si="28"/>
        <v>0</v>
      </c>
    </row>
    <row r="850" spans="4:14" ht="15">
      <c r="D850" s="26"/>
      <c r="E850" s="26"/>
      <c r="F850" t="str">
        <f ca="1">IF(Inventory[[#This Row],[Product Category]]="","",IF(E850&lt;TODAY(),"EXPIRED",
IF(E850&lt;=TODAY()+30,"&lt;30 DAYS",
IF(E850&lt;=TODAY()+60,"&lt;60 DAYS",IF(E850=0,"","")))))</f>
        <v/>
      </c>
      <c r="H850">
        <f>SUMIF(Purchases[Product ID],A850,Purchases[Quantity])</f>
        <v>0</v>
      </c>
      <c r="I850">
        <f>SUMIF(Sales[Product Name],Inventory[[#This Row],[Product Name]],Sales[Quantity Sold])</f>
        <v>0</v>
      </c>
      <c r="J850">
        <f t="shared" si="27"/>
        <v>0</v>
      </c>
      <c r="N850">
        <f t="shared" si="28"/>
        <v>0</v>
      </c>
    </row>
    <row r="851" spans="4:14" ht="15">
      <c r="D851" s="26"/>
      <c r="E851" s="26"/>
      <c r="F851" t="str">
        <f ca="1">IF(Inventory[[#This Row],[Product Category]]="","",IF(E851&lt;TODAY(),"EXPIRED",
IF(E851&lt;=TODAY()+30,"&lt;30 DAYS",
IF(E851&lt;=TODAY()+60,"&lt;60 DAYS",IF(E851=0,"","")))))</f>
        <v/>
      </c>
      <c r="H851">
        <f>SUMIF(Purchases[Product ID],A851,Purchases[Quantity])</f>
        <v>0</v>
      </c>
      <c r="I851">
        <f>SUMIF(Sales[Product Name],Inventory[[#This Row],[Product Name]],Sales[Quantity Sold])</f>
        <v>0</v>
      </c>
      <c r="J851">
        <f t="shared" si="27"/>
        <v>0</v>
      </c>
      <c r="N851">
        <f t="shared" si="28"/>
        <v>0</v>
      </c>
    </row>
    <row r="852" spans="4:14" ht="15">
      <c r="D852" s="26"/>
      <c r="E852" s="26"/>
      <c r="F852" t="str">
        <f ca="1">IF(Inventory[[#This Row],[Product Category]]="","",IF(E852&lt;TODAY(),"EXPIRED",
IF(E852&lt;=TODAY()+30,"&lt;30 DAYS",
IF(E852&lt;=TODAY()+60,"&lt;60 DAYS",IF(E852=0,"","")))))</f>
        <v/>
      </c>
      <c r="H852">
        <f>SUMIF(Purchases[Product ID],A852,Purchases[Quantity])</f>
        <v>0</v>
      </c>
      <c r="I852">
        <f>SUMIF(Sales[Product Name],Inventory[[#This Row],[Product Name]],Sales[Quantity Sold])</f>
        <v>0</v>
      </c>
      <c r="J852">
        <f t="shared" si="27"/>
        <v>0</v>
      </c>
      <c r="N852">
        <f t="shared" si="28"/>
        <v>0</v>
      </c>
    </row>
    <row r="853" spans="4:14" ht="15">
      <c r="D853" s="26"/>
      <c r="E853" s="26"/>
      <c r="F853" t="str">
        <f ca="1">IF(Inventory[[#This Row],[Product Category]]="","",IF(E853&lt;TODAY(),"EXPIRED",
IF(E853&lt;=TODAY()+30,"&lt;30 DAYS",
IF(E853&lt;=TODAY()+60,"&lt;60 DAYS",IF(E853=0,"","")))))</f>
        <v/>
      </c>
      <c r="H853">
        <f>SUMIF(Purchases[Product ID],A853,Purchases[Quantity])</f>
        <v>0</v>
      </c>
      <c r="I853">
        <f>SUMIF(Sales[Product Name],Inventory[[#This Row],[Product Name]],Sales[Quantity Sold])</f>
        <v>0</v>
      </c>
      <c r="J853">
        <f t="shared" si="27"/>
        <v>0</v>
      </c>
      <c r="N853">
        <f t="shared" si="28"/>
        <v>0</v>
      </c>
    </row>
    <row r="854" spans="4:14" ht="15">
      <c r="D854" s="26"/>
      <c r="E854" s="26"/>
      <c r="F854" t="str">
        <f ca="1">IF(Inventory[[#This Row],[Product Category]]="","",IF(E854&lt;TODAY(),"EXPIRED",
IF(E854&lt;=TODAY()+30,"&lt;30 DAYS",
IF(E854&lt;=TODAY()+60,"&lt;60 DAYS",IF(E854=0,"","")))))</f>
        <v/>
      </c>
      <c r="H854">
        <f>SUMIF(Purchases[Product ID],A854,Purchases[Quantity])</f>
        <v>0</v>
      </c>
      <c r="I854">
        <f>SUMIF(Sales[Product Name],Inventory[[#This Row],[Product Name]],Sales[Quantity Sold])</f>
        <v>0</v>
      </c>
      <c r="J854">
        <f t="shared" si="27"/>
        <v>0</v>
      </c>
      <c r="N854">
        <f t="shared" si="28"/>
        <v>0</v>
      </c>
    </row>
    <row r="855" spans="4:14" ht="15">
      <c r="D855" s="26"/>
      <c r="E855" s="26"/>
      <c r="F855" t="str">
        <f ca="1">IF(Inventory[[#This Row],[Product Category]]="","",IF(E855&lt;TODAY(),"EXPIRED",
IF(E855&lt;=TODAY()+30,"&lt;30 DAYS",
IF(E855&lt;=TODAY()+60,"&lt;60 DAYS",IF(E855=0,"","")))))</f>
        <v/>
      </c>
      <c r="H855">
        <f>SUMIF(Purchases[Product ID],A855,Purchases[Quantity])</f>
        <v>0</v>
      </c>
      <c r="I855">
        <f>SUMIF(Sales[Product Name],Inventory[[#This Row],[Product Name]],Sales[Quantity Sold])</f>
        <v>0</v>
      </c>
      <c r="J855">
        <f t="shared" si="27"/>
        <v>0</v>
      </c>
      <c r="N855">
        <f t="shared" si="28"/>
        <v>0</v>
      </c>
    </row>
    <row r="856" spans="4:14" ht="15">
      <c r="D856" s="26"/>
      <c r="E856" s="26"/>
      <c r="F856" t="str">
        <f ca="1">IF(Inventory[[#This Row],[Product Category]]="","",IF(E856&lt;TODAY(),"EXPIRED",
IF(E856&lt;=TODAY()+30,"&lt;30 DAYS",
IF(E856&lt;=TODAY()+60,"&lt;60 DAYS",IF(E856=0,"","")))))</f>
        <v/>
      </c>
      <c r="H856">
        <f>SUMIF(Purchases[Product ID],A856,Purchases[Quantity])</f>
        <v>0</v>
      </c>
      <c r="I856">
        <f>SUMIF(Sales[Product Name],Inventory[[#This Row],[Product Name]],Sales[Quantity Sold])</f>
        <v>0</v>
      </c>
      <c r="J856">
        <f t="shared" si="27"/>
        <v>0</v>
      </c>
      <c r="N856">
        <f t="shared" si="28"/>
        <v>0</v>
      </c>
    </row>
    <row r="857" spans="4:14" ht="15">
      <c r="D857" s="26"/>
      <c r="E857" s="26"/>
      <c r="F857" t="str">
        <f ca="1">IF(Inventory[[#This Row],[Product Category]]="","",IF(E857&lt;TODAY(),"EXPIRED",
IF(E857&lt;=TODAY()+30,"&lt;30 DAYS",
IF(E857&lt;=TODAY()+60,"&lt;60 DAYS",IF(E857=0,"","")))))</f>
        <v/>
      </c>
      <c r="H857">
        <f>SUMIF(Purchases[Product ID],A857,Purchases[Quantity])</f>
        <v>0</v>
      </c>
      <c r="I857">
        <f>SUMIF(Sales[Product Name],Inventory[[#This Row],[Product Name]],Sales[Quantity Sold])</f>
        <v>0</v>
      </c>
      <c r="J857">
        <f t="shared" si="27"/>
        <v>0</v>
      </c>
      <c r="N857">
        <f t="shared" si="28"/>
        <v>0</v>
      </c>
    </row>
    <row r="858" spans="4:14" ht="15">
      <c r="D858" s="26"/>
      <c r="E858" s="26"/>
      <c r="F858" t="str">
        <f ca="1">IF(Inventory[[#This Row],[Product Category]]="","",IF(E858&lt;TODAY(),"EXPIRED",
IF(E858&lt;=TODAY()+30,"&lt;30 DAYS",
IF(E858&lt;=TODAY()+60,"&lt;60 DAYS",IF(E858=0,"","")))))</f>
        <v/>
      </c>
      <c r="H858">
        <f>SUMIF(Purchases[Product ID],A858,Purchases[Quantity])</f>
        <v>0</v>
      </c>
      <c r="I858">
        <f>SUMIF(Sales[Product Name],Inventory[[#This Row],[Product Name]],Sales[Quantity Sold])</f>
        <v>0</v>
      </c>
      <c r="J858">
        <f t="shared" si="27"/>
        <v>0</v>
      </c>
      <c r="N858">
        <f t="shared" si="28"/>
        <v>0</v>
      </c>
    </row>
    <row r="859" spans="4:14" ht="15">
      <c r="D859" s="26"/>
      <c r="E859" s="26"/>
      <c r="F859" t="str">
        <f ca="1">IF(Inventory[[#This Row],[Product Category]]="","",IF(E859&lt;TODAY(),"EXPIRED",
IF(E859&lt;=TODAY()+30,"&lt;30 DAYS",
IF(E859&lt;=TODAY()+60,"&lt;60 DAYS",IF(E859=0,"","")))))</f>
        <v/>
      </c>
      <c r="H859">
        <f>SUMIF(Purchases[Product ID],A859,Purchases[Quantity])</f>
        <v>0</v>
      </c>
      <c r="I859">
        <f>SUMIF(Sales[Product Name],Inventory[[#This Row],[Product Name]],Sales[Quantity Sold])</f>
        <v>0</v>
      </c>
      <c r="J859">
        <f t="shared" si="27"/>
        <v>0</v>
      </c>
      <c r="N859">
        <f t="shared" si="28"/>
        <v>0</v>
      </c>
    </row>
    <row r="860" spans="4:14" ht="15">
      <c r="D860" s="26"/>
      <c r="E860" s="26"/>
      <c r="F860" t="str">
        <f ca="1">IF(Inventory[[#This Row],[Product Category]]="","",IF(E860&lt;TODAY(),"EXPIRED",
IF(E860&lt;=TODAY()+30,"&lt;30 DAYS",
IF(E860&lt;=TODAY()+60,"&lt;60 DAYS",IF(E860=0,"","")))))</f>
        <v/>
      </c>
      <c r="H860">
        <f>SUMIF(Purchases[Product ID],A860,Purchases[Quantity])</f>
        <v>0</v>
      </c>
      <c r="I860">
        <f>SUMIF(Sales[Product Name],Inventory[[#This Row],[Product Name]],Sales[Quantity Sold])</f>
        <v>0</v>
      </c>
      <c r="J860">
        <f t="shared" si="27"/>
        <v>0</v>
      </c>
      <c r="N860">
        <f t="shared" si="28"/>
        <v>0</v>
      </c>
    </row>
    <row r="861" spans="4:14" ht="15">
      <c r="D861" s="26"/>
      <c r="E861" s="26"/>
      <c r="F861" t="str">
        <f ca="1">IF(Inventory[[#This Row],[Product Category]]="","",IF(E861&lt;TODAY(),"EXPIRED",
IF(E861&lt;=TODAY()+30,"&lt;30 DAYS",
IF(E861&lt;=TODAY()+60,"&lt;60 DAYS",IF(E861=0,"","")))))</f>
        <v/>
      </c>
      <c r="H861">
        <f>SUMIF(Purchases[Product ID],A861,Purchases[Quantity])</f>
        <v>0</v>
      </c>
      <c r="I861">
        <f>SUMIF(Sales[Product Name],Inventory[[#This Row],[Product Name]],Sales[Quantity Sold])</f>
        <v>0</v>
      </c>
      <c r="J861">
        <f t="shared" si="27"/>
        <v>0</v>
      </c>
      <c r="N861">
        <f t="shared" si="28"/>
        <v>0</v>
      </c>
    </row>
    <row r="862" spans="4:14" ht="15">
      <c r="D862" s="26"/>
      <c r="E862" s="26"/>
      <c r="F862" t="str">
        <f ca="1">IF(Inventory[[#This Row],[Product Category]]="","",IF(E862&lt;TODAY(),"EXPIRED",
IF(E862&lt;=TODAY()+30,"&lt;30 DAYS",
IF(E862&lt;=TODAY()+60,"&lt;60 DAYS",IF(E862=0,"","")))))</f>
        <v/>
      </c>
      <c r="H862">
        <f>SUMIF(Purchases[Product ID],A862,Purchases[Quantity])</f>
        <v>0</v>
      </c>
      <c r="I862">
        <f>SUMIF(Sales[Product Name],Inventory[[#This Row],[Product Name]],Sales[Quantity Sold])</f>
        <v>0</v>
      </c>
      <c r="J862">
        <f t="shared" si="27"/>
        <v>0</v>
      </c>
      <c r="N862">
        <f t="shared" si="28"/>
        <v>0</v>
      </c>
    </row>
    <row r="863" spans="4:14" ht="15">
      <c r="D863" s="26"/>
      <c r="E863" s="26"/>
      <c r="F863" t="str">
        <f ca="1">IF(Inventory[[#This Row],[Product Category]]="","",IF(E863&lt;TODAY(),"EXPIRED",
IF(E863&lt;=TODAY()+30,"&lt;30 DAYS",
IF(E863&lt;=TODAY()+60,"&lt;60 DAYS",IF(E863=0,"","")))))</f>
        <v/>
      </c>
      <c r="H863">
        <f>SUMIF(Purchases[Product ID],A863,Purchases[Quantity])</f>
        <v>0</v>
      </c>
      <c r="I863">
        <f>SUMIF(Sales[Product Name],Inventory[[#This Row],[Product Name]],Sales[Quantity Sold])</f>
        <v>0</v>
      </c>
      <c r="J863">
        <f t="shared" si="27"/>
        <v>0</v>
      </c>
      <c r="N863">
        <f t="shared" si="28"/>
        <v>0</v>
      </c>
    </row>
    <row r="864" spans="4:14" ht="15">
      <c r="D864" s="26"/>
      <c r="E864" s="26"/>
      <c r="F864" t="str">
        <f ca="1">IF(Inventory[[#This Row],[Product Category]]="","",IF(E864&lt;TODAY(),"EXPIRED",
IF(E864&lt;=TODAY()+30,"&lt;30 DAYS",
IF(E864&lt;=TODAY()+60,"&lt;60 DAYS",IF(E864=0,"","")))))</f>
        <v/>
      </c>
      <c r="H864">
        <f>SUMIF(Purchases[Product ID],A864,Purchases[Quantity])</f>
        <v>0</v>
      </c>
      <c r="I864">
        <f>SUMIF(Sales[Product Name],Inventory[[#This Row],[Product Name]],Sales[Quantity Sold])</f>
        <v>0</v>
      </c>
      <c r="J864">
        <f t="shared" si="27"/>
        <v>0</v>
      </c>
      <c r="N864">
        <f t="shared" si="28"/>
        <v>0</v>
      </c>
    </row>
    <row r="865" spans="4:14" ht="15">
      <c r="D865" s="26"/>
      <c r="E865" s="26"/>
      <c r="F865" t="str">
        <f ca="1">IF(Inventory[[#This Row],[Product Category]]="","",IF(E865&lt;TODAY(),"EXPIRED",
IF(E865&lt;=TODAY()+30,"&lt;30 DAYS",
IF(E865&lt;=TODAY()+60,"&lt;60 DAYS",IF(E865=0,"","")))))</f>
        <v/>
      </c>
      <c r="H865">
        <f>SUMIF(Purchases[Product ID],A865,Purchases[Quantity])</f>
        <v>0</v>
      </c>
      <c r="I865">
        <f>SUMIF(Sales[Product Name],Inventory[[#This Row],[Product Name]],Sales[Quantity Sold])</f>
        <v>0</v>
      </c>
      <c r="J865">
        <f t="shared" si="27"/>
        <v>0</v>
      </c>
      <c r="N865">
        <f t="shared" si="28"/>
        <v>0</v>
      </c>
    </row>
    <row r="866" spans="4:14" ht="15">
      <c r="D866" s="26"/>
      <c r="E866" s="26"/>
      <c r="F866" t="str">
        <f ca="1">IF(Inventory[[#This Row],[Product Category]]="","",IF(E866&lt;TODAY(),"EXPIRED",
IF(E866&lt;=TODAY()+30,"&lt;30 DAYS",
IF(E866&lt;=TODAY()+60,"&lt;60 DAYS",IF(E866=0,"","")))))</f>
        <v/>
      </c>
      <c r="H866">
        <f>SUMIF(Purchases[Product ID],A866,Purchases[Quantity])</f>
        <v>0</v>
      </c>
      <c r="I866">
        <f>SUMIF(Sales[Product Name],Inventory[[#This Row],[Product Name]],Sales[Quantity Sold])</f>
        <v>0</v>
      </c>
      <c r="J866">
        <f t="shared" si="27"/>
        <v>0</v>
      </c>
      <c r="N866">
        <f t="shared" si="28"/>
        <v>0</v>
      </c>
    </row>
    <row r="867" spans="4:14" ht="15">
      <c r="D867" s="26"/>
      <c r="E867" s="26"/>
      <c r="F867" t="str">
        <f ca="1">IF(Inventory[[#This Row],[Product Category]]="","",IF(E867&lt;TODAY(),"EXPIRED",
IF(E867&lt;=TODAY()+30,"&lt;30 DAYS",
IF(E867&lt;=TODAY()+60,"&lt;60 DAYS",IF(E867=0,"","")))))</f>
        <v/>
      </c>
      <c r="H867">
        <f>SUMIF(Purchases[Product ID],A867,Purchases[Quantity])</f>
        <v>0</v>
      </c>
      <c r="I867">
        <f>SUMIF(Sales[Product Name],Inventory[[#This Row],[Product Name]],Sales[Quantity Sold])</f>
        <v>0</v>
      </c>
      <c r="J867">
        <f t="shared" si="27"/>
        <v>0</v>
      </c>
      <c r="N867">
        <f t="shared" si="28"/>
        <v>0</v>
      </c>
    </row>
    <row r="868" spans="4:14" ht="15">
      <c r="D868" s="26"/>
      <c r="E868" s="26"/>
      <c r="F868" t="str">
        <f ca="1">IF(Inventory[[#This Row],[Product Category]]="","",IF(E868&lt;TODAY(),"EXPIRED",
IF(E868&lt;=TODAY()+30,"&lt;30 DAYS",
IF(E868&lt;=TODAY()+60,"&lt;60 DAYS",IF(E868=0,"","")))))</f>
        <v/>
      </c>
      <c r="H868">
        <f>SUMIF(Purchases[Product ID],A868,Purchases[Quantity])</f>
        <v>0</v>
      </c>
      <c r="I868">
        <f>SUMIF(Sales[Product Name],Inventory[[#This Row],[Product Name]],Sales[Quantity Sold])</f>
        <v>0</v>
      </c>
      <c r="J868">
        <f t="shared" si="27"/>
        <v>0</v>
      </c>
      <c r="N868">
        <f t="shared" si="28"/>
        <v>0</v>
      </c>
    </row>
    <row r="869" spans="4:14" ht="15">
      <c r="D869" s="26"/>
      <c r="E869" s="26"/>
      <c r="F869" t="str">
        <f ca="1">IF(Inventory[[#This Row],[Product Category]]="","",IF(E869&lt;TODAY(),"EXPIRED",
IF(E869&lt;=TODAY()+30,"&lt;30 DAYS",
IF(E869&lt;=TODAY()+60,"&lt;60 DAYS",IF(E869=0,"","")))))</f>
        <v/>
      </c>
      <c r="H869">
        <f>SUMIF(Purchases[Product ID],A869,Purchases[Quantity])</f>
        <v>0</v>
      </c>
      <c r="I869">
        <f>SUMIF(Sales[Product Name],Inventory[[#This Row],[Product Name]],Sales[Quantity Sold])</f>
        <v>0</v>
      </c>
      <c r="J869">
        <f t="shared" si="27"/>
        <v>0</v>
      </c>
      <c r="N869">
        <f t="shared" si="28"/>
        <v>0</v>
      </c>
    </row>
    <row r="870" spans="4:14" ht="15">
      <c r="D870" s="26"/>
      <c r="E870" s="26"/>
      <c r="F870" t="str">
        <f ca="1">IF(Inventory[[#This Row],[Product Category]]="","",IF(E870&lt;TODAY(),"EXPIRED",
IF(E870&lt;=TODAY()+30,"&lt;30 DAYS",
IF(E870&lt;=TODAY()+60,"&lt;60 DAYS",IF(E870=0,"","")))))</f>
        <v/>
      </c>
      <c r="H870">
        <f>SUMIF(Purchases[Product ID],A870,Purchases[Quantity])</f>
        <v>0</v>
      </c>
      <c r="I870">
        <f>SUMIF(Sales[Product Name],Inventory[[#This Row],[Product Name]],Sales[Quantity Sold])</f>
        <v>0</v>
      </c>
      <c r="J870">
        <f t="shared" si="27"/>
        <v>0</v>
      </c>
      <c r="N870">
        <f t="shared" si="28"/>
        <v>0</v>
      </c>
    </row>
    <row r="871" spans="4:14" ht="15">
      <c r="D871" s="26"/>
      <c r="E871" s="26"/>
      <c r="F871" t="str">
        <f ca="1">IF(Inventory[[#This Row],[Product Category]]="","",IF(E871&lt;TODAY(),"EXPIRED",
IF(E871&lt;=TODAY()+30,"&lt;30 DAYS",
IF(E871&lt;=TODAY()+60,"&lt;60 DAYS",IF(E871=0,"","")))))</f>
        <v/>
      </c>
      <c r="H871">
        <f>SUMIF(Purchases[Product ID],A871,Purchases[Quantity])</f>
        <v>0</v>
      </c>
      <c r="I871">
        <f>SUMIF(Sales[Product Name],Inventory[[#This Row],[Product Name]],Sales[Quantity Sold])</f>
        <v>0</v>
      </c>
      <c r="J871">
        <f t="shared" si="27"/>
        <v>0</v>
      </c>
      <c r="N871">
        <f t="shared" si="28"/>
        <v>0</v>
      </c>
    </row>
    <row r="872" spans="4:14" ht="15">
      <c r="D872" s="26"/>
      <c r="E872" s="26"/>
      <c r="F872" t="str">
        <f ca="1">IF(Inventory[[#This Row],[Product Category]]="","",IF(E872&lt;TODAY(),"EXPIRED",
IF(E872&lt;=TODAY()+30,"&lt;30 DAYS",
IF(E872&lt;=TODAY()+60,"&lt;60 DAYS",IF(E872=0,"","")))))</f>
        <v/>
      </c>
      <c r="H872">
        <f>SUMIF(Purchases[Product ID],A872,Purchases[Quantity])</f>
        <v>0</v>
      </c>
      <c r="I872">
        <f>SUMIF(Sales[Product Name],Inventory[[#This Row],[Product Name]],Sales[Quantity Sold])</f>
        <v>0</v>
      </c>
      <c r="J872">
        <f t="shared" si="27"/>
        <v>0</v>
      </c>
      <c r="N872">
        <f t="shared" si="28"/>
        <v>0</v>
      </c>
    </row>
    <row r="873" spans="4:14" ht="15">
      <c r="D873" s="26"/>
      <c r="E873" s="26"/>
      <c r="F873" t="str">
        <f ca="1">IF(Inventory[[#This Row],[Product Category]]="","",IF(E873&lt;TODAY(),"EXPIRED",
IF(E873&lt;=TODAY()+30,"&lt;30 DAYS",
IF(E873&lt;=TODAY()+60,"&lt;60 DAYS",IF(E873=0,"","")))))</f>
        <v/>
      </c>
      <c r="H873">
        <f>SUMIF(Purchases[Product ID],A873,Purchases[Quantity])</f>
        <v>0</v>
      </c>
      <c r="I873">
        <f>SUMIF(Sales[Product Name],Inventory[[#This Row],[Product Name]],Sales[Quantity Sold])</f>
        <v>0</v>
      </c>
      <c r="J873">
        <f t="shared" si="27"/>
        <v>0</v>
      </c>
      <c r="N873">
        <f t="shared" si="28"/>
        <v>0</v>
      </c>
    </row>
    <row r="874" spans="4:14" ht="15">
      <c r="D874" s="26"/>
      <c r="E874" s="26"/>
      <c r="F874" t="str">
        <f ca="1">IF(Inventory[[#This Row],[Product Category]]="","",IF(E874&lt;TODAY(),"EXPIRED",
IF(E874&lt;=TODAY()+30,"&lt;30 DAYS",
IF(E874&lt;=TODAY()+60,"&lt;60 DAYS",IF(E874=0,"","")))))</f>
        <v/>
      </c>
      <c r="H874">
        <f>SUMIF(Purchases[Product ID],A874,Purchases[Quantity])</f>
        <v>0</v>
      </c>
      <c r="I874">
        <f>SUMIF(Sales[Product Name],Inventory[[#This Row],[Product Name]],Sales[Quantity Sold])</f>
        <v>0</v>
      </c>
      <c r="J874">
        <f t="shared" si="27"/>
        <v>0</v>
      </c>
      <c r="N874">
        <f t="shared" si="28"/>
        <v>0</v>
      </c>
    </row>
    <row r="875" spans="4:14" ht="15">
      <c r="D875" s="26"/>
      <c r="E875" s="26"/>
      <c r="F875" t="str">
        <f ca="1">IF(Inventory[[#This Row],[Product Category]]="","",IF(E875&lt;TODAY(),"EXPIRED",
IF(E875&lt;=TODAY()+30,"&lt;30 DAYS",
IF(E875&lt;=TODAY()+60,"&lt;60 DAYS",IF(E875=0,"","")))))</f>
        <v/>
      </c>
      <c r="H875">
        <f>SUMIF(Purchases[Product ID],A875,Purchases[Quantity])</f>
        <v>0</v>
      </c>
      <c r="I875">
        <f>SUMIF(Sales[Product Name],Inventory[[#This Row],[Product Name]],Sales[Quantity Sold])</f>
        <v>0</v>
      </c>
      <c r="J875">
        <f t="shared" si="27"/>
        <v>0</v>
      </c>
      <c r="N875">
        <f t="shared" si="28"/>
        <v>0</v>
      </c>
    </row>
    <row r="876" spans="4:14" ht="15">
      <c r="D876" s="26"/>
      <c r="E876" s="26"/>
      <c r="F876" t="str">
        <f ca="1">IF(Inventory[[#This Row],[Product Category]]="","",IF(E876&lt;TODAY(),"EXPIRED",
IF(E876&lt;=TODAY()+30,"&lt;30 DAYS",
IF(E876&lt;=TODAY()+60,"&lt;60 DAYS",IF(E876=0,"","")))))</f>
        <v/>
      </c>
      <c r="H876">
        <f>SUMIF(Purchases[Product ID],A876,Purchases[Quantity])</f>
        <v>0</v>
      </c>
      <c r="I876">
        <f>SUMIF(Sales[Product Name],Inventory[[#This Row],[Product Name]],Sales[Quantity Sold])</f>
        <v>0</v>
      </c>
      <c r="J876">
        <f t="shared" si="27"/>
        <v>0</v>
      </c>
      <c r="N876">
        <f t="shared" si="28"/>
        <v>0</v>
      </c>
    </row>
    <row r="877" spans="4:14" ht="15">
      <c r="D877" s="26"/>
      <c r="E877" s="26"/>
      <c r="F877" t="str">
        <f ca="1">IF(Inventory[[#This Row],[Product Category]]="","",IF(E877&lt;TODAY(),"EXPIRED",
IF(E877&lt;=TODAY()+30,"&lt;30 DAYS",
IF(E877&lt;=TODAY()+60,"&lt;60 DAYS",IF(E877=0,"","")))))</f>
        <v/>
      </c>
      <c r="H877">
        <f>SUMIF(Purchases[Product ID],A877,Purchases[Quantity])</f>
        <v>0</v>
      </c>
      <c r="I877">
        <f>SUMIF(Sales[Product Name],Inventory[[#This Row],[Product Name]],Sales[Quantity Sold])</f>
        <v>0</v>
      </c>
      <c r="J877">
        <f t="shared" si="27"/>
        <v>0</v>
      </c>
      <c r="N877">
        <f t="shared" si="28"/>
        <v>0</v>
      </c>
    </row>
    <row r="878" spans="4:14" ht="15">
      <c r="D878" s="26"/>
      <c r="E878" s="26"/>
      <c r="F878" t="str">
        <f ca="1">IF(Inventory[[#This Row],[Product Category]]="","",IF(E878&lt;TODAY(),"EXPIRED",
IF(E878&lt;=TODAY()+30,"&lt;30 DAYS",
IF(E878&lt;=TODAY()+60,"&lt;60 DAYS",IF(E878=0,"","")))))</f>
        <v/>
      </c>
      <c r="H878">
        <f>SUMIF(Purchases[Product ID],A878,Purchases[Quantity])</f>
        <v>0</v>
      </c>
      <c r="I878">
        <f>SUMIF(Sales[Product Name],Inventory[[#This Row],[Product Name]],Sales[Quantity Sold])</f>
        <v>0</v>
      </c>
      <c r="J878">
        <f t="shared" si="27"/>
        <v>0</v>
      </c>
      <c r="N878">
        <f t="shared" si="28"/>
        <v>0</v>
      </c>
    </row>
    <row r="879" spans="4:14" ht="15">
      <c r="D879" s="26"/>
      <c r="E879" s="26"/>
      <c r="F879" t="str">
        <f ca="1">IF(Inventory[[#This Row],[Product Category]]="","",IF(E879&lt;TODAY(),"EXPIRED",
IF(E879&lt;=TODAY()+30,"&lt;30 DAYS",
IF(E879&lt;=TODAY()+60,"&lt;60 DAYS",IF(E879=0,"","")))))</f>
        <v/>
      </c>
      <c r="H879">
        <f>SUMIF(Purchases[Product ID],A879,Purchases[Quantity])</f>
        <v>0</v>
      </c>
      <c r="I879">
        <f>SUMIF(Sales[Product Name],Inventory[[#This Row],[Product Name]],Sales[Quantity Sold])</f>
        <v>0</v>
      </c>
      <c r="J879">
        <f t="shared" si="27"/>
        <v>0</v>
      </c>
      <c r="N879">
        <f t="shared" si="28"/>
        <v>0</v>
      </c>
    </row>
    <row r="880" spans="4:14" ht="15">
      <c r="D880" s="26"/>
      <c r="E880" s="26"/>
      <c r="F880" t="str">
        <f ca="1">IF(Inventory[[#This Row],[Product Category]]="","",IF(E880&lt;TODAY(),"EXPIRED",
IF(E880&lt;=TODAY()+30,"&lt;30 DAYS",
IF(E880&lt;=TODAY()+60,"&lt;60 DAYS",IF(E880=0,"","")))))</f>
        <v/>
      </c>
      <c r="H880">
        <f>SUMIF(Purchases[Product ID],A880,Purchases[Quantity])</f>
        <v>0</v>
      </c>
      <c r="I880">
        <f>SUMIF(Sales[Product Name],Inventory[[#This Row],[Product Name]],Sales[Quantity Sold])</f>
        <v>0</v>
      </c>
      <c r="J880">
        <f t="shared" si="27"/>
        <v>0</v>
      </c>
      <c r="N880">
        <f t="shared" si="28"/>
        <v>0</v>
      </c>
    </row>
    <row r="881" spans="4:14" ht="15">
      <c r="D881" s="26"/>
      <c r="E881" s="26"/>
      <c r="F881" t="str">
        <f ca="1">IF(Inventory[[#This Row],[Product Category]]="","",IF(E881&lt;TODAY(),"EXPIRED",
IF(E881&lt;=TODAY()+30,"&lt;30 DAYS",
IF(E881&lt;=TODAY()+60,"&lt;60 DAYS",IF(E881=0,"","")))))</f>
        <v/>
      </c>
      <c r="H881">
        <f>SUMIF(Purchases[Product ID],A881,Purchases[Quantity])</f>
        <v>0</v>
      </c>
      <c r="I881">
        <f>SUMIF(Sales[Product Name],Inventory[[#This Row],[Product Name]],Sales[Quantity Sold])</f>
        <v>0</v>
      </c>
      <c r="J881">
        <f t="shared" si="27"/>
        <v>0</v>
      </c>
      <c r="N881">
        <f t="shared" si="28"/>
        <v>0</v>
      </c>
    </row>
    <row r="882" spans="4:14" ht="15">
      <c r="D882" s="26"/>
      <c r="E882" s="26"/>
      <c r="F882" t="str">
        <f ca="1">IF(Inventory[[#This Row],[Product Category]]="","",IF(E882&lt;TODAY(),"EXPIRED",
IF(E882&lt;=TODAY()+30,"&lt;30 DAYS",
IF(E882&lt;=TODAY()+60,"&lt;60 DAYS",IF(E882=0,"","")))))</f>
        <v/>
      </c>
      <c r="H882">
        <f>SUMIF(Purchases[Product ID],A882,Purchases[Quantity])</f>
        <v>0</v>
      </c>
      <c r="I882">
        <f>SUMIF(Sales[Product Name],Inventory[[#This Row],[Product Name]],Sales[Quantity Sold])</f>
        <v>0</v>
      </c>
      <c r="J882">
        <f t="shared" si="27"/>
        <v>0</v>
      </c>
      <c r="N882">
        <f t="shared" si="28"/>
        <v>0</v>
      </c>
    </row>
    <row r="883" spans="4:14" ht="15">
      <c r="D883" s="26"/>
      <c r="E883" s="26"/>
      <c r="F883" t="str">
        <f ca="1">IF(Inventory[[#This Row],[Product Category]]="","",IF(E883&lt;TODAY(),"EXPIRED",
IF(E883&lt;=TODAY()+30,"&lt;30 DAYS",
IF(E883&lt;=TODAY()+60,"&lt;60 DAYS",IF(E883=0,"","")))))</f>
        <v/>
      </c>
      <c r="H883">
        <f>SUMIF(Purchases[Product ID],A883,Purchases[Quantity])</f>
        <v>0</v>
      </c>
      <c r="I883">
        <f>SUMIF(Sales[Product Name],Inventory[[#This Row],[Product Name]],Sales[Quantity Sold])</f>
        <v>0</v>
      </c>
      <c r="J883">
        <f t="shared" si="27"/>
        <v>0</v>
      </c>
      <c r="N883">
        <f t="shared" si="28"/>
        <v>0</v>
      </c>
    </row>
    <row r="884" spans="4:14" ht="15">
      <c r="D884" s="26"/>
      <c r="E884" s="26"/>
      <c r="F884" t="str">
        <f ca="1">IF(Inventory[[#This Row],[Product Category]]="","",IF(E884&lt;TODAY(),"EXPIRED",
IF(E884&lt;=TODAY()+30,"&lt;30 DAYS",
IF(E884&lt;=TODAY()+60,"&lt;60 DAYS",IF(E884=0,"","")))))</f>
        <v/>
      </c>
      <c r="H884">
        <f>SUMIF(Purchases[Product ID],A884,Purchases[Quantity])</f>
        <v>0</v>
      </c>
      <c r="I884">
        <f>SUMIF(Sales[Product Name],Inventory[[#This Row],[Product Name]],Sales[Quantity Sold])</f>
        <v>0</v>
      </c>
      <c r="J884">
        <f t="shared" si="27"/>
        <v>0</v>
      </c>
      <c r="N884">
        <f t="shared" si="28"/>
        <v>0</v>
      </c>
    </row>
    <row r="885" spans="4:14" ht="15">
      <c r="D885" s="26"/>
      <c r="E885" s="26"/>
      <c r="F885" t="str">
        <f ca="1">IF(Inventory[[#This Row],[Product Category]]="","",IF(E885&lt;TODAY(),"EXPIRED",
IF(E885&lt;=TODAY()+30,"&lt;30 DAYS",
IF(E885&lt;=TODAY()+60,"&lt;60 DAYS",IF(E885=0,"","")))))</f>
        <v/>
      </c>
      <c r="H885">
        <f>SUMIF(Purchases[Product ID],A885,Purchases[Quantity])</f>
        <v>0</v>
      </c>
      <c r="I885">
        <f>SUMIF(Sales[Product Name],Inventory[[#This Row],[Product Name]],Sales[Quantity Sold])</f>
        <v>0</v>
      </c>
      <c r="J885">
        <f t="shared" si="27"/>
        <v>0</v>
      </c>
      <c r="N885">
        <f t="shared" si="28"/>
        <v>0</v>
      </c>
    </row>
    <row r="886" spans="4:14" ht="15">
      <c r="D886" s="26"/>
      <c r="E886" s="26"/>
      <c r="F886" t="str">
        <f ca="1">IF(Inventory[[#This Row],[Product Category]]="","",IF(E886&lt;TODAY(),"EXPIRED",
IF(E886&lt;=TODAY()+30,"&lt;30 DAYS",
IF(E886&lt;=TODAY()+60,"&lt;60 DAYS",IF(E886=0,"","")))))</f>
        <v/>
      </c>
      <c r="H886">
        <f>SUMIF(Purchases[Product ID],A886,Purchases[Quantity])</f>
        <v>0</v>
      </c>
      <c r="I886">
        <f>SUMIF(Sales[Product Name],Inventory[[#This Row],[Product Name]],Sales[Quantity Sold])</f>
        <v>0</v>
      </c>
      <c r="J886">
        <f t="shared" si="27"/>
        <v>0</v>
      </c>
      <c r="N886">
        <f t="shared" si="28"/>
        <v>0</v>
      </c>
    </row>
    <row r="887" spans="4:14" ht="15">
      <c r="D887" s="26"/>
      <c r="E887" s="26"/>
      <c r="F887" t="str">
        <f ca="1">IF(Inventory[[#This Row],[Product Category]]="","",IF(E887&lt;TODAY(),"EXPIRED",
IF(E887&lt;=TODAY()+30,"&lt;30 DAYS",
IF(E887&lt;=TODAY()+60,"&lt;60 DAYS",IF(E887=0,"","")))))</f>
        <v/>
      </c>
      <c r="H887">
        <f>SUMIF(Purchases[Product ID],A887,Purchases[Quantity])</f>
        <v>0</v>
      </c>
      <c r="I887">
        <f>SUMIF(Sales[Product Name],Inventory[[#This Row],[Product Name]],Sales[Quantity Sold])</f>
        <v>0</v>
      </c>
      <c r="J887">
        <f t="shared" si="27"/>
        <v>0</v>
      </c>
      <c r="N887">
        <f t="shared" si="28"/>
        <v>0</v>
      </c>
    </row>
    <row r="888" spans="4:14" ht="15">
      <c r="D888" s="26"/>
      <c r="E888" s="26"/>
      <c r="F888" t="str">
        <f ca="1">IF(Inventory[[#This Row],[Product Category]]="","",IF(E888&lt;TODAY(),"EXPIRED",
IF(E888&lt;=TODAY()+30,"&lt;30 DAYS",
IF(E888&lt;=TODAY()+60,"&lt;60 DAYS",IF(E888=0,"","")))))</f>
        <v/>
      </c>
      <c r="H888">
        <f>SUMIF(Purchases[Product ID],A888,Purchases[Quantity])</f>
        <v>0</v>
      </c>
      <c r="I888">
        <f>SUMIF(Sales[Product Name],Inventory[[#This Row],[Product Name]],Sales[Quantity Sold])</f>
        <v>0</v>
      </c>
      <c r="J888">
        <f t="shared" si="27"/>
        <v>0</v>
      </c>
      <c r="N888">
        <f t="shared" si="28"/>
        <v>0</v>
      </c>
    </row>
    <row r="889" spans="4:14" ht="15">
      <c r="D889" s="26"/>
      <c r="E889" s="26"/>
      <c r="F889" t="str">
        <f ca="1">IF(Inventory[[#This Row],[Product Category]]="","",IF(E889&lt;TODAY(),"EXPIRED",
IF(E889&lt;=TODAY()+30,"&lt;30 DAYS",
IF(E889&lt;=TODAY()+60,"&lt;60 DAYS",IF(E889=0,"","")))))</f>
        <v/>
      </c>
      <c r="H889">
        <f>SUMIF(Purchases[Product ID],A889,Purchases[Quantity])</f>
        <v>0</v>
      </c>
      <c r="I889">
        <f>SUMIF(Sales[Product Name],Inventory[[#This Row],[Product Name]],Sales[Quantity Sold])</f>
        <v>0</v>
      </c>
      <c r="J889">
        <f t="shared" si="27"/>
        <v>0</v>
      </c>
      <c r="N889">
        <f t="shared" si="28"/>
        <v>0</v>
      </c>
    </row>
    <row r="890" spans="4:14" ht="15">
      <c r="D890" s="26"/>
      <c r="E890" s="26"/>
      <c r="F890" t="str">
        <f ca="1">IF(Inventory[[#This Row],[Product Category]]="","",IF(E890&lt;TODAY(),"EXPIRED",
IF(E890&lt;=TODAY()+30,"&lt;30 DAYS",
IF(E890&lt;=TODAY()+60,"&lt;60 DAYS",IF(E890=0,"","")))))</f>
        <v/>
      </c>
      <c r="H890">
        <f>SUMIF(Purchases[Product ID],A890,Purchases[Quantity])</f>
        <v>0</v>
      </c>
      <c r="I890">
        <f>SUMIF(Sales[Product Name],Inventory[[#This Row],[Product Name]],Sales[Quantity Sold])</f>
        <v>0</v>
      </c>
      <c r="J890">
        <f t="shared" si="27"/>
        <v>0</v>
      </c>
      <c r="N890">
        <f t="shared" si="28"/>
        <v>0</v>
      </c>
    </row>
    <row r="891" spans="4:14" ht="15">
      <c r="D891" s="26"/>
      <c r="E891" s="26"/>
      <c r="F891" t="str">
        <f ca="1">IF(Inventory[[#This Row],[Product Category]]="","",IF(E891&lt;TODAY(),"EXPIRED",
IF(E891&lt;=TODAY()+30,"&lt;30 DAYS",
IF(E891&lt;=TODAY()+60,"&lt;60 DAYS",IF(E891=0,"","")))))</f>
        <v/>
      </c>
      <c r="H891">
        <f>SUMIF(Purchases[Product ID],A891,Purchases[Quantity])</f>
        <v>0</v>
      </c>
      <c r="I891">
        <f>SUMIF(Sales[Product Name],Inventory[[#This Row],[Product Name]],Sales[Quantity Sold])</f>
        <v>0</v>
      </c>
      <c r="J891">
        <f t="shared" si="27"/>
        <v>0</v>
      </c>
      <c r="N891">
        <f t="shared" si="28"/>
        <v>0</v>
      </c>
    </row>
    <row r="892" spans="4:14" ht="15">
      <c r="D892" s="26"/>
      <c r="E892" s="26"/>
      <c r="F892" t="str">
        <f ca="1">IF(Inventory[[#This Row],[Product Category]]="","",IF(E892&lt;TODAY(),"EXPIRED",
IF(E892&lt;=TODAY()+30,"&lt;30 DAYS",
IF(E892&lt;=TODAY()+60,"&lt;60 DAYS",IF(E892=0,"","")))))</f>
        <v/>
      </c>
      <c r="H892">
        <f>SUMIF(Purchases[Product ID],A892,Purchases[Quantity])</f>
        <v>0</v>
      </c>
      <c r="I892">
        <f>SUMIF(Sales[Product Name],Inventory[[#This Row],[Product Name]],Sales[Quantity Sold])</f>
        <v>0</v>
      </c>
      <c r="J892">
        <f t="shared" si="27"/>
        <v>0</v>
      </c>
      <c r="N892">
        <f t="shared" si="28"/>
        <v>0</v>
      </c>
    </row>
    <row r="893" spans="4:14" ht="15">
      <c r="D893" s="26"/>
      <c r="E893" s="26"/>
      <c r="F893" t="str">
        <f ca="1">IF(Inventory[[#This Row],[Product Category]]="","",IF(E893&lt;TODAY(),"EXPIRED",
IF(E893&lt;=TODAY()+30,"&lt;30 DAYS",
IF(E893&lt;=TODAY()+60,"&lt;60 DAYS",IF(E893=0,"","")))))</f>
        <v/>
      </c>
      <c r="H893">
        <f>SUMIF(Purchases[Product ID],A893,Purchases[Quantity])</f>
        <v>0</v>
      </c>
      <c r="I893">
        <f>SUMIF(Sales[Product Name],Inventory[[#This Row],[Product Name]],Sales[Quantity Sold])</f>
        <v>0</v>
      </c>
      <c r="J893">
        <f t="shared" si="27"/>
        <v>0</v>
      </c>
      <c r="N893">
        <f t="shared" si="28"/>
        <v>0</v>
      </c>
    </row>
    <row r="894" spans="4:14" ht="15">
      <c r="D894" s="26"/>
      <c r="E894" s="26"/>
      <c r="F894" t="str">
        <f ca="1">IF(Inventory[[#This Row],[Product Category]]="","",IF(E894&lt;TODAY(),"EXPIRED",
IF(E894&lt;=TODAY()+30,"&lt;30 DAYS",
IF(E894&lt;=TODAY()+60,"&lt;60 DAYS",IF(E894=0,"","")))))</f>
        <v/>
      </c>
      <c r="H894">
        <f>SUMIF(Purchases[Product ID],A894,Purchases[Quantity])</f>
        <v>0</v>
      </c>
      <c r="I894">
        <f>SUMIF(Sales[Product Name],Inventory[[#This Row],[Product Name]],Sales[Quantity Sold])</f>
        <v>0</v>
      </c>
      <c r="J894">
        <f t="shared" si="27"/>
        <v>0</v>
      </c>
      <c r="N894">
        <f t="shared" si="28"/>
        <v>0</v>
      </c>
    </row>
    <row r="895" spans="4:14" ht="15">
      <c r="D895" s="26"/>
      <c r="E895" s="26"/>
      <c r="F895" t="str">
        <f ca="1">IF(Inventory[[#This Row],[Product Category]]="","",IF(E895&lt;TODAY(),"EXPIRED",
IF(E895&lt;=TODAY()+30,"&lt;30 DAYS",
IF(E895&lt;=TODAY()+60,"&lt;60 DAYS",IF(E895=0,"","")))))</f>
        <v/>
      </c>
      <c r="H895">
        <f>SUMIF(Purchases[Product ID],A895,Purchases[Quantity])</f>
        <v>0</v>
      </c>
      <c r="I895">
        <f>SUMIF(Sales[Product Name],Inventory[[#This Row],[Product Name]],Sales[Quantity Sold])</f>
        <v>0</v>
      </c>
      <c r="J895">
        <f t="shared" si="27"/>
        <v>0</v>
      </c>
      <c r="N895">
        <f t="shared" si="28"/>
        <v>0</v>
      </c>
    </row>
    <row r="896" spans="4:14" ht="15">
      <c r="D896" s="26"/>
      <c r="E896" s="26"/>
      <c r="F896" t="str">
        <f ca="1">IF(Inventory[[#This Row],[Product Category]]="","",IF(E896&lt;TODAY(),"EXPIRED",
IF(E896&lt;=TODAY()+30,"&lt;30 DAYS",
IF(E896&lt;=TODAY()+60,"&lt;60 DAYS",IF(E896=0,"","")))))</f>
        <v/>
      </c>
      <c r="H896">
        <f>SUMIF(Purchases[Product ID],A896,Purchases[Quantity])</f>
        <v>0</v>
      </c>
      <c r="I896">
        <f>SUMIF(Sales[Product Name],Inventory[[#This Row],[Product Name]],Sales[Quantity Sold])</f>
        <v>0</v>
      </c>
      <c r="J896">
        <f t="shared" si="27"/>
        <v>0</v>
      </c>
      <c r="N896">
        <f t="shared" si="28"/>
        <v>0</v>
      </c>
    </row>
    <row r="897" spans="4:14" ht="15">
      <c r="D897" s="26"/>
      <c r="E897" s="26"/>
      <c r="F897" t="str">
        <f ca="1">IF(Inventory[[#This Row],[Product Category]]="","",IF(E897&lt;TODAY(),"EXPIRED",
IF(E897&lt;=TODAY()+30,"&lt;30 DAYS",
IF(E897&lt;=TODAY()+60,"&lt;60 DAYS",IF(E897=0,"","")))))</f>
        <v/>
      </c>
      <c r="H897">
        <f>SUMIF(Purchases[Product ID],A897,Purchases[Quantity])</f>
        <v>0</v>
      </c>
      <c r="I897">
        <f>SUMIF(Sales[Product Name],Inventory[[#This Row],[Product Name]],Sales[Quantity Sold])</f>
        <v>0</v>
      </c>
      <c r="J897">
        <f t="shared" si="27"/>
        <v>0</v>
      </c>
      <c r="N897">
        <f t="shared" si="28"/>
        <v>0</v>
      </c>
    </row>
    <row r="898" spans="4:14" ht="15">
      <c r="D898" s="26"/>
      <c r="E898" s="26"/>
      <c r="F898" t="str">
        <f ca="1">IF(Inventory[[#This Row],[Product Category]]="","",IF(E898&lt;TODAY(),"EXPIRED",
IF(E898&lt;=TODAY()+30,"&lt;30 DAYS",
IF(E898&lt;=TODAY()+60,"&lt;60 DAYS",IF(E898=0,"","")))))</f>
        <v/>
      </c>
      <c r="H898">
        <f>SUMIF(Purchases[Product ID],A898,Purchases[Quantity])</f>
        <v>0</v>
      </c>
      <c r="I898">
        <f>SUMIF(Sales[Product Name],Inventory[[#This Row],[Product Name]],Sales[Quantity Sold])</f>
        <v>0</v>
      </c>
      <c r="J898">
        <f t="shared" si="27"/>
        <v>0</v>
      </c>
      <c r="N898">
        <f t="shared" si="28"/>
        <v>0</v>
      </c>
    </row>
    <row r="899" spans="4:14" ht="15">
      <c r="D899" s="26"/>
      <c r="E899" s="26"/>
      <c r="F899" t="str">
        <f ca="1">IF(Inventory[[#This Row],[Product Category]]="","",IF(E899&lt;TODAY(),"EXPIRED",
IF(E899&lt;=TODAY()+30,"&lt;30 DAYS",
IF(E899&lt;=TODAY()+60,"&lt;60 DAYS",IF(E899=0,"","")))))</f>
        <v/>
      </c>
      <c r="H899">
        <f>SUMIF(Purchases[Product ID],A899,Purchases[Quantity])</f>
        <v>0</v>
      </c>
      <c r="I899">
        <f>SUMIF(Sales[Product Name],Inventory[[#This Row],[Product Name]],Sales[Quantity Sold])</f>
        <v>0</v>
      </c>
      <c r="J899">
        <f t="shared" si="27"/>
        <v>0</v>
      </c>
      <c r="N899">
        <f t="shared" si="28"/>
        <v>0</v>
      </c>
    </row>
    <row r="900" spans="4:14" ht="15">
      <c r="D900" s="26"/>
      <c r="E900" s="26"/>
      <c r="F900" t="str">
        <f ca="1">IF(Inventory[[#This Row],[Product Category]]="","",IF(E900&lt;TODAY(),"EXPIRED",
IF(E900&lt;=TODAY()+30,"&lt;30 DAYS",
IF(E900&lt;=TODAY()+60,"&lt;60 DAYS",IF(E900=0,"","")))))</f>
        <v/>
      </c>
      <c r="H900">
        <f>SUMIF(Purchases[Product ID],A900,Purchases[Quantity])</f>
        <v>0</v>
      </c>
      <c r="I900">
        <f>SUMIF(Sales[Product Name],Inventory[[#This Row],[Product Name]],Sales[Quantity Sold])</f>
        <v>0</v>
      </c>
      <c r="J900">
        <f t="shared" si="27"/>
        <v>0</v>
      </c>
      <c r="N900">
        <f t="shared" si="28"/>
        <v>0</v>
      </c>
    </row>
    <row r="901" spans="4:14" ht="15">
      <c r="D901" s="26"/>
      <c r="E901" s="26"/>
      <c r="F901" t="str">
        <f ca="1">IF(Inventory[[#This Row],[Product Category]]="","",IF(E901&lt;TODAY(),"EXPIRED",
IF(E901&lt;=TODAY()+30,"&lt;30 DAYS",
IF(E901&lt;=TODAY()+60,"&lt;60 DAYS",IF(E901=0,"","")))))</f>
        <v/>
      </c>
      <c r="H901">
        <f>SUMIF(Purchases[Product ID],A901,Purchases[Quantity])</f>
        <v>0</v>
      </c>
      <c r="I901">
        <f>SUMIF(Sales[Product Name],Inventory[[#This Row],[Product Name]],Sales[Quantity Sold])</f>
        <v>0</v>
      </c>
      <c r="J901">
        <f t="shared" si="27"/>
        <v>0</v>
      </c>
      <c r="N901">
        <f t="shared" si="28"/>
        <v>0</v>
      </c>
    </row>
    <row r="902" spans="4:14" ht="15">
      <c r="D902" s="26"/>
      <c r="E902" s="26"/>
      <c r="F902" t="str">
        <f ca="1">IF(Inventory[[#This Row],[Product Category]]="","",IF(E902&lt;TODAY(),"EXPIRED",
IF(E902&lt;=TODAY()+30,"&lt;30 DAYS",
IF(E902&lt;=TODAY()+60,"&lt;60 DAYS",IF(E902=0,"","")))))</f>
        <v/>
      </c>
      <c r="H902">
        <f>SUMIF(Purchases[Product ID],A902,Purchases[Quantity])</f>
        <v>0</v>
      </c>
      <c r="I902">
        <f>SUMIF(Sales[Product Name],Inventory[[#This Row],[Product Name]],Sales[Quantity Sold])</f>
        <v>0</v>
      </c>
      <c r="J902">
        <f t="shared" si="27"/>
        <v>0</v>
      </c>
      <c r="N902">
        <f t="shared" si="28"/>
        <v>0</v>
      </c>
    </row>
    <row r="903" spans="4:14" ht="15">
      <c r="D903" s="26"/>
      <c r="E903" s="26"/>
      <c r="F903" t="str">
        <f ca="1">IF(Inventory[[#This Row],[Product Category]]="","",IF(E903&lt;TODAY(),"EXPIRED",
IF(E903&lt;=TODAY()+30,"&lt;30 DAYS",
IF(E903&lt;=TODAY()+60,"&lt;60 DAYS",IF(E903=0,"","")))))</f>
        <v/>
      </c>
      <c r="H903">
        <f>SUMIF(Purchases[Product ID],A903,Purchases[Quantity])</f>
        <v>0</v>
      </c>
      <c r="I903">
        <f>SUMIF(Sales[Product Name],Inventory[[#This Row],[Product Name]],Sales[Quantity Sold])</f>
        <v>0</v>
      </c>
      <c r="J903">
        <f t="shared" si="27"/>
        <v>0</v>
      </c>
      <c r="N903">
        <f t="shared" si="28"/>
        <v>0</v>
      </c>
    </row>
    <row r="904" spans="4:14" ht="15">
      <c r="D904" s="26"/>
      <c r="E904" s="26"/>
      <c r="F904" t="str">
        <f ca="1">IF(Inventory[[#This Row],[Product Category]]="","",IF(E904&lt;TODAY(),"EXPIRED",
IF(E904&lt;=TODAY()+30,"&lt;30 DAYS",
IF(E904&lt;=TODAY()+60,"&lt;60 DAYS",IF(E904=0,"","")))))</f>
        <v/>
      </c>
      <c r="H904">
        <f>SUMIF(Purchases[Product ID],A904,Purchases[Quantity])</f>
        <v>0</v>
      </c>
      <c r="I904">
        <f>SUMIF(Sales[Product Name],Inventory[[#This Row],[Product Name]],Sales[Quantity Sold])</f>
        <v>0</v>
      </c>
      <c r="J904">
        <f t="shared" ref="J904:J967" si="29">G904+H904-I904</f>
        <v>0</v>
      </c>
      <c r="N904">
        <f t="shared" ref="N904:N967" si="30">J904*L904</f>
        <v>0</v>
      </c>
    </row>
    <row r="905" spans="4:14" ht="15">
      <c r="D905" s="26"/>
      <c r="E905" s="26"/>
      <c r="F905" t="str">
        <f ca="1">IF(Inventory[[#This Row],[Product Category]]="","",IF(E905&lt;TODAY(),"EXPIRED",
IF(E905&lt;=TODAY()+30,"&lt;30 DAYS",
IF(E905&lt;=TODAY()+60,"&lt;60 DAYS",IF(E905=0,"","")))))</f>
        <v/>
      </c>
      <c r="H905">
        <f>SUMIF(Purchases[Product ID],A905,Purchases[Quantity])</f>
        <v>0</v>
      </c>
      <c r="I905">
        <f>SUMIF(Sales[Product Name],Inventory[[#This Row],[Product Name]],Sales[Quantity Sold])</f>
        <v>0</v>
      </c>
      <c r="J905">
        <f t="shared" si="29"/>
        <v>0</v>
      </c>
      <c r="N905">
        <f t="shared" si="30"/>
        <v>0</v>
      </c>
    </row>
    <row r="906" spans="4:14" ht="15">
      <c r="D906" s="26"/>
      <c r="E906" s="26"/>
      <c r="F906" t="str">
        <f ca="1">IF(Inventory[[#This Row],[Product Category]]="","",IF(E906&lt;TODAY(),"EXPIRED",
IF(E906&lt;=TODAY()+30,"&lt;30 DAYS",
IF(E906&lt;=TODAY()+60,"&lt;60 DAYS",IF(E906=0,"","")))))</f>
        <v/>
      </c>
      <c r="H906">
        <f>SUMIF(Purchases[Product ID],A906,Purchases[Quantity])</f>
        <v>0</v>
      </c>
      <c r="I906">
        <f>SUMIF(Sales[Product Name],Inventory[[#This Row],[Product Name]],Sales[Quantity Sold])</f>
        <v>0</v>
      </c>
      <c r="J906">
        <f t="shared" si="29"/>
        <v>0</v>
      </c>
      <c r="N906">
        <f t="shared" si="30"/>
        <v>0</v>
      </c>
    </row>
    <row r="907" spans="4:14" ht="15">
      <c r="D907" s="26"/>
      <c r="E907" s="26"/>
      <c r="F907" t="str">
        <f ca="1">IF(Inventory[[#This Row],[Product Category]]="","",IF(E907&lt;TODAY(),"EXPIRED",
IF(E907&lt;=TODAY()+30,"&lt;30 DAYS",
IF(E907&lt;=TODAY()+60,"&lt;60 DAYS",IF(E907=0,"","")))))</f>
        <v/>
      </c>
      <c r="H907">
        <f>SUMIF(Purchases[Product ID],A907,Purchases[Quantity])</f>
        <v>0</v>
      </c>
      <c r="I907">
        <f>SUMIF(Sales[Product Name],Inventory[[#This Row],[Product Name]],Sales[Quantity Sold])</f>
        <v>0</v>
      </c>
      <c r="J907">
        <f t="shared" si="29"/>
        <v>0</v>
      </c>
      <c r="N907">
        <f t="shared" si="30"/>
        <v>0</v>
      </c>
    </row>
    <row r="908" spans="4:14" ht="15">
      <c r="D908" s="26"/>
      <c r="E908" s="26"/>
      <c r="F908" t="str">
        <f ca="1">IF(Inventory[[#This Row],[Product Category]]="","",IF(E908&lt;TODAY(),"EXPIRED",
IF(E908&lt;=TODAY()+30,"&lt;30 DAYS",
IF(E908&lt;=TODAY()+60,"&lt;60 DAYS",IF(E908=0,"","")))))</f>
        <v/>
      </c>
      <c r="H908">
        <f>SUMIF(Purchases[Product ID],A908,Purchases[Quantity])</f>
        <v>0</v>
      </c>
      <c r="I908">
        <f>SUMIF(Sales[Product Name],Inventory[[#This Row],[Product Name]],Sales[Quantity Sold])</f>
        <v>0</v>
      </c>
      <c r="J908">
        <f t="shared" si="29"/>
        <v>0</v>
      </c>
      <c r="N908">
        <f t="shared" si="30"/>
        <v>0</v>
      </c>
    </row>
    <row r="909" spans="4:14" ht="15">
      <c r="D909" s="26"/>
      <c r="E909" s="26"/>
      <c r="F909" t="str">
        <f ca="1">IF(Inventory[[#This Row],[Product Category]]="","",IF(E909&lt;TODAY(),"EXPIRED",
IF(E909&lt;=TODAY()+30,"&lt;30 DAYS",
IF(E909&lt;=TODAY()+60,"&lt;60 DAYS",IF(E909=0,"","")))))</f>
        <v/>
      </c>
      <c r="H909">
        <f>SUMIF(Purchases[Product ID],A909,Purchases[Quantity])</f>
        <v>0</v>
      </c>
      <c r="I909">
        <f>SUMIF(Sales[Product Name],Inventory[[#This Row],[Product Name]],Sales[Quantity Sold])</f>
        <v>0</v>
      </c>
      <c r="J909">
        <f t="shared" si="29"/>
        <v>0</v>
      </c>
      <c r="N909">
        <f t="shared" si="30"/>
        <v>0</v>
      </c>
    </row>
    <row r="910" spans="4:14" ht="15">
      <c r="D910" s="26"/>
      <c r="E910" s="26"/>
      <c r="F910" t="str">
        <f ca="1">IF(Inventory[[#This Row],[Product Category]]="","",IF(E910&lt;TODAY(),"EXPIRED",
IF(E910&lt;=TODAY()+30,"&lt;30 DAYS",
IF(E910&lt;=TODAY()+60,"&lt;60 DAYS",IF(E910=0,"","")))))</f>
        <v/>
      </c>
      <c r="H910">
        <f>SUMIF(Purchases[Product ID],A910,Purchases[Quantity])</f>
        <v>0</v>
      </c>
      <c r="I910">
        <f>SUMIF(Sales[Product Name],Inventory[[#This Row],[Product Name]],Sales[Quantity Sold])</f>
        <v>0</v>
      </c>
      <c r="J910">
        <f t="shared" si="29"/>
        <v>0</v>
      </c>
      <c r="N910">
        <f t="shared" si="30"/>
        <v>0</v>
      </c>
    </row>
    <row r="911" spans="4:14" ht="15">
      <c r="D911" s="26"/>
      <c r="E911" s="26"/>
      <c r="F911" t="str">
        <f ca="1">IF(Inventory[[#This Row],[Product Category]]="","",IF(E911&lt;TODAY(),"EXPIRED",
IF(E911&lt;=TODAY()+30,"&lt;30 DAYS",
IF(E911&lt;=TODAY()+60,"&lt;60 DAYS",IF(E911=0,"","")))))</f>
        <v/>
      </c>
      <c r="H911">
        <f>SUMIF(Purchases[Product ID],A911,Purchases[Quantity])</f>
        <v>0</v>
      </c>
      <c r="I911">
        <f>SUMIF(Sales[Product Name],Inventory[[#This Row],[Product Name]],Sales[Quantity Sold])</f>
        <v>0</v>
      </c>
      <c r="J911">
        <f t="shared" si="29"/>
        <v>0</v>
      </c>
      <c r="N911">
        <f t="shared" si="30"/>
        <v>0</v>
      </c>
    </row>
    <row r="912" spans="4:14" ht="15">
      <c r="D912" s="26"/>
      <c r="E912" s="26"/>
      <c r="F912" t="str">
        <f ca="1">IF(Inventory[[#This Row],[Product Category]]="","",IF(E912&lt;TODAY(),"EXPIRED",
IF(E912&lt;=TODAY()+30,"&lt;30 DAYS",
IF(E912&lt;=TODAY()+60,"&lt;60 DAYS",IF(E912=0,"","")))))</f>
        <v/>
      </c>
      <c r="H912">
        <f>SUMIF(Purchases[Product ID],A912,Purchases[Quantity])</f>
        <v>0</v>
      </c>
      <c r="I912">
        <f>SUMIF(Sales[Product Name],Inventory[[#This Row],[Product Name]],Sales[Quantity Sold])</f>
        <v>0</v>
      </c>
      <c r="J912">
        <f t="shared" si="29"/>
        <v>0</v>
      </c>
      <c r="N912">
        <f t="shared" si="30"/>
        <v>0</v>
      </c>
    </row>
    <row r="913" spans="4:14" ht="15">
      <c r="D913" s="26"/>
      <c r="E913" s="26"/>
      <c r="F913" t="str">
        <f ca="1">IF(Inventory[[#This Row],[Product Category]]="","",IF(E913&lt;TODAY(),"EXPIRED",
IF(E913&lt;=TODAY()+30,"&lt;30 DAYS",
IF(E913&lt;=TODAY()+60,"&lt;60 DAYS",IF(E913=0,"","")))))</f>
        <v/>
      </c>
      <c r="H913">
        <f>SUMIF(Purchases[Product ID],A913,Purchases[Quantity])</f>
        <v>0</v>
      </c>
      <c r="I913">
        <f>SUMIF(Sales[Product Name],Inventory[[#This Row],[Product Name]],Sales[Quantity Sold])</f>
        <v>0</v>
      </c>
      <c r="J913">
        <f t="shared" si="29"/>
        <v>0</v>
      </c>
      <c r="N913">
        <f t="shared" si="30"/>
        <v>0</v>
      </c>
    </row>
    <row r="914" spans="4:14" ht="15">
      <c r="D914" s="26"/>
      <c r="E914" s="26"/>
      <c r="F914" t="str">
        <f ca="1">IF(Inventory[[#This Row],[Product Category]]="","",IF(E914&lt;TODAY(),"EXPIRED",
IF(E914&lt;=TODAY()+30,"&lt;30 DAYS",
IF(E914&lt;=TODAY()+60,"&lt;60 DAYS",IF(E914=0,"","")))))</f>
        <v/>
      </c>
      <c r="H914">
        <f>SUMIF(Purchases[Product ID],A914,Purchases[Quantity])</f>
        <v>0</v>
      </c>
      <c r="I914">
        <f>SUMIF(Sales[Product Name],Inventory[[#This Row],[Product Name]],Sales[Quantity Sold])</f>
        <v>0</v>
      </c>
      <c r="J914">
        <f t="shared" si="29"/>
        <v>0</v>
      </c>
      <c r="N914">
        <f t="shared" si="30"/>
        <v>0</v>
      </c>
    </row>
    <row r="915" spans="4:14" ht="15">
      <c r="D915" s="26"/>
      <c r="E915" s="26"/>
      <c r="F915" t="str">
        <f ca="1">IF(Inventory[[#This Row],[Product Category]]="","",IF(E915&lt;TODAY(),"EXPIRED",
IF(E915&lt;=TODAY()+30,"&lt;30 DAYS",
IF(E915&lt;=TODAY()+60,"&lt;60 DAYS",IF(E915=0,"","")))))</f>
        <v/>
      </c>
      <c r="H915">
        <f>SUMIF(Purchases[Product ID],A915,Purchases[Quantity])</f>
        <v>0</v>
      </c>
      <c r="I915">
        <f>SUMIF(Sales[Product Name],Inventory[[#This Row],[Product Name]],Sales[Quantity Sold])</f>
        <v>0</v>
      </c>
      <c r="J915">
        <f t="shared" si="29"/>
        <v>0</v>
      </c>
      <c r="N915">
        <f t="shared" si="30"/>
        <v>0</v>
      </c>
    </row>
    <row r="916" spans="4:14" ht="15">
      <c r="D916" s="26"/>
      <c r="E916" s="26"/>
      <c r="F916" t="str">
        <f ca="1">IF(Inventory[[#This Row],[Product Category]]="","",IF(E916&lt;TODAY(),"EXPIRED",
IF(E916&lt;=TODAY()+30,"&lt;30 DAYS",
IF(E916&lt;=TODAY()+60,"&lt;60 DAYS",IF(E916=0,"","")))))</f>
        <v/>
      </c>
      <c r="H916">
        <f>SUMIF(Purchases[Product ID],A916,Purchases[Quantity])</f>
        <v>0</v>
      </c>
      <c r="I916">
        <f>SUMIF(Sales[Product Name],Inventory[[#This Row],[Product Name]],Sales[Quantity Sold])</f>
        <v>0</v>
      </c>
      <c r="J916">
        <f t="shared" si="29"/>
        <v>0</v>
      </c>
      <c r="N916">
        <f t="shared" si="30"/>
        <v>0</v>
      </c>
    </row>
    <row r="917" spans="4:14" ht="15">
      <c r="D917" s="26"/>
      <c r="E917" s="26"/>
      <c r="F917" t="str">
        <f ca="1">IF(Inventory[[#This Row],[Product Category]]="","",IF(E917&lt;TODAY(),"EXPIRED",
IF(E917&lt;=TODAY()+30,"&lt;30 DAYS",
IF(E917&lt;=TODAY()+60,"&lt;60 DAYS",IF(E917=0,"","")))))</f>
        <v/>
      </c>
      <c r="H917">
        <f>SUMIF(Purchases[Product ID],A917,Purchases[Quantity])</f>
        <v>0</v>
      </c>
      <c r="I917">
        <f>SUMIF(Sales[Product Name],Inventory[[#This Row],[Product Name]],Sales[Quantity Sold])</f>
        <v>0</v>
      </c>
      <c r="J917">
        <f t="shared" si="29"/>
        <v>0</v>
      </c>
      <c r="N917">
        <f t="shared" si="30"/>
        <v>0</v>
      </c>
    </row>
    <row r="918" spans="4:14" ht="15">
      <c r="D918" s="26"/>
      <c r="E918" s="26"/>
      <c r="F918" t="str">
        <f ca="1">IF(Inventory[[#This Row],[Product Category]]="","",IF(E918&lt;TODAY(),"EXPIRED",
IF(E918&lt;=TODAY()+30,"&lt;30 DAYS",
IF(E918&lt;=TODAY()+60,"&lt;60 DAYS",IF(E918=0,"","")))))</f>
        <v/>
      </c>
      <c r="H918">
        <f>SUMIF(Purchases[Product ID],A918,Purchases[Quantity])</f>
        <v>0</v>
      </c>
      <c r="I918">
        <f>SUMIF(Sales[Product Name],Inventory[[#This Row],[Product Name]],Sales[Quantity Sold])</f>
        <v>0</v>
      </c>
      <c r="J918">
        <f t="shared" si="29"/>
        <v>0</v>
      </c>
      <c r="N918">
        <f t="shared" si="30"/>
        <v>0</v>
      </c>
    </row>
    <row r="919" spans="4:14" ht="15">
      <c r="D919" s="26"/>
      <c r="E919" s="26"/>
      <c r="F919" t="str">
        <f ca="1">IF(Inventory[[#This Row],[Product Category]]="","",IF(E919&lt;TODAY(),"EXPIRED",
IF(E919&lt;=TODAY()+30,"&lt;30 DAYS",
IF(E919&lt;=TODAY()+60,"&lt;60 DAYS",IF(E919=0,"","")))))</f>
        <v/>
      </c>
      <c r="H919">
        <f>SUMIF(Purchases[Product ID],A919,Purchases[Quantity])</f>
        <v>0</v>
      </c>
      <c r="I919">
        <f>SUMIF(Sales[Product Name],Inventory[[#This Row],[Product Name]],Sales[Quantity Sold])</f>
        <v>0</v>
      </c>
      <c r="J919">
        <f t="shared" si="29"/>
        <v>0</v>
      </c>
      <c r="N919">
        <f t="shared" si="30"/>
        <v>0</v>
      </c>
    </row>
    <row r="920" spans="4:14" ht="15">
      <c r="D920" s="26"/>
      <c r="E920" s="26"/>
      <c r="F920" t="str">
        <f ca="1">IF(Inventory[[#This Row],[Product Category]]="","",IF(E920&lt;TODAY(),"EXPIRED",
IF(E920&lt;=TODAY()+30,"&lt;30 DAYS",
IF(E920&lt;=TODAY()+60,"&lt;60 DAYS",IF(E920=0,"","")))))</f>
        <v/>
      </c>
      <c r="H920">
        <f>SUMIF(Purchases[Product ID],A920,Purchases[Quantity])</f>
        <v>0</v>
      </c>
      <c r="I920">
        <f>SUMIF(Sales[Product Name],Inventory[[#This Row],[Product Name]],Sales[Quantity Sold])</f>
        <v>0</v>
      </c>
      <c r="J920">
        <f t="shared" si="29"/>
        <v>0</v>
      </c>
      <c r="N920">
        <f t="shared" si="30"/>
        <v>0</v>
      </c>
    </row>
    <row r="921" spans="4:14" ht="15">
      <c r="D921" s="26"/>
      <c r="E921" s="26"/>
      <c r="F921" t="str">
        <f ca="1">IF(Inventory[[#This Row],[Product Category]]="","",IF(E921&lt;TODAY(),"EXPIRED",
IF(E921&lt;=TODAY()+30,"&lt;30 DAYS",
IF(E921&lt;=TODAY()+60,"&lt;60 DAYS",IF(E921=0,"","")))))</f>
        <v/>
      </c>
      <c r="H921">
        <f>SUMIF(Purchases[Product ID],A921,Purchases[Quantity])</f>
        <v>0</v>
      </c>
      <c r="I921">
        <f>SUMIF(Sales[Product Name],Inventory[[#This Row],[Product Name]],Sales[Quantity Sold])</f>
        <v>0</v>
      </c>
      <c r="J921">
        <f t="shared" si="29"/>
        <v>0</v>
      </c>
      <c r="N921">
        <f t="shared" si="30"/>
        <v>0</v>
      </c>
    </row>
    <row r="922" spans="4:14" ht="15">
      <c r="D922" s="26"/>
      <c r="E922" s="26"/>
      <c r="F922" t="str">
        <f ca="1">IF(Inventory[[#This Row],[Product Category]]="","",IF(E922&lt;TODAY(),"EXPIRED",
IF(E922&lt;=TODAY()+30,"&lt;30 DAYS",
IF(E922&lt;=TODAY()+60,"&lt;60 DAYS",IF(E922=0,"","")))))</f>
        <v/>
      </c>
      <c r="H922">
        <f>SUMIF(Purchases[Product ID],A922,Purchases[Quantity])</f>
        <v>0</v>
      </c>
      <c r="I922">
        <f>SUMIF(Sales[Product Name],Inventory[[#This Row],[Product Name]],Sales[Quantity Sold])</f>
        <v>0</v>
      </c>
      <c r="J922">
        <f t="shared" si="29"/>
        <v>0</v>
      </c>
      <c r="N922">
        <f t="shared" si="30"/>
        <v>0</v>
      </c>
    </row>
    <row r="923" spans="4:14" ht="15">
      <c r="D923" s="26"/>
      <c r="E923" s="26"/>
      <c r="F923" t="str">
        <f ca="1">IF(Inventory[[#This Row],[Product Category]]="","",IF(E923&lt;TODAY(),"EXPIRED",
IF(E923&lt;=TODAY()+30,"&lt;30 DAYS",
IF(E923&lt;=TODAY()+60,"&lt;60 DAYS",IF(E923=0,"","")))))</f>
        <v/>
      </c>
      <c r="H923">
        <f>SUMIF(Purchases[Product ID],A923,Purchases[Quantity])</f>
        <v>0</v>
      </c>
      <c r="I923">
        <f>SUMIF(Sales[Product Name],Inventory[[#This Row],[Product Name]],Sales[Quantity Sold])</f>
        <v>0</v>
      </c>
      <c r="J923">
        <f t="shared" si="29"/>
        <v>0</v>
      </c>
      <c r="N923">
        <f t="shared" si="30"/>
        <v>0</v>
      </c>
    </row>
    <row r="924" spans="4:14" ht="15">
      <c r="D924" s="26"/>
      <c r="E924" s="26"/>
      <c r="F924" t="str">
        <f ca="1">IF(Inventory[[#This Row],[Product Category]]="","",IF(E924&lt;TODAY(),"EXPIRED",
IF(E924&lt;=TODAY()+30,"&lt;30 DAYS",
IF(E924&lt;=TODAY()+60,"&lt;60 DAYS",IF(E924=0,"","")))))</f>
        <v/>
      </c>
      <c r="H924">
        <f>SUMIF(Purchases[Product ID],A924,Purchases[Quantity])</f>
        <v>0</v>
      </c>
      <c r="I924">
        <f>SUMIF(Sales[Product Name],Inventory[[#This Row],[Product Name]],Sales[Quantity Sold])</f>
        <v>0</v>
      </c>
      <c r="J924">
        <f t="shared" si="29"/>
        <v>0</v>
      </c>
      <c r="N924">
        <f t="shared" si="30"/>
        <v>0</v>
      </c>
    </row>
    <row r="925" spans="4:14" ht="15">
      <c r="D925" s="26"/>
      <c r="E925" s="26"/>
      <c r="F925" t="str">
        <f ca="1">IF(Inventory[[#This Row],[Product Category]]="","",IF(E925&lt;TODAY(),"EXPIRED",
IF(E925&lt;=TODAY()+30,"&lt;30 DAYS",
IF(E925&lt;=TODAY()+60,"&lt;60 DAYS",IF(E925=0,"","")))))</f>
        <v/>
      </c>
      <c r="H925">
        <f>SUMIF(Purchases[Product ID],A925,Purchases[Quantity])</f>
        <v>0</v>
      </c>
      <c r="I925">
        <f>SUMIF(Sales[Product Name],Inventory[[#This Row],[Product Name]],Sales[Quantity Sold])</f>
        <v>0</v>
      </c>
      <c r="J925">
        <f t="shared" si="29"/>
        <v>0</v>
      </c>
      <c r="N925">
        <f t="shared" si="30"/>
        <v>0</v>
      </c>
    </row>
    <row r="926" spans="4:14" ht="15">
      <c r="D926" s="26"/>
      <c r="E926" s="26"/>
      <c r="F926" t="str">
        <f ca="1">IF(Inventory[[#This Row],[Product Category]]="","",IF(E926&lt;TODAY(),"EXPIRED",
IF(E926&lt;=TODAY()+30,"&lt;30 DAYS",
IF(E926&lt;=TODAY()+60,"&lt;60 DAYS",IF(E926=0,"","")))))</f>
        <v/>
      </c>
      <c r="H926">
        <f>SUMIF(Purchases[Product ID],A926,Purchases[Quantity])</f>
        <v>0</v>
      </c>
      <c r="I926">
        <f>SUMIF(Sales[Product Name],Inventory[[#This Row],[Product Name]],Sales[Quantity Sold])</f>
        <v>0</v>
      </c>
      <c r="J926">
        <f t="shared" si="29"/>
        <v>0</v>
      </c>
      <c r="N926">
        <f t="shared" si="30"/>
        <v>0</v>
      </c>
    </row>
    <row r="927" spans="4:14" ht="15">
      <c r="D927" s="26"/>
      <c r="E927" s="26"/>
      <c r="F927" t="str">
        <f ca="1">IF(Inventory[[#This Row],[Product Category]]="","",IF(E927&lt;TODAY(),"EXPIRED",
IF(E927&lt;=TODAY()+30,"&lt;30 DAYS",
IF(E927&lt;=TODAY()+60,"&lt;60 DAYS",IF(E927=0,"","")))))</f>
        <v/>
      </c>
      <c r="H927">
        <f>SUMIF(Purchases[Product ID],A927,Purchases[Quantity])</f>
        <v>0</v>
      </c>
      <c r="I927">
        <f>SUMIF(Sales[Product Name],Inventory[[#This Row],[Product Name]],Sales[Quantity Sold])</f>
        <v>0</v>
      </c>
      <c r="J927">
        <f t="shared" si="29"/>
        <v>0</v>
      </c>
      <c r="N927">
        <f t="shared" si="30"/>
        <v>0</v>
      </c>
    </row>
    <row r="928" spans="4:14" ht="15">
      <c r="D928" s="26"/>
      <c r="E928" s="26"/>
      <c r="F928" t="str">
        <f ca="1">IF(Inventory[[#This Row],[Product Category]]="","",IF(E928&lt;TODAY(),"EXPIRED",
IF(E928&lt;=TODAY()+30,"&lt;30 DAYS",
IF(E928&lt;=TODAY()+60,"&lt;60 DAYS",IF(E928=0,"","")))))</f>
        <v/>
      </c>
      <c r="H928">
        <f>SUMIF(Purchases[Product ID],A928,Purchases[Quantity])</f>
        <v>0</v>
      </c>
      <c r="I928">
        <f>SUMIF(Sales[Product Name],Inventory[[#This Row],[Product Name]],Sales[Quantity Sold])</f>
        <v>0</v>
      </c>
      <c r="J928">
        <f t="shared" si="29"/>
        <v>0</v>
      </c>
      <c r="N928">
        <f t="shared" si="30"/>
        <v>0</v>
      </c>
    </row>
    <row r="929" spans="4:14" ht="15">
      <c r="D929" s="26"/>
      <c r="E929" s="26"/>
      <c r="F929" t="str">
        <f ca="1">IF(Inventory[[#This Row],[Product Category]]="","",IF(E929&lt;TODAY(),"EXPIRED",
IF(E929&lt;=TODAY()+30,"&lt;30 DAYS",
IF(E929&lt;=TODAY()+60,"&lt;60 DAYS",IF(E929=0,"","")))))</f>
        <v/>
      </c>
      <c r="H929">
        <f>SUMIF(Purchases[Product ID],A929,Purchases[Quantity])</f>
        <v>0</v>
      </c>
      <c r="I929">
        <f>SUMIF(Sales[Product Name],Inventory[[#This Row],[Product Name]],Sales[Quantity Sold])</f>
        <v>0</v>
      </c>
      <c r="J929">
        <f t="shared" si="29"/>
        <v>0</v>
      </c>
      <c r="N929">
        <f t="shared" si="30"/>
        <v>0</v>
      </c>
    </row>
    <row r="930" spans="4:14" ht="15">
      <c r="D930" s="26"/>
      <c r="E930" s="26"/>
      <c r="F930" t="str">
        <f ca="1">IF(Inventory[[#This Row],[Product Category]]="","",IF(E930&lt;TODAY(),"EXPIRED",
IF(E930&lt;=TODAY()+30,"&lt;30 DAYS",
IF(E930&lt;=TODAY()+60,"&lt;60 DAYS",IF(E930=0,"","")))))</f>
        <v/>
      </c>
      <c r="H930">
        <f>SUMIF(Purchases[Product ID],A930,Purchases[Quantity])</f>
        <v>0</v>
      </c>
      <c r="I930">
        <f>SUMIF(Sales[Product Name],Inventory[[#This Row],[Product Name]],Sales[Quantity Sold])</f>
        <v>0</v>
      </c>
      <c r="J930">
        <f t="shared" si="29"/>
        <v>0</v>
      </c>
      <c r="N930">
        <f t="shared" si="30"/>
        <v>0</v>
      </c>
    </row>
    <row r="931" spans="4:14" ht="15">
      <c r="D931" s="26"/>
      <c r="E931" s="26"/>
      <c r="F931" t="str">
        <f ca="1">IF(Inventory[[#This Row],[Product Category]]="","",IF(E931&lt;TODAY(),"EXPIRED",
IF(E931&lt;=TODAY()+30,"&lt;30 DAYS",
IF(E931&lt;=TODAY()+60,"&lt;60 DAYS",IF(E931=0,"","")))))</f>
        <v/>
      </c>
      <c r="H931">
        <f>SUMIF(Purchases[Product ID],A931,Purchases[Quantity])</f>
        <v>0</v>
      </c>
      <c r="I931">
        <f>SUMIF(Sales[Product Name],Inventory[[#This Row],[Product Name]],Sales[Quantity Sold])</f>
        <v>0</v>
      </c>
      <c r="J931">
        <f t="shared" si="29"/>
        <v>0</v>
      </c>
      <c r="N931">
        <f t="shared" si="30"/>
        <v>0</v>
      </c>
    </row>
    <row r="932" spans="4:14" ht="15">
      <c r="D932" s="26"/>
      <c r="E932" s="26"/>
      <c r="F932" t="str">
        <f ca="1">IF(Inventory[[#This Row],[Product Category]]="","",IF(E932&lt;TODAY(),"EXPIRED",
IF(E932&lt;=TODAY()+30,"&lt;30 DAYS",
IF(E932&lt;=TODAY()+60,"&lt;60 DAYS",IF(E932=0,"","")))))</f>
        <v/>
      </c>
      <c r="H932">
        <f>SUMIF(Purchases[Product ID],A932,Purchases[Quantity])</f>
        <v>0</v>
      </c>
      <c r="I932">
        <f>SUMIF(Sales[Product Name],Inventory[[#This Row],[Product Name]],Sales[Quantity Sold])</f>
        <v>0</v>
      </c>
      <c r="J932">
        <f t="shared" si="29"/>
        <v>0</v>
      </c>
      <c r="N932">
        <f t="shared" si="30"/>
        <v>0</v>
      </c>
    </row>
    <row r="933" spans="4:14" ht="15">
      <c r="D933" s="26"/>
      <c r="E933" s="26"/>
      <c r="F933" t="str">
        <f ca="1">IF(Inventory[[#This Row],[Product Category]]="","",IF(E933&lt;TODAY(),"EXPIRED",
IF(E933&lt;=TODAY()+30,"&lt;30 DAYS",
IF(E933&lt;=TODAY()+60,"&lt;60 DAYS",IF(E933=0,"","")))))</f>
        <v/>
      </c>
      <c r="H933">
        <f>SUMIF(Purchases[Product ID],A933,Purchases[Quantity])</f>
        <v>0</v>
      </c>
      <c r="I933">
        <f>SUMIF(Sales[Product Name],Inventory[[#This Row],[Product Name]],Sales[Quantity Sold])</f>
        <v>0</v>
      </c>
      <c r="J933">
        <f t="shared" si="29"/>
        <v>0</v>
      </c>
      <c r="N933">
        <f t="shared" si="30"/>
        <v>0</v>
      </c>
    </row>
    <row r="934" spans="4:14" ht="15">
      <c r="D934" s="26"/>
      <c r="E934" s="26"/>
      <c r="F934" t="str">
        <f ca="1">IF(Inventory[[#This Row],[Product Category]]="","",IF(E934&lt;TODAY(),"EXPIRED",
IF(E934&lt;=TODAY()+30,"&lt;30 DAYS",
IF(E934&lt;=TODAY()+60,"&lt;60 DAYS",IF(E934=0,"","")))))</f>
        <v/>
      </c>
      <c r="H934">
        <f>SUMIF(Purchases[Product ID],A934,Purchases[Quantity])</f>
        <v>0</v>
      </c>
      <c r="I934">
        <f>SUMIF(Sales[Product Name],Inventory[[#This Row],[Product Name]],Sales[Quantity Sold])</f>
        <v>0</v>
      </c>
      <c r="J934">
        <f t="shared" si="29"/>
        <v>0</v>
      </c>
      <c r="N934">
        <f t="shared" si="30"/>
        <v>0</v>
      </c>
    </row>
    <row r="935" spans="4:14" ht="15">
      <c r="D935" s="26"/>
      <c r="E935" s="26"/>
      <c r="F935" t="str">
        <f ca="1">IF(Inventory[[#This Row],[Product Category]]="","",IF(E935&lt;TODAY(),"EXPIRED",
IF(E935&lt;=TODAY()+30,"&lt;30 DAYS",
IF(E935&lt;=TODAY()+60,"&lt;60 DAYS",IF(E935=0,"","")))))</f>
        <v/>
      </c>
      <c r="H935">
        <f>SUMIF(Purchases[Product ID],A935,Purchases[Quantity])</f>
        <v>0</v>
      </c>
      <c r="I935">
        <f>SUMIF(Sales[Product Name],Inventory[[#This Row],[Product Name]],Sales[Quantity Sold])</f>
        <v>0</v>
      </c>
      <c r="J935">
        <f t="shared" si="29"/>
        <v>0</v>
      </c>
      <c r="N935">
        <f t="shared" si="30"/>
        <v>0</v>
      </c>
    </row>
    <row r="936" spans="4:14" ht="15">
      <c r="D936" s="26"/>
      <c r="E936" s="26"/>
      <c r="F936" t="str">
        <f ca="1">IF(Inventory[[#This Row],[Product Category]]="","",IF(E936&lt;TODAY(),"EXPIRED",
IF(E936&lt;=TODAY()+30,"&lt;30 DAYS",
IF(E936&lt;=TODAY()+60,"&lt;60 DAYS",IF(E936=0,"","")))))</f>
        <v/>
      </c>
      <c r="H936">
        <f>SUMIF(Purchases[Product ID],A936,Purchases[Quantity])</f>
        <v>0</v>
      </c>
      <c r="I936">
        <f>SUMIF(Sales[Product Name],Inventory[[#This Row],[Product Name]],Sales[Quantity Sold])</f>
        <v>0</v>
      </c>
      <c r="J936">
        <f t="shared" si="29"/>
        <v>0</v>
      </c>
      <c r="N936">
        <f t="shared" si="30"/>
        <v>0</v>
      </c>
    </row>
    <row r="937" spans="4:14" ht="15">
      <c r="D937" s="26"/>
      <c r="E937" s="26"/>
      <c r="F937" t="str">
        <f ca="1">IF(Inventory[[#This Row],[Product Category]]="","",IF(E937&lt;TODAY(),"EXPIRED",
IF(E937&lt;=TODAY()+30,"&lt;30 DAYS",
IF(E937&lt;=TODAY()+60,"&lt;60 DAYS",IF(E937=0,"","")))))</f>
        <v/>
      </c>
      <c r="H937">
        <f>SUMIF(Purchases[Product ID],A937,Purchases[Quantity])</f>
        <v>0</v>
      </c>
      <c r="I937">
        <f>SUMIF(Sales[Product Name],Inventory[[#This Row],[Product Name]],Sales[Quantity Sold])</f>
        <v>0</v>
      </c>
      <c r="J937">
        <f t="shared" si="29"/>
        <v>0</v>
      </c>
      <c r="N937">
        <f t="shared" si="30"/>
        <v>0</v>
      </c>
    </row>
    <row r="938" spans="4:14" ht="15">
      <c r="D938" s="26"/>
      <c r="E938" s="26"/>
      <c r="F938" t="str">
        <f ca="1">IF(Inventory[[#This Row],[Product Category]]="","",IF(E938&lt;TODAY(),"EXPIRED",
IF(E938&lt;=TODAY()+30,"&lt;30 DAYS",
IF(E938&lt;=TODAY()+60,"&lt;60 DAYS",IF(E938=0,"","")))))</f>
        <v/>
      </c>
      <c r="H938">
        <f>SUMIF(Purchases[Product ID],A938,Purchases[Quantity])</f>
        <v>0</v>
      </c>
      <c r="I938">
        <f>SUMIF(Sales[Product Name],Inventory[[#This Row],[Product Name]],Sales[Quantity Sold])</f>
        <v>0</v>
      </c>
      <c r="J938">
        <f t="shared" si="29"/>
        <v>0</v>
      </c>
      <c r="N938">
        <f t="shared" si="30"/>
        <v>0</v>
      </c>
    </row>
    <row r="939" spans="4:14" ht="15">
      <c r="D939" s="26"/>
      <c r="E939" s="26"/>
      <c r="F939" t="str">
        <f ca="1">IF(Inventory[[#This Row],[Product Category]]="","",IF(E939&lt;TODAY(),"EXPIRED",
IF(E939&lt;=TODAY()+30,"&lt;30 DAYS",
IF(E939&lt;=TODAY()+60,"&lt;60 DAYS",IF(E939=0,"","")))))</f>
        <v/>
      </c>
      <c r="H939">
        <f>SUMIF(Purchases[Product ID],A939,Purchases[Quantity])</f>
        <v>0</v>
      </c>
      <c r="I939">
        <f>SUMIF(Sales[Product Name],Inventory[[#This Row],[Product Name]],Sales[Quantity Sold])</f>
        <v>0</v>
      </c>
      <c r="J939">
        <f t="shared" si="29"/>
        <v>0</v>
      </c>
      <c r="N939">
        <f t="shared" si="30"/>
        <v>0</v>
      </c>
    </row>
    <row r="940" spans="4:14" ht="15">
      <c r="D940" s="26"/>
      <c r="E940" s="26"/>
      <c r="F940" t="str">
        <f ca="1">IF(Inventory[[#This Row],[Product Category]]="","",IF(E940&lt;TODAY(),"EXPIRED",
IF(E940&lt;=TODAY()+30,"&lt;30 DAYS",
IF(E940&lt;=TODAY()+60,"&lt;60 DAYS",IF(E940=0,"","")))))</f>
        <v/>
      </c>
      <c r="H940">
        <f>SUMIF(Purchases[Product ID],A940,Purchases[Quantity])</f>
        <v>0</v>
      </c>
      <c r="I940">
        <f>SUMIF(Sales[Product Name],Inventory[[#This Row],[Product Name]],Sales[Quantity Sold])</f>
        <v>0</v>
      </c>
      <c r="J940">
        <f t="shared" si="29"/>
        <v>0</v>
      </c>
      <c r="N940">
        <f t="shared" si="30"/>
        <v>0</v>
      </c>
    </row>
    <row r="941" spans="4:14" ht="15">
      <c r="D941" s="26"/>
      <c r="E941" s="26"/>
      <c r="F941" t="str">
        <f ca="1">IF(Inventory[[#This Row],[Product Category]]="","",IF(E941&lt;TODAY(),"EXPIRED",
IF(E941&lt;=TODAY()+30,"&lt;30 DAYS",
IF(E941&lt;=TODAY()+60,"&lt;60 DAYS",IF(E941=0,"","")))))</f>
        <v/>
      </c>
      <c r="H941">
        <f>SUMIF(Purchases[Product ID],A941,Purchases[Quantity])</f>
        <v>0</v>
      </c>
      <c r="I941">
        <f>SUMIF(Sales[Product Name],Inventory[[#This Row],[Product Name]],Sales[Quantity Sold])</f>
        <v>0</v>
      </c>
      <c r="J941">
        <f t="shared" si="29"/>
        <v>0</v>
      </c>
      <c r="N941">
        <f t="shared" si="30"/>
        <v>0</v>
      </c>
    </row>
    <row r="942" spans="4:14" ht="15">
      <c r="D942" s="26"/>
      <c r="E942" s="26"/>
      <c r="F942" t="str">
        <f ca="1">IF(Inventory[[#This Row],[Product Category]]="","",IF(E942&lt;TODAY(),"EXPIRED",
IF(E942&lt;=TODAY()+30,"&lt;30 DAYS",
IF(E942&lt;=TODAY()+60,"&lt;60 DAYS",IF(E942=0,"","")))))</f>
        <v/>
      </c>
      <c r="H942">
        <f>SUMIF(Purchases[Product ID],A942,Purchases[Quantity])</f>
        <v>0</v>
      </c>
      <c r="I942">
        <f>SUMIF(Sales[Product Name],Inventory[[#This Row],[Product Name]],Sales[Quantity Sold])</f>
        <v>0</v>
      </c>
      <c r="J942">
        <f t="shared" si="29"/>
        <v>0</v>
      </c>
      <c r="N942">
        <f t="shared" si="30"/>
        <v>0</v>
      </c>
    </row>
    <row r="943" spans="4:14" ht="15">
      <c r="D943" s="26"/>
      <c r="E943" s="26"/>
      <c r="F943" t="str">
        <f ca="1">IF(Inventory[[#This Row],[Product Category]]="","",IF(E943&lt;TODAY(),"EXPIRED",
IF(E943&lt;=TODAY()+30,"&lt;30 DAYS",
IF(E943&lt;=TODAY()+60,"&lt;60 DAYS",IF(E943=0,"","")))))</f>
        <v/>
      </c>
      <c r="H943">
        <f>SUMIF(Purchases[Product ID],A943,Purchases[Quantity])</f>
        <v>0</v>
      </c>
      <c r="I943">
        <f>SUMIF(Sales[Product Name],Inventory[[#This Row],[Product Name]],Sales[Quantity Sold])</f>
        <v>0</v>
      </c>
      <c r="J943">
        <f t="shared" si="29"/>
        <v>0</v>
      </c>
      <c r="N943">
        <f t="shared" si="30"/>
        <v>0</v>
      </c>
    </row>
    <row r="944" spans="4:14" ht="15">
      <c r="D944" s="26"/>
      <c r="E944" s="26"/>
      <c r="F944" t="str">
        <f ca="1">IF(Inventory[[#This Row],[Product Category]]="","",IF(E944&lt;TODAY(),"EXPIRED",
IF(E944&lt;=TODAY()+30,"&lt;30 DAYS",
IF(E944&lt;=TODAY()+60,"&lt;60 DAYS",IF(E944=0,"","")))))</f>
        <v/>
      </c>
      <c r="H944">
        <f>SUMIF(Purchases[Product ID],A944,Purchases[Quantity])</f>
        <v>0</v>
      </c>
      <c r="I944">
        <f>SUMIF(Sales[Product Name],Inventory[[#This Row],[Product Name]],Sales[Quantity Sold])</f>
        <v>0</v>
      </c>
      <c r="J944">
        <f t="shared" si="29"/>
        <v>0</v>
      </c>
      <c r="N944">
        <f t="shared" si="30"/>
        <v>0</v>
      </c>
    </row>
    <row r="945" spans="4:14" ht="15">
      <c r="D945" s="26"/>
      <c r="E945" s="26"/>
      <c r="F945" t="str">
        <f ca="1">IF(Inventory[[#This Row],[Product Category]]="","",IF(E945&lt;TODAY(),"EXPIRED",
IF(E945&lt;=TODAY()+30,"&lt;30 DAYS",
IF(E945&lt;=TODAY()+60,"&lt;60 DAYS",IF(E945=0,"","")))))</f>
        <v/>
      </c>
      <c r="H945">
        <f>SUMIF(Purchases[Product ID],A945,Purchases[Quantity])</f>
        <v>0</v>
      </c>
      <c r="I945">
        <f>SUMIF(Sales[Product Name],Inventory[[#This Row],[Product Name]],Sales[Quantity Sold])</f>
        <v>0</v>
      </c>
      <c r="J945">
        <f t="shared" si="29"/>
        <v>0</v>
      </c>
      <c r="N945">
        <f t="shared" si="30"/>
        <v>0</v>
      </c>
    </row>
    <row r="946" spans="4:14" ht="15">
      <c r="D946" s="26"/>
      <c r="E946" s="26"/>
      <c r="F946" t="str">
        <f ca="1">IF(Inventory[[#This Row],[Product Category]]="","",IF(E946&lt;TODAY(),"EXPIRED",
IF(E946&lt;=TODAY()+30,"&lt;30 DAYS",
IF(E946&lt;=TODAY()+60,"&lt;60 DAYS",IF(E946=0,"","")))))</f>
        <v/>
      </c>
      <c r="H946">
        <f>SUMIF(Purchases[Product ID],A946,Purchases[Quantity])</f>
        <v>0</v>
      </c>
      <c r="I946">
        <f>SUMIF(Sales[Product Name],Inventory[[#This Row],[Product Name]],Sales[Quantity Sold])</f>
        <v>0</v>
      </c>
      <c r="J946">
        <f t="shared" si="29"/>
        <v>0</v>
      </c>
      <c r="N946">
        <f t="shared" si="30"/>
        <v>0</v>
      </c>
    </row>
    <row r="947" spans="4:14" ht="15">
      <c r="D947" s="26"/>
      <c r="E947" s="26"/>
      <c r="F947" t="str">
        <f ca="1">IF(Inventory[[#This Row],[Product Category]]="","",IF(E947&lt;TODAY(),"EXPIRED",
IF(E947&lt;=TODAY()+30,"&lt;30 DAYS",
IF(E947&lt;=TODAY()+60,"&lt;60 DAYS",IF(E947=0,"","")))))</f>
        <v/>
      </c>
      <c r="H947">
        <f>SUMIF(Purchases[Product ID],A947,Purchases[Quantity])</f>
        <v>0</v>
      </c>
      <c r="I947">
        <f>SUMIF(Sales[Product Name],Inventory[[#This Row],[Product Name]],Sales[Quantity Sold])</f>
        <v>0</v>
      </c>
      <c r="J947">
        <f t="shared" si="29"/>
        <v>0</v>
      </c>
      <c r="N947">
        <f t="shared" si="30"/>
        <v>0</v>
      </c>
    </row>
    <row r="948" spans="4:14" ht="15">
      <c r="D948" s="26"/>
      <c r="E948" s="26"/>
      <c r="F948" t="str">
        <f ca="1">IF(Inventory[[#This Row],[Product Category]]="","",IF(E948&lt;TODAY(),"EXPIRED",
IF(E948&lt;=TODAY()+30,"&lt;30 DAYS",
IF(E948&lt;=TODAY()+60,"&lt;60 DAYS",IF(E948=0,"","")))))</f>
        <v/>
      </c>
      <c r="H948">
        <f>SUMIF(Purchases[Product ID],A948,Purchases[Quantity])</f>
        <v>0</v>
      </c>
      <c r="I948">
        <f>SUMIF(Sales[Product Name],Inventory[[#This Row],[Product Name]],Sales[Quantity Sold])</f>
        <v>0</v>
      </c>
      <c r="J948">
        <f t="shared" si="29"/>
        <v>0</v>
      </c>
      <c r="N948">
        <f t="shared" si="30"/>
        <v>0</v>
      </c>
    </row>
    <row r="949" spans="4:14" ht="15">
      <c r="D949" s="26"/>
      <c r="E949" s="26"/>
      <c r="F949" t="str">
        <f ca="1">IF(Inventory[[#This Row],[Product Category]]="","",IF(E949&lt;TODAY(),"EXPIRED",
IF(E949&lt;=TODAY()+30,"&lt;30 DAYS",
IF(E949&lt;=TODAY()+60,"&lt;60 DAYS",IF(E949=0,"","")))))</f>
        <v/>
      </c>
      <c r="H949">
        <f>SUMIF(Purchases[Product ID],A949,Purchases[Quantity])</f>
        <v>0</v>
      </c>
      <c r="I949">
        <f>SUMIF(Sales[Product Name],Inventory[[#This Row],[Product Name]],Sales[Quantity Sold])</f>
        <v>0</v>
      </c>
      <c r="J949">
        <f t="shared" si="29"/>
        <v>0</v>
      </c>
      <c r="N949">
        <f t="shared" si="30"/>
        <v>0</v>
      </c>
    </row>
    <row r="950" spans="4:14" ht="15">
      <c r="D950" s="26"/>
      <c r="E950" s="26"/>
      <c r="F950" t="str">
        <f ca="1">IF(Inventory[[#This Row],[Product Category]]="","",IF(E950&lt;TODAY(),"EXPIRED",
IF(E950&lt;=TODAY()+30,"&lt;30 DAYS",
IF(E950&lt;=TODAY()+60,"&lt;60 DAYS",IF(E950=0,"","")))))</f>
        <v/>
      </c>
      <c r="H950">
        <f>SUMIF(Purchases[Product ID],A950,Purchases[Quantity])</f>
        <v>0</v>
      </c>
      <c r="I950">
        <f>SUMIF(Sales[Product Name],Inventory[[#This Row],[Product Name]],Sales[Quantity Sold])</f>
        <v>0</v>
      </c>
      <c r="J950">
        <f t="shared" si="29"/>
        <v>0</v>
      </c>
      <c r="N950">
        <f t="shared" si="30"/>
        <v>0</v>
      </c>
    </row>
    <row r="951" spans="4:14" ht="15">
      <c r="D951" s="26"/>
      <c r="E951" s="26"/>
      <c r="F951" t="str">
        <f ca="1">IF(Inventory[[#This Row],[Product Category]]="","",IF(E951&lt;TODAY(),"EXPIRED",
IF(E951&lt;=TODAY()+30,"&lt;30 DAYS",
IF(E951&lt;=TODAY()+60,"&lt;60 DAYS",IF(E951=0,"","")))))</f>
        <v/>
      </c>
      <c r="H951">
        <f>SUMIF(Purchases[Product ID],A951,Purchases[Quantity])</f>
        <v>0</v>
      </c>
      <c r="I951">
        <f>SUMIF(Sales[Product Name],Inventory[[#This Row],[Product Name]],Sales[Quantity Sold])</f>
        <v>0</v>
      </c>
      <c r="J951">
        <f t="shared" si="29"/>
        <v>0</v>
      </c>
      <c r="N951">
        <f t="shared" si="30"/>
        <v>0</v>
      </c>
    </row>
    <row r="952" spans="4:14" ht="15">
      <c r="D952" s="26"/>
      <c r="E952" s="26"/>
      <c r="F952" t="str">
        <f ca="1">IF(Inventory[[#This Row],[Product Category]]="","",IF(E952&lt;TODAY(),"EXPIRED",
IF(E952&lt;=TODAY()+30,"&lt;30 DAYS",
IF(E952&lt;=TODAY()+60,"&lt;60 DAYS",IF(E952=0,"","")))))</f>
        <v/>
      </c>
      <c r="H952">
        <f>SUMIF(Purchases[Product ID],A952,Purchases[Quantity])</f>
        <v>0</v>
      </c>
      <c r="I952">
        <f>SUMIF(Sales[Product Name],Inventory[[#This Row],[Product Name]],Sales[Quantity Sold])</f>
        <v>0</v>
      </c>
      <c r="J952">
        <f t="shared" si="29"/>
        <v>0</v>
      </c>
      <c r="N952">
        <f t="shared" si="30"/>
        <v>0</v>
      </c>
    </row>
    <row r="953" spans="4:14" ht="15">
      <c r="D953" s="26"/>
      <c r="E953" s="26"/>
      <c r="F953" t="str">
        <f ca="1">IF(Inventory[[#This Row],[Product Category]]="","",IF(E953&lt;TODAY(),"EXPIRED",
IF(E953&lt;=TODAY()+30,"&lt;30 DAYS",
IF(E953&lt;=TODAY()+60,"&lt;60 DAYS",IF(E953=0,"","")))))</f>
        <v/>
      </c>
      <c r="H953">
        <f>SUMIF(Purchases[Product ID],A953,Purchases[Quantity])</f>
        <v>0</v>
      </c>
      <c r="I953">
        <f>SUMIF(Sales[Product Name],Inventory[[#This Row],[Product Name]],Sales[Quantity Sold])</f>
        <v>0</v>
      </c>
      <c r="J953">
        <f t="shared" si="29"/>
        <v>0</v>
      </c>
      <c r="N953">
        <f t="shared" si="30"/>
        <v>0</v>
      </c>
    </row>
    <row r="954" spans="4:14" ht="15">
      <c r="D954" s="26"/>
      <c r="E954" s="26"/>
      <c r="F954" t="str">
        <f ca="1">IF(Inventory[[#This Row],[Product Category]]="","",IF(E954&lt;TODAY(),"EXPIRED",
IF(E954&lt;=TODAY()+30,"&lt;30 DAYS",
IF(E954&lt;=TODAY()+60,"&lt;60 DAYS",IF(E954=0,"","")))))</f>
        <v/>
      </c>
      <c r="H954">
        <f>SUMIF(Purchases[Product ID],A954,Purchases[Quantity])</f>
        <v>0</v>
      </c>
      <c r="I954">
        <f>SUMIF(Sales[Product Name],Inventory[[#This Row],[Product Name]],Sales[Quantity Sold])</f>
        <v>0</v>
      </c>
      <c r="J954">
        <f t="shared" si="29"/>
        <v>0</v>
      </c>
      <c r="N954">
        <f t="shared" si="30"/>
        <v>0</v>
      </c>
    </row>
    <row r="955" spans="4:14" ht="15">
      <c r="D955" s="26"/>
      <c r="E955" s="26"/>
      <c r="F955" t="str">
        <f ca="1">IF(Inventory[[#This Row],[Product Category]]="","",IF(E955&lt;TODAY(),"EXPIRED",
IF(E955&lt;=TODAY()+30,"&lt;30 DAYS",
IF(E955&lt;=TODAY()+60,"&lt;60 DAYS",IF(E955=0,"","")))))</f>
        <v/>
      </c>
      <c r="H955">
        <f>SUMIF(Purchases[Product ID],A955,Purchases[Quantity])</f>
        <v>0</v>
      </c>
      <c r="I955">
        <f>SUMIF(Sales[Product Name],Inventory[[#This Row],[Product Name]],Sales[Quantity Sold])</f>
        <v>0</v>
      </c>
      <c r="J955">
        <f t="shared" si="29"/>
        <v>0</v>
      </c>
      <c r="N955">
        <f t="shared" si="30"/>
        <v>0</v>
      </c>
    </row>
    <row r="956" spans="4:14" ht="15">
      <c r="D956" s="26"/>
      <c r="E956" s="26"/>
      <c r="F956" t="str">
        <f ca="1">IF(Inventory[[#This Row],[Product Category]]="","",IF(E956&lt;TODAY(),"EXPIRED",
IF(E956&lt;=TODAY()+30,"&lt;30 DAYS",
IF(E956&lt;=TODAY()+60,"&lt;60 DAYS",IF(E956=0,"","")))))</f>
        <v/>
      </c>
      <c r="H956">
        <f>SUMIF(Purchases[Product ID],A956,Purchases[Quantity])</f>
        <v>0</v>
      </c>
      <c r="I956">
        <f>SUMIF(Sales[Product Name],Inventory[[#This Row],[Product Name]],Sales[Quantity Sold])</f>
        <v>0</v>
      </c>
      <c r="J956">
        <f t="shared" si="29"/>
        <v>0</v>
      </c>
      <c r="N956">
        <f t="shared" si="30"/>
        <v>0</v>
      </c>
    </row>
    <row r="957" spans="4:14" ht="15">
      <c r="D957" s="26"/>
      <c r="E957" s="26"/>
      <c r="F957" t="str">
        <f ca="1">IF(Inventory[[#This Row],[Product Category]]="","",IF(E957&lt;TODAY(),"EXPIRED",
IF(E957&lt;=TODAY()+30,"&lt;30 DAYS",
IF(E957&lt;=TODAY()+60,"&lt;60 DAYS",IF(E957=0,"","")))))</f>
        <v/>
      </c>
      <c r="H957">
        <f>SUMIF(Purchases[Product ID],A957,Purchases[Quantity])</f>
        <v>0</v>
      </c>
      <c r="I957">
        <f>SUMIF(Sales[Product Name],Inventory[[#This Row],[Product Name]],Sales[Quantity Sold])</f>
        <v>0</v>
      </c>
      <c r="J957">
        <f t="shared" si="29"/>
        <v>0</v>
      </c>
      <c r="N957">
        <f t="shared" si="30"/>
        <v>0</v>
      </c>
    </row>
    <row r="958" spans="4:14" ht="15">
      <c r="D958" s="26"/>
      <c r="E958" s="26"/>
      <c r="F958" t="str">
        <f ca="1">IF(Inventory[[#This Row],[Product Category]]="","",IF(E958&lt;TODAY(),"EXPIRED",
IF(E958&lt;=TODAY()+30,"&lt;30 DAYS",
IF(E958&lt;=TODAY()+60,"&lt;60 DAYS",IF(E958=0,"","")))))</f>
        <v/>
      </c>
      <c r="H958">
        <f>SUMIF(Purchases[Product ID],A958,Purchases[Quantity])</f>
        <v>0</v>
      </c>
      <c r="I958">
        <f>SUMIF(Sales[Product Name],Inventory[[#This Row],[Product Name]],Sales[Quantity Sold])</f>
        <v>0</v>
      </c>
      <c r="J958">
        <f t="shared" si="29"/>
        <v>0</v>
      </c>
      <c r="N958">
        <f t="shared" si="30"/>
        <v>0</v>
      </c>
    </row>
    <row r="959" spans="4:14" ht="15">
      <c r="D959" s="26"/>
      <c r="E959" s="26"/>
      <c r="F959" t="str">
        <f ca="1">IF(Inventory[[#This Row],[Product Category]]="","",IF(E959&lt;TODAY(),"EXPIRED",
IF(E959&lt;=TODAY()+30,"&lt;30 DAYS",
IF(E959&lt;=TODAY()+60,"&lt;60 DAYS",IF(E959=0,"","")))))</f>
        <v/>
      </c>
      <c r="H959">
        <f>SUMIF(Purchases[Product ID],A959,Purchases[Quantity])</f>
        <v>0</v>
      </c>
      <c r="I959">
        <f>SUMIF(Sales[Product Name],Inventory[[#This Row],[Product Name]],Sales[Quantity Sold])</f>
        <v>0</v>
      </c>
      <c r="J959">
        <f t="shared" si="29"/>
        <v>0</v>
      </c>
      <c r="N959">
        <f t="shared" si="30"/>
        <v>0</v>
      </c>
    </row>
    <row r="960" spans="4:14" ht="15">
      <c r="D960" s="26"/>
      <c r="E960" s="26"/>
      <c r="F960" t="str">
        <f ca="1">IF(Inventory[[#This Row],[Product Category]]="","",IF(E960&lt;TODAY(),"EXPIRED",
IF(E960&lt;=TODAY()+30,"&lt;30 DAYS",
IF(E960&lt;=TODAY()+60,"&lt;60 DAYS",IF(E960=0,"","")))))</f>
        <v/>
      </c>
      <c r="H960">
        <f>SUMIF(Purchases[Product ID],A960,Purchases[Quantity])</f>
        <v>0</v>
      </c>
      <c r="I960">
        <f>SUMIF(Sales[Product Name],Inventory[[#This Row],[Product Name]],Sales[Quantity Sold])</f>
        <v>0</v>
      </c>
      <c r="J960">
        <f t="shared" si="29"/>
        <v>0</v>
      </c>
      <c r="N960">
        <f t="shared" si="30"/>
        <v>0</v>
      </c>
    </row>
    <row r="961" spans="4:14" ht="15">
      <c r="D961" s="26"/>
      <c r="E961" s="26"/>
      <c r="F961" t="str">
        <f ca="1">IF(Inventory[[#This Row],[Product Category]]="","",IF(E961&lt;TODAY(),"EXPIRED",
IF(E961&lt;=TODAY()+30,"&lt;30 DAYS",
IF(E961&lt;=TODAY()+60,"&lt;60 DAYS",IF(E961=0,"","")))))</f>
        <v/>
      </c>
      <c r="H961">
        <f>SUMIF(Purchases[Product ID],A961,Purchases[Quantity])</f>
        <v>0</v>
      </c>
      <c r="I961">
        <f>SUMIF(Sales[Product Name],Inventory[[#This Row],[Product Name]],Sales[Quantity Sold])</f>
        <v>0</v>
      </c>
      <c r="J961">
        <f t="shared" si="29"/>
        <v>0</v>
      </c>
      <c r="N961">
        <f t="shared" si="30"/>
        <v>0</v>
      </c>
    </row>
    <row r="962" spans="4:14" ht="15">
      <c r="D962" s="26"/>
      <c r="E962" s="26"/>
      <c r="F962" t="str">
        <f ca="1">IF(Inventory[[#This Row],[Product Category]]="","",IF(E962&lt;TODAY(),"EXPIRED",
IF(E962&lt;=TODAY()+30,"&lt;30 DAYS",
IF(E962&lt;=TODAY()+60,"&lt;60 DAYS",IF(E962=0,"","")))))</f>
        <v/>
      </c>
      <c r="H962">
        <f>SUMIF(Purchases[Product ID],A962,Purchases[Quantity])</f>
        <v>0</v>
      </c>
      <c r="I962">
        <f>SUMIF(Sales[Product Name],Inventory[[#This Row],[Product Name]],Sales[Quantity Sold])</f>
        <v>0</v>
      </c>
      <c r="J962">
        <f t="shared" si="29"/>
        <v>0</v>
      </c>
      <c r="N962">
        <f t="shared" si="30"/>
        <v>0</v>
      </c>
    </row>
    <row r="963" spans="4:14" ht="15">
      <c r="D963" s="26"/>
      <c r="E963" s="26"/>
      <c r="F963" t="str">
        <f ca="1">IF(Inventory[[#This Row],[Product Category]]="","",IF(E963&lt;TODAY(),"EXPIRED",
IF(E963&lt;=TODAY()+30,"&lt;30 DAYS",
IF(E963&lt;=TODAY()+60,"&lt;60 DAYS",IF(E963=0,"","")))))</f>
        <v/>
      </c>
      <c r="H963">
        <f>SUMIF(Purchases[Product ID],A963,Purchases[Quantity])</f>
        <v>0</v>
      </c>
      <c r="I963">
        <f>SUMIF(Sales[Product Name],Inventory[[#This Row],[Product Name]],Sales[Quantity Sold])</f>
        <v>0</v>
      </c>
      <c r="J963">
        <f t="shared" si="29"/>
        <v>0</v>
      </c>
      <c r="N963">
        <f t="shared" si="30"/>
        <v>0</v>
      </c>
    </row>
    <row r="964" spans="4:14" ht="15">
      <c r="D964" s="26"/>
      <c r="E964" s="26"/>
      <c r="F964" t="str">
        <f ca="1">IF(Inventory[[#This Row],[Product Category]]="","",IF(E964&lt;TODAY(),"EXPIRED",
IF(E964&lt;=TODAY()+30,"&lt;30 DAYS",
IF(E964&lt;=TODAY()+60,"&lt;60 DAYS",IF(E964=0,"","")))))</f>
        <v/>
      </c>
      <c r="H964">
        <f>SUMIF(Purchases[Product ID],A964,Purchases[Quantity])</f>
        <v>0</v>
      </c>
      <c r="I964">
        <f>SUMIF(Sales[Product Name],Inventory[[#This Row],[Product Name]],Sales[Quantity Sold])</f>
        <v>0</v>
      </c>
      <c r="J964">
        <f t="shared" si="29"/>
        <v>0</v>
      </c>
      <c r="N964">
        <f t="shared" si="30"/>
        <v>0</v>
      </c>
    </row>
    <row r="965" spans="4:14" ht="15">
      <c r="D965" s="26"/>
      <c r="E965" s="26"/>
      <c r="F965" t="str">
        <f ca="1">IF(Inventory[[#This Row],[Product Category]]="","",IF(E965&lt;TODAY(),"EXPIRED",
IF(E965&lt;=TODAY()+30,"&lt;30 DAYS",
IF(E965&lt;=TODAY()+60,"&lt;60 DAYS",IF(E965=0,"","")))))</f>
        <v/>
      </c>
      <c r="H965">
        <f>SUMIF(Purchases[Product ID],A965,Purchases[Quantity])</f>
        <v>0</v>
      </c>
      <c r="I965">
        <f>SUMIF(Sales[Product Name],Inventory[[#This Row],[Product Name]],Sales[Quantity Sold])</f>
        <v>0</v>
      </c>
      <c r="J965">
        <f t="shared" si="29"/>
        <v>0</v>
      </c>
      <c r="N965">
        <f t="shared" si="30"/>
        <v>0</v>
      </c>
    </row>
    <row r="966" spans="4:14" ht="15">
      <c r="D966" s="26"/>
      <c r="E966" s="26"/>
      <c r="F966" t="str">
        <f ca="1">IF(Inventory[[#This Row],[Product Category]]="","",IF(E966&lt;TODAY(),"EXPIRED",
IF(E966&lt;=TODAY()+30,"&lt;30 DAYS",
IF(E966&lt;=TODAY()+60,"&lt;60 DAYS",IF(E966=0,"","")))))</f>
        <v/>
      </c>
      <c r="H966">
        <f>SUMIF(Purchases[Product ID],A966,Purchases[Quantity])</f>
        <v>0</v>
      </c>
      <c r="I966">
        <f>SUMIF(Sales[Product Name],Inventory[[#This Row],[Product Name]],Sales[Quantity Sold])</f>
        <v>0</v>
      </c>
      <c r="J966">
        <f t="shared" si="29"/>
        <v>0</v>
      </c>
      <c r="N966">
        <f t="shared" si="30"/>
        <v>0</v>
      </c>
    </row>
    <row r="967" spans="4:14" ht="15">
      <c r="D967" s="26"/>
      <c r="E967" s="26"/>
      <c r="F967" t="str">
        <f ca="1">IF(Inventory[[#This Row],[Product Category]]="","",IF(E967&lt;TODAY(),"EXPIRED",
IF(E967&lt;=TODAY()+30,"&lt;30 DAYS",
IF(E967&lt;=TODAY()+60,"&lt;60 DAYS",IF(E967=0,"","")))))</f>
        <v/>
      </c>
      <c r="H967">
        <f>SUMIF(Purchases[Product ID],A967,Purchases[Quantity])</f>
        <v>0</v>
      </c>
      <c r="I967">
        <f>SUMIF(Sales[Product Name],Inventory[[#This Row],[Product Name]],Sales[Quantity Sold])</f>
        <v>0</v>
      </c>
      <c r="J967">
        <f t="shared" si="29"/>
        <v>0</v>
      </c>
      <c r="N967">
        <f t="shared" si="30"/>
        <v>0</v>
      </c>
    </row>
    <row r="968" spans="4:14" ht="15">
      <c r="D968" s="26"/>
      <c r="E968" s="26"/>
      <c r="F968" t="str">
        <f ca="1">IF(Inventory[[#This Row],[Product Category]]="","",IF(E968&lt;TODAY(),"EXPIRED",
IF(E968&lt;=TODAY()+30,"&lt;30 DAYS",
IF(E968&lt;=TODAY()+60,"&lt;60 DAYS",IF(E968=0,"","")))))</f>
        <v/>
      </c>
      <c r="H968">
        <f>SUMIF(Purchases[Product ID],A968,Purchases[Quantity])</f>
        <v>0</v>
      </c>
      <c r="I968">
        <f>SUMIF(Sales[Product Name],Inventory[[#This Row],[Product Name]],Sales[Quantity Sold])</f>
        <v>0</v>
      </c>
      <c r="J968">
        <f t="shared" ref="J968:J1006" si="31">G968+H968-I968</f>
        <v>0</v>
      </c>
      <c r="N968">
        <f t="shared" ref="N968:N1006" si="32">J968*L968</f>
        <v>0</v>
      </c>
    </row>
    <row r="969" spans="4:14" ht="15">
      <c r="D969" s="26"/>
      <c r="E969" s="26"/>
      <c r="F969" t="str">
        <f ca="1">IF(Inventory[[#This Row],[Product Category]]="","",IF(E969&lt;TODAY(),"EXPIRED",
IF(E969&lt;=TODAY()+30,"&lt;30 DAYS",
IF(E969&lt;=TODAY()+60,"&lt;60 DAYS",IF(E969=0,"","")))))</f>
        <v/>
      </c>
      <c r="H969">
        <f>SUMIF(Purchases[Product ID],A969,Purchases[Quantity])</f>
        <v>0</v>
      </c>
      <c r="I969">
        <f>SUMIF(Sales[Product Name],Inventory[[#This Row],[Product Name]],Sales[Quantity Sold])</f>
        <v>0</v>
      </c>
      <c r="J969">
        <f t="shared" si="31"/>
        <v>0</v>
      </c>
      <c r="N969">
        <f t="shared" si="32"/>
        <v>0</v>
      </c>
    </row>
    <row r="970" spans="4:14" ht="15">
      <c r="D970" s="26"/>
      <c r="E970" s="26"/>
      <c r="F970" t="str">
        <f ca="1">IF(Inventory[[#This Row],[Product Category]]="","",IF(E970&lt;TODAY(),"EXPIRED",
IF(E970&lt;=TODAY()+30,"&lt;30 DAYS",
IF(E970&lt;=TODAY()+60,"&lt;60 DAYS",IF(E970=0,"","")))))</f>
        <v/>
      </c>
      <c r="H970">
        <f>SUMIF(Purchases[Product ID],A970,Purchases[Quantity])</f>
        <v>0</v>
      </c>
      <c r="I970">
        <f>SUMIF(Sales[Product Name],Inventory[[#This Row],[Product Name]],Sales[Quantity Sold])</f>
        <v>0</v>
      </c>
      <c r="J970">
        <f t="shared" si="31"/>
        <v>0</v>
      </c>
      <c r="N970">
        <f t="shared" si="32"/>
        <v>0</v>
      </c>
    </row>
    <row r="971" spans="4:14" ht="15">
      <c r="D971" s="26"/>
      <c r="E971" s="26"/>
      <c r="F971" t="str">
        <f ca="1">IF(Inventory[[#This Row],[Product Category]]="","",IF(E971&lt;TODAY(),"EXPIRED",
IF(E971&lt;=TODAY()+30,"&lt;30 DAYS",
IF(E971&lt;=TODAY()+60,"&lt;60 DAYS",IF(E971=0,"","")))))</f>
        <v/>
      </c>
      <c r="H971">
        <f>SUMIF(Purchases[Product ID],A971,Purchases[Quantity])</f>
        <v>0</v>
      </c>
      <c r="I971">
        <f>SUMIF(Sales[Product Name],Inventory[[#This Row],[Product Name]],Sales[Quantity Sold])</f>
        <v>0</v>
      </c>
      <c r="J971">
        <f t="shared" si="31"/>
        <v>0</v>
      </c>
      <c r="N971">
        <f t="shared" si="32"/>
        <v>0</v>
      </c>
    </row>
    <row r="972" spans="4:14" ht="15">
      <c r="D972" s="26"/>
      <c r="E972" s="26"/>
      <c r="F972" t="str">
        <f ca="1">IF(Inventory[[#This Row],[Product Category]]="","",IF(E972&lt;TODAY(),"EXPIRED",
IF(E972&lt;=TODAY()+30,"&lt;30 DAYS",
IF(E972&lt;=TODAY()+60,"&lt;60 DAYS",IF(E972=0,"","")))))</f>
        <v/>
      </c>
      <c r="H972">
        <f>SUMIF(Purchases[Product ID],A972,Purchases[Quantity])</f>
        <v>0</v>
      </c>
      <c r="I972">
        <f>SUMIF(Sales[Product Name],Inventory[[#This Row],[Product Name]],Sales[Quantity Sold])</f>
        <v>0</v>
      </c>
      <c r="J972">
        <f t="shared" si="31"/>
        <v>0</v>
      </c>
      <c r="N972">
        <f t="shared" si="32"/>
        <v>0</v>
      </c>
    </row>
    <row r="973" spans="4:14" ht="15">
      <c r="D973" s="26"/>
      <c r="E973" s="26"/>
      <c r="F973" t="str">
        <f ca="1">IF(Inventory[[#This Row],[Product Category]]="","",IF(E973&lt;TODAY(),"EXPIRED",
IF(E973&lt;=TODAY()+30,"&lt;30 DAYS",
IF(E973&lt;=TODAY()+60,"&lt;60 DAYS",IF(E973=0,"","")))))</f>
        <v/>
      </c>
      <c r="H973">
        <f>SUMIF(Purchases[Product ID],A973,Purchases[Quantity])</f>
        <v>0</v>
      </c>
      <c r="I973">
        <f>SUMIF(Sales[Product Name],Inventory[[#This Row],[Product Name]],Sales[Quantity Sold])</f>
        <v>0</v>
      </c>
      <c r="J973">
        <f t="shared" si="31"/>
        <v>0</v>
      </c>
      <c r="N973">
        <f t="shared" si="32"/>
        <v>0</v>
      </c>
    </row>
    <row r="974" spans="4:14" ht="15">
      <c r="D974" s="26"/>
      <c r="E974" s="26"/>
      <c r="F974" t="str">
        <f ca="1">IF(Inventory[[#This Row],[Product Category]]="","",IF(E974&lt;TODAY(),"EXPIRED",
IF(E974&lt;=TODAY()+30,"&lt;30 DAYS",
IF(E974&lt;=TODAY()+60,"&lt;60 DAYS",IF(E974=0,"","")))))</f>
        <v/>
      </c>
      <c r="H974">
        <f>SUMIF(Purchases[Product ID],A974,Purchases[Quantity])</f>
        <v>0</v>
      </c>
      <c r="I974">
        <f>SUMIF(Sales[Product Name],Inventory[[#This Row],[Product Name]],Sales[Quantity Sold])</f>
        <v>0</v>
      </c>
      <c r="J974">
        <f t="shared" si="31"/>
        <v>0</v>
      </c>
      <c r="N974">
        <f t="shared" si="32"/>
        <v>0</v>
      </c>
    </row>
    <row r="975" spans="4:14" ht="15">
      <c r="D975" s="26"/>
      <c r="E975" s="26"/>
      <c r="F975" t="str">
        <f ca="1">IF(Inventory[[#This Row],[Product Category]]="","",IF(E975&lt;TODAY(),"EXPIRED",
IF(E975&lt;=TODAY()+30,"&lt;30 DAYS",
IF(E975&lt;=TODAY()+60,"&lt;60 DAYS",IF(E975=0,"","")))))</f>
        <v/>
      </c>
      <c r="H975">
        <f>SUMIF(Purchases[Product ID],A975,Purchases[Quantity])</f>
        <v>0</v>
      </c>
      <c r="I975">
        <f>SUMIF(Sales[Product Name],Inventory[[#This Row],[Product Name]],Sales[Quantity Sold])</f>
        <v>0</v>
      </c>
      <c r="J975">
        <f t="shared" si="31"/>
        <v>0</v>
      </c>
      <c r="N975">
        <f t="shared" si="32"/>
        <v>0</v>
      </c>
    </row>
    <row r="976" spans="4:14" ht="15">
      <c r="D976" s="26"/>
      <c r="E976" s="26"/>
      <c r="F976" t="str">
        <f ca="1">IF(Inventory[[#This Row],[Product Category]]="","",IF(E976&lt;TODAY(),"EXPIRED",
IF(E976&lt;=TODAY()+30,"&lt;30 DAYS",
IF(E976&lt;=TODAY()+60,"&lt;60 DAYS",IF(E976=0,"","")))))</f>
        <v/>
      </c>
      <c r="H976">
        <f>SUMIF(Purchases[Product ID],A976,Purchases[Quantity])</f>
        <v>0</v>
      </c>
      <c r="I976">
        <f>SUMIF(Sales[Product Name],Inventory[[#This Row],[Product Name]],Sales[Quantity Sold])</f>
        <v>0</v>
      </c>
      <c r="J976">
        <f t="shared" si="31"/>
        <v>0</v>
      </c>
      <c r="N976">
        <f t="shared" si="32"/>
        <v>0</v>
      </c>
    </row>
    <row r="977" spans="4:14" ht="15">
      <c r="D977" s="26"/>
      <c r="E977" s="26"/>
      <c r="F977" t="str">
        <f ca="1">IF(Inventory[[#This Row],[Product Category]]="","",IF(E977&lt;TODAY(),"EXPIRED",
IF(E977&lt;=TODAY()+30,"&lt;30 DAYS",
IF(E977&lt;=TODAY()+60,"&lt;60 DAYS",IF(E977=0,"","")))))</f>
        <v/>
      </c>
      <c r="H977">
        <f>SUMIF(Purchases[Product ID],A977,Purchases[Quantity])</f>
        <v>0</v>
      </c>
      <c r="I977">
        <f>SUMIF(Sales[Product Name],Inventory[[#This Row],[Product Name]],Sales[Quantity Sold])</f>
        <v>0</v>
      </c>
      <c r="J977">
        <f t="shared" si="31"/>
        <v>0</v>
      </c>
      <c r="N977">
        <f t="shared" si="32"/>
        <v>0</v>
      </c>
    </row>
    <row r="978" spans="4:14" ht="15">
      <c r="D978" s="26"/>
      <c r="E978" s="26"/>
      <c r="F978" t="str">
        <f ca="1">IF(Inventory[[#This Row],[Product Category]]="","",IF(E978&lt;TODAY(),"EXPIRED",
IF(E978&lt;=TODAY()+30,"&lt;30 DAYS",
IF(E978&lt;=TODAY()+60,"&lt;60 DAYS",IF(E978=0,"","")))))</f>
        <v/>
      </c>
      <c r="H978">
        <f>SUMIF(Purchases[Product ID],A978,Purchases[Quantity])</f>
        <v>0</v>
      </c>
      <c r="I978">
        <f>SUMIF(Sales[Product Name],Inventory[[#This Row],[Product Name]],Sales[Quantity Sold])</f>
        <v>0</v>
      </c>
      <c r="J978">
        <f t="shared" si="31"/>
        <v>0</v>
      </c>
      <c r="N978">
        <f t="shared" si="32"/>
        <v>0</v>
      </c>
    </row>
    <row r="979" spans="4:14" ht="15">
      <c r="D979" s="26"/>
      <c r="E979" s="26"/>
      <c r="F979" t="str">
        <f ca="1">IF(Inventory[[#This Row],[Product Category]]="","",IF(E979&lt;TODAY(),"EXPIRED",
IF(E979&lt;=TODAY()+30,"&lt;30 DAYS",
IF(E979&lt;=TODAY()+60,"&lt;60 DAYS",IF(E979=0,"","")))))</f>
        <v/>
      </c>
      <c r="H979">
        <f>SUMIF(Purchases[Product ID],A979,Purchases[Quantity])</f>
        <v>0</v>
      </c>
      <c r="I979">
        <f>SUMIF(Sales[Product Name],Inventory[[#This Row],[Product Name]],Sales[Quantity Sold])</f>
        <v>0</v>
      </c>
      <c r="J979">
        <f t="shared" si="31"/>
        <v>0</v>
      </c>
      <c r="N979">
        <f t="shared" si="32"/>
        <v>0</v>
      </c>
    </row>
    <row r="980" spans="4:14" ht="15">
      <c r="D980" s="26"/>
      <c r="E980" s="26"/>
      <c r="F980" t="str">
        <f ca="1">IF(Inventory[[#This Row],[Product Category]]="","",IF(E980&lt;TODAY(),"EXPIRED",
IF(E980&lt;=TODAY()+30,"&lt;30 DAYS",
IF(E980&lt;=TODAY()+60,"&lt;60 DAYS",IF(E980=0,"","")))))</f>
        <v/>
      </c>
      <c r="H980">
        <f>SUMIF(Purchases[Product ID],A980,Purchases[Quantity])</f>
        <v>0</v>
      </c>
      <c r="I980">
        <f>SUMIF(Sales[Product Name],Inventory[[#This Row],[Product Name]],Sales[Quantity Sold])</f>
        <v>0</v>
      </c>
      <c r="J980">
        <f t="shared" si="31"/>
        <v>0</v>
      </c>
      <c r="N980">
        <f t="shared" si="32"/>
        <v>0</v>
      </c>
    </row>
    <row r="981" spans="4:14" ht="15">
      <c r="D981" s="26"/>
      <c r="E981" s="26"/>
      <c r="F981" t="str">
        <f ca="1">IF(Inventory[[#This Row],[Product Category]]="","",IF(E981&lt;TODAY(),"EXPIRED",
IF(E981&lt;=TODAY()+30,"&lt;30 DAYS",
IF(E981&lt;=TODAY()+60,"&lt;60 DAYS",IF(E981=0,"","")))))</f>
        <v/>
      </c>
      <c r="H981">
        <f>SUMIF(Purchases[Product ID],A981,Purchases[Quantity])</f>
        <v>0</v>
      </c>
      <c r="I981">
        <f>SUMIF(Sales[Product Name],Inventory[[#This Row],[Product Name]],Sales[Quantity Sold])</f>
        <v>0</v>
      </c>
      <c r="J981">
        <f t="shared" si="31"/>
        <v>0</v>
      </c>
      <c r="N981">
        <f t="shared" si="32"/>
        <v>0</v>
      </c>
    </row>
    <row r="982" spans="4:14" ht="15">
      <c r="D982" s="26"/>
      <c r="E982" s="26"/>
      <c r="F982" t="str">
        <f ca="1">IF(Inventory[[#This Row],[Product Category]]="","",IF(E982&lt;TODAY(),"EXPIRED",
IF(E982&lt;=TODAY()+30,"&lt;30 DAYS",
IF(E982&lt;=TODAY()+60,"&lt;60 DAYS",IF(E982=0,"","")))))</f>
        <v/>
      </c>
      <c r="H982">
        <f>SUMIF(Purchases[Product ID],A982,Purchases[Quantity])</f>
        <v>0</v>
      </c>
      <c r="I982">
        <f>SUMIF(Sales[Product Name],Inventory[[#This Row],[Product Name]],Sales[Quantity Sold])</f>
        <v>0</v>
      </c>
      <c r="J982">
        <f t="shared" si="31"/>
        <v>0</v>
      </c>
      <c r="N982">
        <f t="shared" si="32"/>
        <v>0</v>
      </c>
    </row>
    <row r="983" spans="4:14" ht="15">
      <c r="D983" s="26"/>
      <c r="E983" s="26"/>
      <c r="F983" t="str">
        <f ca="1">IF(Inventory[[#This Row],[Product Category]]="","",IF(E983&lt;TODAY(),"EXPIRED",
IF(E983&lt;=TODAY()+30,"&lt;30 DAYS",
IF(E983&lt;=TODAY()+60,"&lt;60 DAYS",IF(E983=0,"","")))))</f>
        <v/>
      </c>
      <c r="H983">
        <f>SUMIF(Purchases[Product ID],A983,Purchases[Quantity])</f>
        <v>0</v>
      </c>
      <c r="I983">
        <f>SUMIF(Sales[Product Name],Inventory[[#This Row],[Product Name]],Sales[Quantity Sold])</f>
        <v>0</v>
      </c>
      <c r="J983">
        <f t="shared" si="31"/>
        <v>0</v>
      </c>
      <c r="N983">
        <f t="shared" si="32"/>
        <v>0</v>
      </c>
    </row>
    <row r="984" spans="4:14" ht="15">
      <c r="D984" s="26"/>
      <c r="E984" s="26"/>
      <c r="F984" t="str">
        <f ca="1">IF(Inventory[[#This Row],[Product Category]]="","",IF(E984&lt;TODAY(),"EXPIRED",
IF(E984&lt;=TODAY()+30,"&lt;30 DAYS",
IF(E984&lt;=TODAY()+60,"&lt;60 DAYS",IF(E984=0,"","")))))</f>
        <v/>
      </c>
      <c r="H984">
        <f>SUMIF(Purchases[Product ID],A984,Purchases[Quantity])</f>
        <v>0</v>
      </c>
      <c r="I984">
        <f>SUMIF(Sales[Product Name],Inventory[[#This Row],[Product Name]],Sales[Quantity Sold])</f>
        <v>0</v>
      </c>
      <c r="J984">
        <f t="shared" si="31"/>
        <v>0</v>
      </c>
      <c r="N984">
        <f t="shared" si="32"/>
        <v>0</v>
      </c>
    </row>
    <row r="985" spans="4:14" ht="15">
      <c r="D985" s="26"/>
      <c r="E985" s="26"/>
      <c r="F985" t="str">
        <f ca="1">IF(Inventory[[#This Row],[Product Category]]="","",IF(E985&lt;TODAY(),"EXPIRED",
IF(E985&lt;=TODAY()+30,"&lt;30 DAYS",
IF(E985&lt;=TODAY()+60,"&lt;60 DAYS",IF(E985=0,"","")))))</f>
        <v/>
      </c>
      <c r="H985">
        <f>SUMIF(Purchases[Product ID],A985,Purchases[Quantity])</f>
        <v>0</v>
      </c>
      <c r="I985">
        <f>SUMIF(Sales[Product Name],Inventory[[#This Row],[Product Name]],Sales[Quantity Sold])</f>
        <v>0</v>
      </c>
      <c r="J985">
        <f t="shared" si="31"/>
        <v>0</v>
      </c>
      <c r="N985">
        <f t="shared" si="32"/>
        <v>0</v>
      </c>
    </row>
    <row r="986" spans="4:14" ht="15">
      <c r="D986" s="26"/>
      <c r="E986" s="26"/>
      <c r="F986" t="str">
        <f ca="1">IF(Inventory[[#This Row],[Product Category]]="","",IF(E986&lt;TODAY(),"EXPIRED",
IF(E986&lt;=TODAY()+30,"&lt;30 DAYS",
IF(E986&lt;=TODAY()+60,"&lt;60 DAYS",IF(E986=0,"","")))))</f>
        <v/>
      </c>
      <c r="H986">
        <f>SUMIF(Purchases[Product ID],A986,Purchases[Quantity])</f>
        <v>0</v>
      </c>
      <c r="I986">
        <f>SUMIF(Sales[Product Name],Inventory[[#This Row],[Product Name]],Sales[Quantity Sold])</f>
        <v>0</v>
      </c>
      <c r="J986">
        <f t="shared" si="31"/>
        <v>0</v>
      </c>
      <c r="N986">
        <f t="shared" si="32"/>
        <v>0</v>
      </c>
    </row>
    <row r="987" spans="4:14" ht="15">
      <c r="D987" s="26"/>
      <c r="E987" s="26"/>
      <c r="F987" t="str">
        <f ca="1">IF(Inventory[[#This Row],[Product Category]]="","",IF(E987&lt;TODAY(),"EXPIRED",
IF(E987&lt;=TODAY()+30,"&lt;30 DAYS",
IF(E987&lt;=TODAY()+60,"&lt;60 DAYS",IF(E987=0,"","")))))</f>
        <v/>
      </c>
      <c r="H987">
        <f>SUMIF(Purchases[Product ID],A987,Purchases[Quantity])</f>
        <v>0</v>
      </c>
      <c r="I987">
        <f>SUMIF(Sales[Product Name],Inventory[[#This Row],[Product Name]],Sales[Quantity Sold])</f>
        <v>0</v>
      </c>
      <c r="J987">
        <f t="shared" si="31"/>
        <v>0</v>
      </c>
      <c r="N987">
        <f t="shared" si="32"/>
        <v>0</v>
      </c>
    </row>
    <row r="988" spans="4:14" ht="15">
      <c r="D988" s="26"/>
      <c r="E988" s="26"/>
      <c r="F988" t="str">
        <f ca="1">IF(Inventory[[#This Row],[Product Category]]="","",IF(E988&lt;TODAY(),"EXPIRED",
IF(E988&lt;=TODAY()+30,"&lt;30 DAYS",
IF(E988&lt;=TODAY()+60,"&lt;60 DAYS",IF(E988=0,"","")))))</f>
        <v/>
      </c>
      <c r="H988">
        <f>SUMIF(Purchases[Product ID],A988,Purchases[Quantity])</f>
        <v>0</v>
      </c>
      <c r="I988">
        <f>SUMIF(Sales[Product Name],Inventory[[#This Row],[Product Name]],Sales[Quantity Sold])</f>
        <v>0</v>
      </c>
      <c r="J988">
        <f t="shared" si="31"/>
        <v>0</v>
      </c>
      <c r="N988">
        <f t="shared" si="32"/>
        <v>0</v>
      </c>
    </row>
    <row r="989" spans="4:14" ht="15">
      <c r="D989" s="26"/>
      <c r="E989" s="26"/>
      <c r="F989" t="str">
        <f ca="1">IF(Inventory[[#This Row],[Product Category]]="","",IF(E989&lt;TODAY(),"EXPIRED",
IF(E989&lt;=TODAY()+30,"&lt;30 DAYS",
IF(E989&lt;=TODAY()+60,"&lt;60 DAYS",IF(E989=0,"","")))))</f>
        <v/>
      </c>
      <c r="H989">
        <f>SUMIF(Purchases[Product ID],A989,Purchases[Quantity])</f>
        <v>0</v>
      </c>
      <c r="I989">
        <f>SUMIF(Sales[Product Name],Inventory[[#This Row],[Product Name]],Sales[Quantity Sold])</f>
        <v>0</v>
      </c>
      <c r="J989">
        <f t="shared" si="31"/>
        <v>0</v>
      </c>
      <c r="N989">
        <f t="shared" si="32"/>
        <v>0</v>
      </c>
    </row>
    <row r="990" spans="4:14" ht="15">
      <c r="D990" s="26"/>
      <c r="E990" s="26"/>
      <c r="F990" t="str">
        <f ca="1">IF(Inventory[[#This Row],[Product Category]]="","",IF(E990&lt;TODAY(),"EXPIRED",
IF(E990&lt;=TODAY()+30,"&lt;30 DAYS",
IF(E990&lt;=TODAY()+60,"&lt;60 DAYS",IF(E990=0,"","")))))</f>
        <v/>
      </c>
      <c r="H990">
        <f>SUMIF(Purchases[Product ID],A990,Purchases[Quantity])</f>
        <v>0</v>
      </c>
      <c r="I990">
        <f>SUMIF(Sales[Product Name],Inventory[[#This Row],[Product Name]],Sales[Quantity Sold])</f>
        <v>0</v>
      </c>
      <c r="J990">
        <f t="shared" si="31"/>
        <v>0</v>
      </c>
      <c r="N990">
        <f t="shared" si="32"/>
        <v>0</v>
      </c>
    </row>
    <row r="991" spans="4:14" ht="15">
      <c r="D991" s="26"/>
      <c r="E991" s="26"/>
      <c r="F991" t="str">
        <f ca="1">IF(Inventory[[#This Row],[Product Category]]="","",IF(E991&lt;TODAY(),"EXPIRED",
IF(E991&lt;=TODAY()+30,"&lt;30 DAYS",
IF(E991&lt;=TODAY()+60,"&lt;60 DAYS",IF(E991=0,"","")))))</f>
        <v/>
      </c>
      <c r="H991">
        <f>SUMIF(Purchases[Product ID],A991,Purchases[Quantity])</f>
        <v>0</v>
      </c>
      <c r="I991">
        <f>SUMIF(Sales[Product Name],Inventory[[#This Row],[Product Name]],Sales[Quantity Sold])</f>
        <v>0</v>
      </c>
      <c r="J991">
        <f t="shared" si="31"/>
        <v>0</v>
      </c>
      <c r="N991">
        <f t="shared" si="32"/>
        <v>0</v>
      </c>
    </row>
    <row r="992" spans="4:14" ht="15">
      <c r="D992" s="26"/>
      <c r="E992" s="26"/>
      <c r="F992" t="str">
        <f ca="1">IF(Inventory[[#This Row],[Product Category]]="","",IF(E992&lt;TODAY(),"EXPIRED",
IF(E992&lt;=TODAY()+30,"&lt;30 DAYS",
IF(E992&lt;=TODAY()+60,"&lt;60 DAYS",IF(E992=0,"","")))))</f>
        <v/>
      </c>
      <c r="H992">
        <f>SUMIF(Purchases[Product ID],A992,Purchases[Quantity])</f>
        <v>0</v>
      </c>
      <c r="I992">
        <f>SUMIF(Sales[Product Name],Inventory[[#This Row],[Product Name]],Sales[Quantity Sold])</f>
        <v>0</v>
      </c>
      <c r="J992">
        <f t="shared" si="31"/>
        <v>0</v>
      </c>
      <c r="N992">
        <f t="shared" si="32"/>
        <v>0</v>
      </c>
    </row>
    <row r="993" spans="4:14" ht="15">
      <c r="D993" s="26"/>
      <c r="E993" s="26"/>
      <c r="F993" t="str">
        <f ca="1">IF(Inventory[[#This Row],[Product Category]]="","",IF(E993&lt;TODAY(),"EXPIRED",
IF(E993&lt;=TODAY()+30,"&lt;30 DAYS",
IF(E993&lt;=TODAY()+60,"&lt;60 DAYS",IF(E993=0,"","")))))</f>
        <v/>
      </c>
      <c r="H993">
        <f>SUMIF(Purchases[Product ID],A993,Purchases[Quantity])</f>
        <v>0</v>
      </c>
      <c r="I993">
        <f>SUMIF(Sales[Product Name],Inventory[[#This Row],[Product Name]],Sales[Quantity Sold])</f>
        <v>0</v>
      </c>
      <c r="J993">
        <f t="shared" si="31"/>
        <v>0</v>
      </c>
      <c r="N993">
        <f t="shared" si="32"/>
        <v>0</v>
      </c>
    </row>
    <row r="994" spans="4:14" ht="15">
      <c r="D994" s="26"/>
      <c r="E994" s="26"/>
      <c r="F994" t="str">
        <f ca="1">IF(Inventory[[#This Row],[Product Category]]="","",IF(E994&lt;TODAY(),"EXPIRED",
IF(E994&lt;=TODAY()+30,"&lt;30 DAYS",
IF(E994&lt;=TODAY()+60,"&lt;60 DAYS",IF(E994=0,"","")))))</f>
        <v/>
      </c>
      <c r="H994">
        <f>SUMIF(Purchases[Product ID],A994,Purchases[Quantity])</f>
        <v>0</v>
      </c>
      <c r="I994">
        <f>SUMIF(Sales[Product Name],Inventory[[#This Row],[Product Name]],Sales[Quantity Sold])</f>
        <v>0</v>
      </c>
      <c r="J994">
        <f t="shared" si="31"/>
        <v>0</v>
      </c>
      <c r="N994">
        <f t="shared" si="32"/>
        <v>0</v>
      </c>
    </row>
    <row r="995" spans="4:14" ht="15">
      <c r="D995" s="26"/>
      <c r="E995" s="26"/>
      <c r="F995" t="str">
        <f ca="1">IF(Inventory[[#This Row],[Product Category]]="","",IF(E995&lt;TODAY(),"EXPIRED",
IF(E995&lt;=TODAY()+30,"&lt;30 DAYS",
IF(E995&lt;=TODAY()+60,"&lt;60 DAYS",IF(E995=0,"","")))))</f>
        <v/>
      </c>
      <c r="H995">
        <f>SUMIF(Purchases[Product ID],A995,Purchases[Quantity])</f>
        <v>0</v>
      </c>
      <c r="I995">
        <f>SUMIF(Sales[Product Name],Inventory[[#This Row],[Product Name]],Sales[Quantity Sold])</f>
        <v>0</v>
      </c>
      <c r="J995">
        <f t="shared" si="31"/>
        <v>0</v>
      </c>
      <c r="N995">
        <f t="shared" si="32"/>
        <v>0</v>
      </c>
    </row>
    <row r="996" spans="4:14" ht="15">
      <c r="D996" s="26"/>
      <c r="E996" s="26"/>
      <c r="F996" t="str">
        <f ca="1">IF(Inventory[[#This Row],[Product Category]]="","",IF(E996&lt;TODAY(),"EXPIRED",
IF(E996&lt;=TODAY()+30,"&lt;30 DAYS",
IF(E996&lt;=TODAY()+60,"&lt;60 DAYS",IF(E996=0,"","")))))</f>
        <v/>
      </c>
      <c r="H996">
        <f>SUMIF(Purchases[Product ID],A996,Purchases[Quantity])</f>
        <v>0</v>
      </c>
      <c r="I996">
        <f>SUMIF(Sales[Product Name],Inventory[[#This Row],[Product Name]],Sales[Quantity Sold])</f>
        <v>0</v>
      </c>
      <c r="J996">
        <f t="shared" si="31"/>
        <v>0</v>
      </c>
      <c r="N996">
        <f t="shared" si="32"/>
        <v>0</v>
      </c>
    </row>
    <row r="997" spans="4:14" ht="15">
      <c r="D997" s="26"/>
      <c r="E997" s="26"/>
      <c r="F997" t="str">
        <f ca="1">IF(Inventory[[#This Row],[Product Category]]="","",IF(E997&lt;TODAY(),"EXPIRED",
IF(E997&lt;=TODAY()+30,"&lt;30 DAYS",
IF(E997&lt;=TODAY()+60,"&lt;60 DAYS",IF(E997=0,"","")))))</f>
        <v/>
      </c>
      <c r="H997">
        <f>SUMIF(Purchases[Product ID],A997,Purchases[Quantity])</f>
        <v>0</v>
      </c>
      <c r="I997">
        <f>SUMIF(Sales[Product Name],Inventory[[#This Row],[Product Name]],Sales[Quantity Sold])</f>
        <v>0</v>
      </c>
      <c r="J997">
        <f t="shared" si="31"/>
        <v>0</v>
      </c>
      <c r="N997">
        <f t="shared" si="32"/>
        <v>0</v>
      </c>
    </row>
    <row r="998" spans="4:14" ht="15">
      <c r="D998" s="26"/>
      <c r="E998" s="26"/>
      <c r="F998" t="str">
        <f ca="1">IF(Inventory[[#This Row],[Product Category]]="","",IF(E998&lt;TODAY(),"EXPIRED",
IF(E998&lt;=TODAY()+30,"&lt;30 DAYS",
IF(E998&lt;=TODAY()+60,"&lt;60 DAYS",IF(E998=0,"","")))))</f>
        <v/>
      </c>
      <c r="H998">
        <f>SUMIF(Purchases[Product ID],A998,Purchases[Quantity])</f>
        <v>0</v>
      </c>
      <c r="I998">
        <f>SUMIF(Sales[Product Name],Inventory[[#This Row],[Product Name]],Sales[Quantity Sold])</f>
        <v>0</v>
      </c>
      <c r="J998">
        <f t="shared" si="31"/>
        <v>0</v>
      </c>
      <c r="N998">
        <f t="shared" si="32"/>
        <v>0</v>
      </c>
    </row>
    <row r="999" spans="4:14" ht="15">
      <c r="D999" s="26"/>
      <c r="E999" s="26"/>
      <c r="F999" t="str">
        <f ca="1">IF(Inventory[[#This Row],[Product Category]]="","",IF(E999&lt;TODAY(),"EXPIRED",
IF(E999&lt;=TODAY()+30,"&lt;30 DAYS",
IF(E999&lt;=TODAY()+60,"&lt;60 DAYS",IF(E999=0,"","")))))</f>
        <v/>
      </c>
      <c r="H999">
        <f>SUMIF(Purchases[Product ID],A999,Purchases[Quantity])</f>
        <v>0</v>
      </c>
      <c r="I999">
        <f>SUMIF(Sales[Product Name],Inventory[[#This Row],[Product Name]],Sales[Quantity Sold])</f>
        <v>0</v>
      </c>
      <c r="J999">
        <f t="shared" si="31"/>
        <v>0</v>
      </c>
      <c r="N999">
        <f t="shared" si="32"/>
        <v>0</v>
      </c>
    </row>
    <row r="1000" spans="4:14" ht="15">
      <c r="D1000" s="26"/>
      <c r="E1000" s="26"/>
      <c r="F1000" t="str">
        <f ca="1">IF(Inventory[[#This Row],[Product Category]]="","",IF(E1000&lt;TODAY(),"EXPIRED",
IF(E1000&lt;=TODAY()+30,"&lt;30 DAYS",
IF(E1000&lt;=TODAY()+60,"&lt;60 DAYS",IF(E1000=0,"","")))))</f>
        <v/>
      </c>
      <c r="H1000">
        <f>SUMIF(Purchases[Product ID],A1000,Purchases[Quantity])</f>
        <v>0</v>
      </c>
      <c r="I1000">
        <f>SUMIF(Sales[Product Name],Inventory[[#This Row],[Product Name]],Sales[Quantity Sold])</f>
        <v>0</v>
      </c>
      <c r="J1000">
        <f t="shared" si="31"/>
        <v>0</v>
      </c>
      <c r="N1000">
        <f t="shared" si="32"/>
        <v>0</v>
      </c>
    </row>
    <row r="1001" spans="4:14" ht="15">
      <c r="D1001" s="26"/>
      <c r="E1001" s="26"/>
      <c r="F1001" t="str">
        <f ca="1">IF(Inventory[[#This Row],[Product Category]]="","",IF(E1001&lt;TODAY(),"EXPIRED",
IF(E1001&lt;=TODAY()+30,"&lt;30 DAYS",
IF(E1001&lt;=TODAY()+60,"&lt;60 DAYS",IF(E1001=0,"","")))))</f>
        <v/>
      </c>
      <c r="H1001">
        <f>SUMIF(Purchases[Product ID],A1001,Purchases[Quantity])</f>
        <v>0</v>
      </c>
      <c r="I1001">
        <f>SUMIF(Sales[Product Name],Inventory[[#This Row],[Product Name]],Sales[Quantity Sold])</f>
        <v>0</v>
      </c>
      <c r="J1001">
        <f t="shared" si="31"/>
        <v>0</v>
      </c>
      <c r="N1001">
        <f t="shared" si="32"/>
        <v>0</v>
      </c>
    </row>
    <row r="1002" spans="4:14" ht="15">
      <c r="D1002" s="26"/>
      <c r="E1002" s="26"/>
      <c r="F1002" t="str">
        <f ca="1">IF(Inventory[[#This Row],[Product Category]]="","",IF(E1002&lt;TODAY(),"EXPIRED",
IF(E1002&lt;=TODAY()+30,"&lt;30 DAYS",
IF(E1002&lt;=TODAY()+60,"&lt;60 DAYS",IF(E1002=0,"","")))))</f>
        <v/>
      </c>
      <c r="H1002">
        <f>SUMIF(Purchases[Product ID],A1002,Purchases[Quantity])</f>
        <v>0</v>
      </c>
      <c r="I1002">
        <f>SUMIF(Sales[Product Name],Inventory[[#This Row],[Product Name]],Sales[Quantity Sold])</f>
        <v>0</v>
      </c>
      <c r="J1002">
        <f t="shared" si="31"/>
        <v>0</v>
      </c>
      <c r="N1002">
        <f t="shared" si="32"/>
        <v>0</v>
      </c>
    </row>
    <row r="1003" spans="4:14" ht="15">
      <c r="D1003" s="26"/>
      <c r="E1003" s="26"/>
      <c r="F1003" t="str">
        <f ca="1">IF(Inventory[[#This Row],[Product Category]]="","",IF(E1003&lt;TODAY(),"EXPIRED",
IF(E1003&lt;=TODAY()+30,"&lt;30 DAYS",
IF(E1003&lt;=TODAY()+60,"&lt;60 DAYS",IF(E1003=0,"","")))))</f>
        <v/>
      </c>
      <c r="H1003">
        <f>SUMIF(Purchases[Product ID],A1003,Purchases[Quantity])</f>
        <v>0</v>
      </c>
      <c r="I1003">
        <f>SUMIF(Sales[Product Name],Inventory[[#This Row],[Product Name]],Sales[Quantity Sold])</f>
        <v>0</v>
      </c>
      <c r="J1003">
        <f t="shared" si="31"/>
        <v>0</v>
      </c>
      <c r="N1003">
        <f t="shared" si="32"/>
        <v>0</v>
      </c>
    </row>
    <row r="1004" spans="4:14" ht="15">
      <c r="D1004" s="26"/>
      <c r="E1004" s="26"/>
      <c r="F1004" t="str">
        <f ca="1">IF(Inventory[[#This Row],[Product Category]]="","",IF(E1004&lt;TODAY(),"EXPIRED",
IF(E1004&lt;=TODAY()+30,"&lt;30 DAYS",
IF(E1004&lt;=TODAY()+60,"&lt;60 DAYS",IF(E1004=0,"","")))))</f>
        <v/>
      </c>
      <c r="H1004">
        <f>SUMIF(Purchases[Product ID],A1004,Purchases[Quantity])</f>
        <v>0</v>
      </c>
      <c r="I1004">
        <f>SUMIF(Sales[Product Name],Inventory[[#This Row],[Product Name]],Sales[Quantity Sold])</f>
        <v>0</v>
      </c>
      <c r="J1004">
        <f t="shared" si="31"/>
        <v>0</v>
      </c>
      <c r="N1004">
        <f t="shared" si="32"/>
        <v>0</v>
      </c>
    </row>
    <row r="1005" spans="4:14" ht="15">
      <c r="D1005" s="26"/>
      <c r="E1005" s="26"/>
      <c r="F1005" t="str">
        <f ca="1">IF(Inventory[[#This Row],[Product Category]]="","",IF(E1005&lt;TODAY(),"EXPIRED",
IF(E1005&lt;=TODAY()+30,"&lt;30 DAYS",
IF(E1005&lt;=TODAY()+60,"&lt;60 DAYS",IF(E1005=0,"","")))))</f>
        <v/>
      </c>
      <c r="H1005">
        <f>SUMIF(Purchases[Product ID],A1005,Purchases[Quantity])</f>
        <v>0</v>
      </c>
      <c r="I1005">
        <f>SUMIF(Sales[Product Name],Inventory[[#This Row],[Product Name]],Sales[Quantity Sold])</f>
        <v>0</v>
      </c>
      <c r="J1005">
        <f t="shared" si="31"/>
        <v>0</v>
      </c>
      <c r="N1005">
        <f t="shared" si="32"/>
        <v>0</v>
      </c>
    </row>
    <row r="1006" spans="4:14" ht="15">
      <c r="D1006" s="26"/>
      <c r="E1006" s="26"/>
      <c r="F1006" t="str">
        <f ca="1">IF(Inventory[[#This Row],[Product Category]]="","",IF(E1006&lt;TODAY(),"EXPIRED",
IF(E1006&lt;=TODAY()+30,"&lt;30 DAYS",
IF(E1006&lt;=TODAY()+60,"&lt;60 DAYS",IF(E1006=0,"","")))))</f>
        <v/>
      </c>
      <c r="H1006">
        <f>SUMIF(Purchases[Product ID],A1006,Purchases[Quantity])</f>
        <v>0</v>
      </c>
      <c r="I1006">
        <f>SUMIF(Sales[Product Name],Inventory[[#This Row],[Product Name]],Sales[Quantity Sold])</f>
        <v>0</v>
      </c>
      <c r="J1006">
        <f t="shared" si="31"/>
        <v>0</v>
      </c>
      <c r="N1006">
        <f t="shared" si="32"/>
        <v>0</v>
      </c>
    </row>
  </sheetData>
  <mergeCells count="5">
    <mergeCell ref="D3:D4"/>
    <mergeCell ref="E3:E4"/>
    <mergeCell ref="F3:F4"/>
    <mergeCell ref="G3:G4"/>
    <mergeCell ref="H3:H4"/>
  </mergeCells>
  <phoneticPr fontId="5" type="noConversion"/>
  <conditionalFormatting sqref="F1:F6 F8:F1048576">
    <cfRule type="containsText" dxfId="25" priority="5" operator="containsText" text="EXPIRED">
      <formula>NOT(ISERROR(SEARCH("EXPIRED",F1)))</formula>
    </cfRule>
  </conditionalFormatting>
  <conditionalFormatting sqref="F1:F6 F8:F1048576">
    <cfRule type="containsText" dxfId="24" priority="3" operator="containsText" text="&lt;30 DAYS">
      <formula>NOT(ISERROR(SEARCH("&lt;30 DAYS",F1)))</formula>
    </cfRule>
  </conditionalFormatting>
  <conditionalFormatting sqref="F1:F6 F8:F1048576">
    <cfRule type="containsText" dxfId="23" priority="2" operator="containsText" text="&lt;60 DAYS">
      <formula>NOT(ISERROR(SEARCH("&lt;60 DAYS",F1)))</formula>
    </cfRule>
  </conditionalFormatting>
  <dataValidations disablePrompts="1" count="1">
    <dataValidation type="list" allowBlank="1" showInputMessage="1" showErrorMessage="1" sqref="M8" xr:uid="{21060D72-659B-4339-80F6-C550C0FEC4F5}">
      <formula1>"800,700,500"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CDF521D-1A39-489A-A311-E2127702DB3F}">
          <x14:formula1>
            <xm:f>Directory!$A$3:$A$9</xm:f>
          </x14:formula1>
          <xm:sqref>K8:K1006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0"/>
  <sheetViews>
    <sheetView topLeftCell="A5" zoomScale="115" zoomScaleNormal="115" workbookViewId="0">
      <selection activeCell="G16" sqref="G16"/>
    </sheetView>
  </sheetViews>
  <sheetFormatPr defaultRowHeight="15" customHeight="1"/>
  <cols>
    <col min="1" max="1" width="7.140625" bestFit="1" customWidth="1"/>
    <col min="2" max="2" width="12.28515625" customWidth="1"/>
    <col min="3" max="3" width="14" customWidth="1"/>
    <col min="4" max="4" width="14.140625" customWidth="1"/>
    <col min="5" max="5" width="15.140625" bestFit="1" customWidth="1"/>
    <col min="6" max="6" width="10.42578125" bestFit="1" customWidth="1"/>
    <col min="7" max="7" width="13.42578125" customWidth="1"/>
    <col min="8" max="8" width="18" customWidth="1"/>
  </cols>
  <sheetData>
    <row r="1" spans="1:8">
      <c r="A1" s="1" t="s">
        <v>76</v>
      </c>
      <c r="B1" s="1" t="s">
        <v>77</v>
      </c>
      <c r="C1" s="1" t="s">
        <v>78</v>
      </c>
      <c r="D1" s="1" t="s">
        <v>5</v>
      </c>
      <c r="E1" s="1" t="s">
        <v>6</v>
      </c>
      <c r="F1" s="1" t="s">
        <v>79</v>
      </c>
      <c r="G1" s="1" t="s">
        <v>16</v>
      </c>
      <c r="H1" s="1" t="s">
        <v>80</v>
      </c>
    </row>
    <row r="2" spans="1:8">
      <c r="B2" t="s">
        <v>81</v>
      </c>
      <c r="D2" s="3" t="str">
        <f>_xlfn.XLOOKUP(Purchases[[#This Row],[Product Name]],Inventory[Product Name],Inventory[Product ID])</f>
        <v>CM001</v>
      </c>
      <c r="E2" s="4" t="s">
        <v>22</v>
      </c>
      <c r="F2">
        <v>10</v>
      </c>
      <c r="G2">
        <v>450</v>
      </c>
      <c r="H2">
        <f t="shared" ref="H2:H65" si="0">IF((F2*G2)&lt;&gt;0,F2*G2,"")</f>
        <v>4500</v>
      </c>
    </row>
    <row r="3" spans="1:8">
      <c r="B3" t="s">
        <v>82</v>
      </c>
      <c r="D3" s="3" t="str">
        <f>_xlfn.XLOOKUP(Purchases[[#This Row],[Product Name]],Inventory[Product Name],Inventory[Product ID])</f>
        <v>CM002</v>
      </c>
      <c r="E3" s="5" t="s">
        <v>26</v>
      </c>
      <c r="F3">
        <v>17</v>
      </c>
      <c r="G3">
        <v>300</v>
      </c>
      <c r="H3">
        <f t="shared" si="0"/>
        <v>5100</v>
      </c>
    </row>
    <row r="4" spans="1:8">
      <c r="B4" t="s">
        <v>83</v>
      </c>
      <c r="D4" s="3" t="str">
        <f>_xlfn.XLOOKUP(Purchases[[#This Row],[Product Name]],Inventory[Product Name],Inventory[Product ID])</f>
        <v>CM003</v>
      </c>
      <c r="E4" s="4" t="s">
        <v>28</v>
      </c>
      <c r="F4">
        <v>10</v>
      </c>
      <c r="G4">
        <v>3500</v>
      </c>
      <c r="H4">
        <f t="shared" si="0"/>
        <v>35000</v>
      </c>
    </row>
    <row r="5" spans="1:8">
      <c r="B5" t="s">
        <v>83</v>
      </c>
      <c r="D5" s="3" t="str">
        <f>_xlfn.XLOOKUP(Purchases[[#This Row],[Product Name]],Inventory[Product Name],Inventory[Product ID])</f>
        <v>CM004</v>
      </c>
      <c r="E5" s="5" t="s">
        <v>31</v>
      </c>
      <c r="F5">
        <v>10</v>
      </c>
      <c r="G5">
        <v>600</v>
      </c>
      <c r="H5">
        <f t="shared" si="0"/>
        <v>6000</v>
      </c>
    </row>
    <row r="6" spans="1:8">
      <c r="B6" t="s">
        <v>83</v>
      </c>
      <c r="D6" s="3" t="str">
        <f>_xlfn.XLOOKUP(Purchases[[#This Row],[Product Name]],Inventory[Product Name],Inventory[Product ID])</f>
        <v>CM005</v>
      </c>
      <c r="E6" s="4" t="s">
        <v>34</v>
      </c>
      <c r="F6">
        <v>10</v>
      </c>
      <c r="G6">
        <v>450</v>
      </c>
      <c r="H6">
        <f t="shared" si="0"/>
        <v>4500</v>
      </c>
    </row>
    <row r="7" spans="1:8">
      <c r="B7" t="s">
        <v>83</v>
      </c>
      <c r="D7" s="3" t="str">
        <f>_xlfn.XLOOKUP(Purchases[[#This Row],[Product Name]],Inventory[Product Name],Inventory[Product ID])</f>
        <v>CM011</v>
      </c>
      <c r="E7" t="s">
        <v>48</v>
      </c>
      <c r="F7">
        <v>10</v>
      </c>
      <c r="G7">
        <v>670</v>
      </c>
      <c r="H7">
        <f t="shared" si="0"/>
        <v>6700</v>
      </c>
    </row>
    <row r="8" spans="1:8">
      <c r="B8" t="s">
        <v>83</v>
      </c>
      <c r="D8" s="3" t="str">
        <f>_xlfn.XLOOKUP(Purchases[[#This Row],[Product Name]],Inventory[Product Name],Inventory[Product ID])</f>
        <v>CM004</v>
      </c>
      <c r="E8" t="s">
        <v>31</v>
      </c>
      <c r="F8">
        <v>10</v>
      </c>
      <c r="G8">
        <v>430</v>
      </c>
      <c r="H8">
        <f t="shared" si="0"/>
        <v>4300</v>
      </c>
    </row>
    <row r="9" spans="1:8">
      <c r="B9" t="s">
        <v>82</v>
      </c>
      <c r="D9" s="3" t="str">
        <f>_xlfn.XLOOKUP(Purchases[[#This Row],[Product Name]],Inventory[Product Name],Inventory[Product ID])</f>
        <v>CM004</v>
      </c>
      <c r="E9" t="s">
        <v>31</v>
      </c>
      <c r="F9">
        <v>10</v>
      </c>
      <c r="G9">
        <v>720</v>
      </c>
      <c r="H9">
        <f t="shared" si="0"/>
        <v>7200</v>
      </c>
    </row>
    <row r="10" spans="1:8">
      <c r="B10" t="s">
        <v>82</v>
      </c>
      <c r="D10" s="3" t="str">
        <f>_xlfn.XLOOKUP(Purchases[[#This Row],[Product Name]],Inventory[Product Name],Inventory[Product ID])</f>
        <v>CM003</v>
      </c>
      <c r="E10" t="s">
        <v>28</v>
      </c>
      <c r="F10">
        <v>10</v>
      </c>
      <c r="G10">
        <v>630</v>
      </c>
      <c r="H10">
        <f t="shared" si="0"/>
        <v>6300</v>
      </c>
    </row>
    <row r="11" spans="1:8">
      <c r="B11" t="s">
        <v>82</v>
      </c>
      <c r="D11" s="3" t="str">
        <f>_xlfn.XLOOKUP(Purchases[[#This Row],[Product Name]],Inventory[Product Name],Inventory[Product ID])</f>
        <v>CM003</v>
      </c>
      <c r="E11" t="s">
        <v>28</v>
      </c>
      <c r="F11">
        <v>10</v>
      </c>
      <c r="G11">
        <v>440</v>
      </c>
      <c r="H11">
        <f t="shared" si="0"/>
        <v>4400</v>
      </c>
    </row>
    <row r="12" spans="1:8">
      <c r="B12" t="s">
        <v>81</v>
      </c>
      <c r="D12" s="3" t="str">
        <f>_xlfn.XLOOKUP(Purchases[[#This Row],[Product Name]],Inventory[Product Name],Inventory[Product ID])</f>
        <v>CM011</v>
      </c>
      <c r="E12" t="s">
        <v>48</v>
      </c>
      <c r="F12">
        <v>20</v>
      </c>
      <c r="G12">
        <v>710</v>
      </c>
      <c r="H12">
        <f t="shared" si="0"/>
        <v>14200</v>
      </c>
    </row>
    <row r="13" spans="1:8">
      <c r="B13" t="s">
        <v>81</v>
      </c>
      <c r="D13" s="3" t="str">
        <f>IF(_xlfn.XLOOKUP(Purchases[[#This Row],[Product Name]],Inventory[Product Name],Inventory[Product ID])="","",_xlfn.XLOOKUP(Purchases[[#This Row],[Product Name]],Inventory[Product Name],Inventory[Product ID]))</f>
        <v>CM001</v>
      </c>
      <c r="E13" t="s">
        <v>22</v>
      </c>
      <c r="F13">
        <v>20</v>
      </c>
      <c r="G13">
        <v>550</v>
      </c>
      <c r="H13">
        <f t="shared" si="0"/>
        <v>11000</v>
      </c>
    </row>
    <row r="14" spans="1:8">
      <c r="B14" t="s">
        <v>83</v>
      </c>
      <c r="D14" s="3" t="str">
        <f>IF(_xlfn.XLOOKUP(Purchases[[#This Row],[Product Name]],Inventory[Product Name],Inventory[Product ID])="","",_xlfn.XLOOKUP(Purchases[[#This Row],[Product Name]],Inventory[Product Name],Inventory[Product ID]))</f>
        <v>CM001</v>
      </c>
      <c r="E14" t="s">
        <v>22</v>
      </c>
      <c r="F14">
        <v>30</v>
      </c>
      <c r="G14">
        <v>820</v>
      </c>
      <c r="H14">
        <f t="shared" si="0"/>
        <v>24600</v>
      </c>
    </row>
    <row r="15" spans="1:8">
      <c r="B15" t="s">
        <v>83</v>
      </c>
      <c r="D15" s="3" t="str">
        <f>IF(_xlfn.XLOOKUP(Purchases[[#This Row],[Product Name]],Inventory[Product Name],Inventory[Product ID])="","",_xlfn.XLOOKUP(Purchases[[#This Row],[Product Name]],Inventory[Product Name],Inventory[Product ID]))</f>
        <v>CM002</v>
      </c>
      <c r="E15" t="s">
        <v>26</v>
      </c>
      <c r="F15">
        <v>3</v>
      </c>
      <c r="G15">
        <v>600</v>
      </c>
      <c r="H15">
        <f t="shared" si="0"/>
        <v>1800</v>
      </c>
    </row>
    <row r="16" spans="1:8">
      <c r="D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" t="str">
        <f t="shared" si="0"/>
        <v/>
      </c>
    </row>
    <row r="17" spans="4:8">
      <c r="D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" t="str">
        <f t="shared" si="0"/>
        <v/>
      </c>
    </row>
    <row r="18" spans="4:8">
      <c r="D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" t="str">
        <f t="shared" si="0"/>
        <v/>
      </c>
    </row>
    <row r="19" spans="4:8">
      <c r="D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" t="str">
        <f t="shared" si="0"/>
        <v/>
      </c>
    </row>
    <row r="20" spans="4:8">
      <c r="D20" s="3" t="str">
        <f>IF(_xlfn.XLOOKUP(Purchases[[#This Row],[Product Name]],Inventory[Product Name],Inventory[Product ID])="","",_xlfn.XLOOKUP(Purchases[[#This Row],[Product Name]],Inventory[Product Name],Inventory[Product ID]))</f>
        <v/>
      </c>
      <c r="H20" t="str">
        <f t="shared" si="0"/>
        <v/>
      </c>
    </row>
    <row r="21" spans="4:8">
      <c r="D21" s="3" t="str">
        <f>IF(_xlfn.XLOOKUP(Purchases[[#This Row],[Product Name]],Inventory[Product Name],Inventory[Product ID])="","",_xlfn.XLOOKUP(Purchases[[#This Row],[Product Name]],Inventory[Product Name],Inventory[Product ID]))</f>
        <v/>
      </c>
      <c r="H21" t="str">
        <f t="shared" si="0"/>
        <v/>
      </c>
    </row>
    <row r="22" spans="4:8">
      <c r="D22" s="3" t="str">
        <f>IF(_xlfn.XLOOKUP(Purchases[[#This Row],[Product Name]],Inventory[Product Name],Inventory[Product ID])="","",_xlfn.XLOOKUP(Purchases[[#This Row],[Product Name]],Inventory[Product Name],Inventory[Product ID]))</f>
        <v/>
      </c>
      <c r="H22" t="str">
        <f t="shared" si="0"/>
        <v/>
      </c>
    </row>
    <row r="23" spans="4:8">
      <c r="D23" s="3" t="str">
        <f>IF(_xlfn.XLOOKUP(Purchases[[#This Row],[Product Name]],Inventory[Product Name],Inventory[Product ID])="","",_xlfn.XLOOKUP(Purchases[[#This Row],[Product Name]],Inventory[Product Name],Inventory[Product ID]))</f>
        <v/>
      </c>
      <c r="H23" t="str">
        <f t="shared" si="0"/>
        <v/>
      </c>
    </row>
    <row r="24" spans="4:8">
      <c r="D24" s="3" t="str">
        <f>IF(_xlfn.XLOOKUP(Purchases[[#This Row],[Product Name]],Inventory[Product Name],Inventory[Product ID])="","",_xlfn.XLOOKUP(Purchases[[#This Row],[Product Name]],Inventory[Product Name],Inventory[Product ID]))</f>
        <v/>
      </c>
      <c r="H24" t="str">
        <f t="shared" si="0"/>
        <v/>
      </c>
    </row>
    <row r="25" spans="4:8">
      <c r="D25" s="3" t="str">
        <f>IF(_xlfn.XLOOKUP(Purchases[[#This Row],[Product Name]],Inventory[Product Name],Inventory[Product ID])="","",_xlfn.XLOOKUP(Purchases[[#This Row],[Product Name]],Inventory[Product Name],Inventory[Product ID]))</f>
        <v/>
      </c>
      <c r="H25" t="str">
        <f t="shared" si="0"/>
        <v/>
      </c>
    </row>
    <row r="26" spans="4:8">
      <c r="D26" s="3" t="str">
        <f>IF(_xlfn.XLOOKUP(Purchases[[#This Row],[Product Name]],Inventory[Product Name],Inventory[Product ID])="","",_xlfn.XLOOKUP(Purchases[[#This Row],[Product Name]],Inventory[Product Name],Inventory[Product ID]))</f>
        <v/>
      </c>
      <c r="H26" t="str">
        <f t="shared" si="0"/>
        <v/>
      </c>
    </row>
    <row r="27" spans="4:8">
      <c r="D27" s="3" t="str">
        <f>IF(_xlfn.XLOOKUP(Purchases[[#This Row],[Product Name]],Inventory[Product Name],Inventory[Product ID])="","",_xlfn.XLOOKUP(Purchases[[#This Row],[Product Name]],Inventory[Product Name],Inventory[Product ID]))</f>
        <v/>
      </c>
      <c r="H27" t="str">
        <f t="shared" si="0"/>
        <v/>
      </c>
    </row>
    <row r="28" spans="4:8">
      <c r="D28" s="3" t="str">
        <f>IF(_xlfn.XLOOKUP(Purchases[[#This Row],[Product Name]],Inventory[Product Name],Inventory[Product ID])="","",_xlfn.XLOOKUP(Purchases[[#This Row],[Product Name]],Inventory[Product Name],Inventory[Product ID]))</f>
        <v/>
      </c>
      <c r="H28" t="str">
        <f t="shared" si="0"/>
        <v/>
      </c>
    </row>
    <row r="29" spans="4:8">
      <c r="D29" s="3" t="str">
        <f>IF(_xlfn.XLOOKUP(Purchases[[#This Row],[Product Name]],Inventory[Product Name],Inventory[Product ID])="","",_xlfn.XLOOKUP(Purchases[[#This Row],[Product Name]],Inventory[Product Name],Inventory[Product ID]))</f>
        <v/>
      </c>
      <c r="H29" t="str">
        <f t="shared" si="0"/>
        <v/>
      </c>
    </row>
    <row r="30" spans="4:8">
      <c r="D30" s="3" t="str">
        <f>IF(_xlfn.XLOOKUP(Purchases[[#This Row],[Product Name]],Inventory[Product Name],Inventory[Product ID])="","",_xlfn.XLOOKUP(Purchases[[#This Row],[Product Name]],Inventory[Product Name],Inventory[Product ID]))</f>
        <v/>
      </c>
      <c r="H30" t="str">
        <f t="shared" si="0"/>
        <v/>
      </c>
    </row>
    <row r="31" spans="4:8">
      <c r="D31" s="3" t="str">
        <f>IF(_xlfn.XLOOKUP(Purchases[[#This Row],[Product Name]],Inventory[Product Name],Inventory[Product ID])="","",_xlfn.XLOOKUP(Purchases[[#This Row],[Product Name]],Inventory[Product Name],Inventory[Product ID]))</f>
        <v/>
      </c>
      <c r="H31" t="str">
        <f t="shared" si="0"/>
        <v/>
      </c>
    </row>
    <row r="32" spans="4:8">
      <c r="D32" s="3" t="str">
        <f>IF(_xlfn.XLOOKUP(Purchases[[#This Row],[Product Name]],Inventory[Product Name],Inventory[Product ID])="","",_xlfn.XLOOKUP(Purchases[[#This Row],[Product Name]],Inventory[Product Name],Inventory[Product ID]))</f>
        <v/>
      </c>
      <c r="H32" t="str">
        <f t="shared" si="0"/>
        <v/>
      </c>
    </row>
    <row r="33" spans="4:8">
      <c r="D33" s="3" t="str">
        <f>IF(_xlfn.XLOOKUP(Purchases[[#This Row],[Product Name]],Inventory[Product Name],Inventory[Product ID])="","",_xlfn.XLOOKUP(Purchases[[#This Row],[Product Name]],Inventory[Product Name],Inventory[Product ID]))</f>
        <v/>
      </c>
      <c r="H33" t="str">
        <f t="shared" si="0"/>
        <v/>
      </c>
    </row>
    <row r="34" spans="4:8">
      <c r="D34" s="3" t="str">
        <f>IF(_xlfn.XLOOKUP(Purchases[[#This Row],[Product Name]],Inventory[Product Name],Inventory[Product ID])="","",_xlfn.XLOOKUP(Purchases[[#This Row],[Product Name]],Inventory[Product Name],Inventory[Product ID]))</f>
        <v/>
      </c>
      <c r="H34" t="str">
        <f t="shared" si="0"/>
        <v/>
      </c>
    </row>
    <row r="35" spans="4:8">
      <c r="D35" s="3" t="str">
        <f>IF(_xlfn.XLOOKUP(Purchases[[#This Row],[Product Name]],Inventory[Product Name],Inventory[Product ID])="","",_xlfn.XLOOKUP(Purchases[[#This Row],[Product Name]],Inventory[Product Name],Inventory[Product ID]))</f>
        <v/>
      </c>
      <c r="H35" t="str">
        <f t="shared" si="0"/>
        <v/>
      </c>
    </row>
    <row r="36" spans="4:8">
      <c r="D36" s="3" t="str">
        <f>IF(_xlfn.XLOOKUP(Purchases[[#This Row],[Product Name]],Inventory[Product Name],Inventory[Product ID])="","",_xlfn.XLOOKUP(Purchases[[#This Row],[Product Name]],Inventory[Product Name],Inventory[Product ID]))</f>
        <v/>
      </c>
      <c r="H36" t="str">
        <f t="shared" si="0"/>
        <v/>
      </c>
    </row>
    <row r="37" spans="4:8">
      <c r="D37" s="3" t="str">
        <f>IF(_xlfn.XLOOKUP(Purchases[[#This Row],[Product Name]],Inventory[Product Name],Inventory[Product ID])="","",_xlfn.XLOOKUP(Purchases[[#This Row],[Product Name]],Inventory[Product Name],Inventory[Product ID]))</f>
        <v/>
      </c>
      <c r="H37" t="str">
        <f t="shared" si="0"/>
        <v/>
      </c>
    </row>
    <row r="38" spans="4:8">
      <c r="D38" s="3" t="str">
        <f>IF(_xlfn.XLOOKUP(Purchases[[#This Row],[Product Name]],Inventory[Product Name],Inventory[Product ID])="","",_xlfn.XLOOKUP(Purchases[[#This Row],[Product Name]],Inventory[Product Name],Inventory[Product ID]))</f>
        <v/>
      </c>
      <c r="H38" t="str">
        <f t="shared" si="0"/>
        <v/>
      </c>
    </row>
    <row r="39" spans="4:8">
      <c r="D39" s="3" t="str">
        <f>IF(_xlfn.XLOOKUP(Purchases[[#This Row],[Product Name]],Inventory[Product Name],Inventory[Product ID])="","",_xlfn.XLOOKUP(Purchases[[#This Row],[Product Name]],Inventory[Product Name],Inventory[Product ID]))</f>
        <v/>
      </c>
      <c r="H39" t="str">
        <f t="shared" si="0"/>
        <v/>
      </c>
    </row>
    <row r="40" spans="4:8">
      <c r="D40" s="3" t="str">
        <f>IF(_xlfn.XLOOKUP(Purchases[[#This Row],[Product Name]],Inventory[Product Name],Inventory[Product ID])="","",_xlfn.XLOOKUP(Purchases[[#This Row],[Product Name]],Inventory[Product Name],Inventory[Product ID]))</f>
        <v/>
      </c>
      <c r="H40" t="str">
        <f t="shared" si="0"/>
        <v/>
      </c>
    </row>
    <row r="41" spans="4:8">
      <c r="D41" s="3" t="str">
        <f>IF(_xlfn.XLOOKUP(Purchases[[#This Row],[Product Name]],Inventory[Product Name],Inventory[Product ID])="","",_xlfn.XLOOKUP(Purchases[[#This Row],[Product Name]],Inventory[Product Name],Inventory[Product ID]))</f>
        <v/>
      </c>
      <c r="H41" t="str">
        <f t="shared" si="0"/>
        <v/>
      </c>
    </row>
    <row r="42" spans="4:8">
      <c r="D42" s="3" t="str">
        <f>IF(_xlfn.XLOOKUP(Purchases[[#This Row],[Product Name]],Inventory[Product Name],Inventory[Product ID])="","",_xlfn.XLOOKUP(Purchases[[#This Row],[Product Name]],Inventory[Product Name],Inventory[Product ID]))</f>
        <v/>
      </c>
      <c r="H42" t="str">
        <f t="shared" si="0"/>
        <v/>
      </c>
    </row>
    <row r="43" spans="4:8">
      <c r="D43" s="3" t="str">
        <f>IF(_xlfn.XLOOKUP(Purchases[[#This Row],[Product Name]],Inventory[Product Name],Inventory[Product ID])="","",_xlfn.XLOOKUP(Purchases[[#This Row],[Product Name]],Inventory[Product Name],Inventory[Product ID]))</f>
        <v/>
      </c>
      <c r="H43" t="str">
        <f t="shared" si="0"/>
        <v/>
      </c>
    </row>
    <row r="44" spans="4:8">
      <c r="D44" s="3" t="str">
        <f>IF(_xlfn.XLOOKUP(Purchases[[#This Row],[Product Name]],Inventory[Product Name],Inventory[Product ID])="","",_xlfn.XLOOKUP(Purchases[[#This Row],[Product Name]],Inventory[Product Name],Inventory[Product ID]))</f>
        <v/>
      </c>
      <c r="H44" t="str">
        <f t="shared" si="0"/>
        <v/>
      </c>
    </row>
    <row r="45" spans="4:8">
      <c r="D45" s="3" t="str">
        <f>IF(_xlfn.XLOOKUP(Purchases[[#This Row],[Product Name]],Inventory[Product Name],Inventory[Product ID])="","",_xlfn.XLOOKUP(Purchases[[#This Row],[Product Name]],Inventory[Product Name],Inventory[Product ID]))</f>
        <v/>
      </c>
      <c r="H45" t="str">
        <f t="shared" si="0"/>
        <v/>
      </c>
    </row>
    <row r="46" spans="4:8">
      <c r="D46" s="3" t="str">
        <f>IF(_xlfn.XLOOKUP(Purchases[[#This Row],[Product Name]],Inventory[Product Name],Inventory[Product ID])="","",_xlfn.XLOOKUP(Purchases[[#This Row],[Product Name]],Inventory[Product Name],Inventory[Product ID]))</f>
        <v/>
      </c>
      <c r="H46" t="str">
        <f t="shared" si="0"/>
        <v/>
      </c>
    </row>
    <row r="47" spans="4:8">
      <c r="D47" s="3" t="str">
        <f>IF(_xlfn.XLOOKUP(Purchases[[#This Row],[Product Name]],Inventory[Product Name],Inventory[Product ID])="","",_xlfn.XLOOKUP(Purchases[[#This Row],[Product Name]],Inventory[Product Name],Inventory[Product ID]))</f>
        <v/>
      </c>
      <c r="H47" t="str">
        <f t="shared" si="0"/>
        <v/>
      </c>
    </row>
    <row r="48" spans="4:8">
      <c r="D48" s="3" t="str">
        <f>IF(_xlfn.XLOOKUP(Purchases[[#This Row],[Product Name]],Inventory[Product Name],Inventory[Product ID])="","",_xlfn.XLOOKUP(Purchases[[#This Row],[Product Name]],Inventory[Product Name],Inventory[Product ID]))</f>
        <v/>
      </c>
      <c r="H48" t="str">
        <f t="shared" si="0"/>
        <v/>
      </c>
    </row>
    <row r="49" spans="4:8">
      <c r="D49" s="3" t="str">
        <f>IF(_xlfn.XLOOKUP(Purchases[[#This Row],[Product Name]],Inventory[Product Name],Inventory[Product ID])="","",_xlfn.XLOOKUP(Purchases[[#This Row],[Product Name]],Inventory[Product Name],Inventory[Product ID]))</f>
        <v/>
      </c>
      <c r="H49" t="str">
        <f t="shared" si="0"/>
        <v/>
      </c>
    </row>
    <row r="50" spans="4:8">
      <c r="D50" s="3" t="str">
        <f>IF(_xlfn.XLOOKUP(Purchases[[#This Row],[Product Name]],Inventory[Product Name],Inventory[Product ID])="","",_xlfn.XLOOKUP(Purchases[[#This Row],[Product Name]],Inventory[Product Name],Inventory[Product ID]))</f>
        <v/>
      </c>
      <c r="H50" t="str">
        <f t="shared" si="0"/>
        <v/>
      </c>
    </row>
    <row r="51" spans="4:8">
      <c r="D51" s="3" t="str">
        <f>IF(_xlfn.XLOOKUP(Purchases[[#This Row],[Product Name]],Inventory[Product Name],Inventory[Product ID])="","",_xlfn.XLOOKUP(Purchases[[#This Row],[Product Name]],Inventory[Product Name],Inventory[Product ID]))</f>
        <v/>
      </c>
      <c r="H51" t="str">
        <f t="shared" si="0"/>
        <v/>
      </c>
    </row>
    <row r="52" spans="4:8">
      <c r="D52" s="3" t="str">
        <f>IF(_xlfn.XLOOKUP(Purchases[[#This Row],[Product Name]],Inventory[Product Name],Inventory[Product ID])="","",_xlfn.XLOOKUP(Purchases[[#This Row],[Product Name]],Inventory[Product Name],Inventory[Product ID]))</f>
        <v/>
      </c>
      <c r="H52" t="str">
        <f t="shared" si="0"/>
        <v/>
      </c>
    </row>
    <row r="53" spans="4:8">
      <c r="D53" s="3" t="str">
        <f>IF(_xlfn.XLOOKUP(Purchases[[#This Row],[Product Name]],Inventory[Product Name],Inventory[Product ID])="","",_xlfn.XLOOKUP(Purchases[[#This Row],[Product Name]],Inventory[Product Name],Inventory[Product ID]))</f>
        <v/>
      </c>
      <c r="H53" t="str">
        <f t="shared" si="0"/>
        <v/>
      </c>
    </row>
    <row r="54" spans="4:8">
      <c r="D54" s="3" t="str">
        <f>IF(_xlfn.XLOOKUP(Purchases[[#This Row],[Product Name]],Inventory[Product Name],Inventory[Product ID])="","",_xlfn.XLOOKUP(Purchases[[#This Row],[Product Name]],Inventory[Product Name],Inventory[Product ID]))</f>
        <v/>
      </c>
      <c r="H54" t="str">
        <f t="shared" si="0"/>
        <v/>
      </c>
    </row>
    <row r="55" spans="4:8">
      <c r="D55" s="3" t="str">
        <f>IF(_xlfn.XLOOKUP(Purchases[[#This Row],[Product Name]],Inventory[Product Name],Inventory[Product ID])="","",_xlfn.XLOOKUP(Purchases[[#This Row],[Product Name]],Inventory[Product Name],Inventory[Product ID]))</f>
        <v/>
      </c>
      <c r="H55" t="str">
        <f t="shared" si="0"/>
        <v/>
      </c>
    </row>
    <row r="56" spans="4:8">
      <c r="D56" s="3" t="str">
        <f>IF(_xlfn.XLOOKUP(Purchases[[#This Row],[Product Name]],Inventory[Product Name],Inventory[Product ID])="","",_xlfn.XLOOKUP(Purchases[[#This Row],[Product Name]],Inventory[Product Name],Inventory[Product ID]))</f>
        <v/>
      </c>
      <c r="H56" t="str">
        <f t="shared" si="0"/>
        <v/>
      </c>
    </row>
    <row r="57" spans="4:8">
      <c r="D57" s="3" t="str">
        <f>IF(_xlfn.XLOOKUP(Purchases[[#This Row],[Product Name]],Inventory[Product Name],Inventory[Product ID])="","",_xlfn.XLOOKUP(Purchases[[#This Row],[Product Name]],Inventory[Product Name],Inventory[Product ID]))</f>
        <v/>
      </c>
      <c r="H57" t="str">
        <f t="shared" si="0"/>
        <v/>
      </c>
    </row>
    <row r="58" spans="4:8">
      <c r="D58" s="3" t="str">
        <f>IF(_xlfn.XLOOKUP(Purchases[[#This Row],[Product Name]],Inventory[Product Name],Inventory[Product ID])="","",_xlfn.XLOOKUP(Purchases[[#This Row],[Product Name]],Inventory[Product Name],Inventory[Product ID]))</f>
        <v/>
      </c>
      <c r="H58" t="str">
        <f t="shared" si="0"/>
        <v/>
      </c>
    </row>
    <row r="59" spans="4:8">
      <c r="D59" s="3" t="str">
        <f>IF(_xlfn.XLOOKUP(Purchases[[#This Row],[Product Name]],Inventory[Product Name],Inventory[Product ID])="","",_xlfn.XLOOKUP(Purchases[[#This Row],[Product Name]],Inventory[Product Name],Inventory[Product ID]))</f>
        <v/>
      </c>
      <c r="H59" t="str">
        <f t="shared" si="0"/>
        <v/>
      </c>
    </row>
    <row r="60" spans="4:8">
      <c r="D60" s="3" t="str">
        <f>IF(_xlfn.XLOOKUP(Purchases[[#This Row],[Product Name]],Inventory[Product Name],Inventory[Product ID])="","",_xlfn.XLOOKUP(Purchases[[#This Row],[Product Name]],Inventory[Product Name],Inventory[Product ID]))</f>
        <v/>
      </c>
      <c r="H60" t="str">
        <f t="shared" si="0"/>
        <v/>
      </c>
    </row>
    <row r="61" spans="4:8">
      <c r="D61" s="3" t="str">
        <f>IF(_xlfn.XLOOKUP(Purchases[[#This Row],[Product Name]],Inventory[Product Name],Inventory[Product ID])="","",_xlfn.XLOOKUP(Purchases[[#This Row],[Product Name]],Inventory[Product Name],Inventory[Product ID]))</f>
        <v/>
      </c>
      <c r="H61" t="str">
        <f t="shared" si="0"/>
        <v/>
      </c>
    </row>
    <row r="62" spans="4:8">
      <c r="D62" s="3" t="str">
        <f>IF(_xlfn.XLOOKUP(Purchases[[#This Row],[Product Name]],Inventory[Product Name],Inventory[Product ID])="","",_xlfn.XLOOKUP(Purchases[[#This Row],[Product Name]],Inventory[Product Name],Inventory[Product ID]))</f>
        <v/>
      </c>
      <c r="H62" t="str">
        <f t="shared" si="0"/>
        <v/>
      </c>
    </row>
    <row r="63" spans="4:8">
      <c r="D63" s="3" t="str">
        <f>IF(_xlfn.XLOOKUP(Purchases[[#This Row],[Product Name]],Inventory[Product Name],Inventory[Product ID])="","",_xlfn.XLOOKUP(Purchases[[#This Row],[Product Name]],Inventory[Product Name],Inventory[Product ID]))</f>
        <v/>
      </c>
      <c r="H63" t="str">
        <f t="shared" si="0"/>
        <v/>
      </c>
    </row>
    <row r="64" spans="4:8">
      <c r="D64" s="3" t="str">
        <f>IF(_xlfn.XLOOKUP(Purchases[[#This Row],[Product Name]],Inventory[Product Name],Inventory[Product ID])="","",_xlfn.XLOOKUP(Purchases[[#This Row],[Product Name]],Inventory[Product Name],Inventory[Product ID]))</f>
        <v/>
      </c>
      <c r="H64" t="str">
        <f t="shared" si="0"/>
        <v/>
      </c>
    </row>
    <row r="65" spans="4:8">
      <c r="D65" s="3" t="str">
        <f>IF(_xlfn.XLOOKUP(Purchases[[#This Row],[Product Name]],Inventory[Product Name],Inventory[Product ID])="","",_xlfn.XLOOKUP(Purchases[[#This Row],[Product Name]],Inventory[Product Name],Inventory[Product ID]))</f>
        <v/>
      </c>
      <c r="H65" t="str">
        <f t="shared" si="0"/>
        <v/>
      </c>
    </row>
    <row r="66" spans="4:8">
      <c r="D66" s="3" t="str">
        <f>IF(_xlfn.XLOOKUP(Purchases[[#This Row],[Product Name]],Inventory[Product Name],Inventory[Product ID])="","",_xlfn.XLOOKUP(Purchases[[#This Row],[Product Name]],Inventory[Product Name],Inventory[Product ID]))</f>
        <v/>
      </c>
      <c r="H66" t="str">
        <f t="shared" ref="H66:H129" si="1">IF((F66*G66)&lt;&gt;0,F66*G66,"")</f>
        <v/>
      </c>
    </row>
    <row r="67" spans="4:8">
      <c r="D67" s="3" t="str">
        <f>IF(_xlfn.XLOOKUP(Purchases[[#This Row],[Product Name]],Inventory[Product Name],Inventory[Product ID])="","",_xlfn.XLOOKUP(Purchases[[#This Row],[Product Name]],Inventory[Product Name],Inventory[Product ID]))</f>
        <v/>
      </c>
      <c r="H67" t="str">
        <f t="shared" si="1"/>
        <v/>
      </c>
    </row>
    <row r="68" spans="4:8">
      <c r="D68" s="3" t="str">
        <f>IF(_xlfn.XLOOKUP(Purchases[[#This Row],[Product Name]],Inventory[Product Name],Inventory[Product ID])="","",_xlfn.XLOOKUP(Purchases[[#This Row],[Product Name]],Inventory[Product Name],Inventory[Product ID]))</f>
        <v/>
      </c>
      <c r="H68" t="str">
        <f t="shared" si="1"/>
        <v/>
      </c>
    </row>
    <row r="69" spans="4:8">
      <c r="D69" s="3" t="str">
        <f>IF(_xlfn.XLOOKUP(Purchases[[#This Row],[Product Name]],Inventory[Product Name],Inventory[Product ID])="","",_xlfn.XLOOKUP(Purchases[[#This Row],[Product Name]],Inventory[Product Name],Inventory[Product ID]))</f>
        <v/>
      </c>
      <c r="H69" t="str">
        <f t="shared" si="1"/>
        <v/>
      </c>
    </row>
    <row r="70" spans="4:8">
      <c r="D70" s="3" t="str">
        <f>IF(_xlfn.XLOOKUP(Purchases[[#This Row],[Product Name]],Inventory[Product Name],Inventory[Product ID])="","",_xlfn.XLOOKUP(Purchases[[#This Row],[Product Name]],Inventory[Product Name],Inventory[Product ID]))</f>
        <v/>
      </c>
      <c r="H70" t="str">
        <f t="shared" si="1"/>
        <v/>
      </c>
    </row>
    <row r="71" spans="4:8">
      <c r="D71" s="3" t="str">
        <f>IF(_xlfn.XLOOKUP(Purchases[[#This Row],[Product Name]],Inventory[Product Name],Inventory[Product ID])="","",_xlfn.XLOOKUP(Purchases[[#This Row],[Product Name]],Inventory[Product Name],Inventory[Product ID]))</f>
        <v/>
      </c>
      <c r="H71" t="str">
        <f t="shared" si="1"/>
        <v/>
      </c>
    </row>
    <row r="72" spans="4:8">
      <c r="D72" s="3" t="str">
        <f>IF(_xlfn.XLOOKUP(Purchases[[#This Row],[Product Name]],Inventory[Product Name],Inventory[Product ID])="","",_xlfn.XLOOKUP(Purchases[[#This Row],[Product Name]],Inventory[Product Name],Inventory[Product ID]))</f>
        <v/>
      </c>
      <c r="H72" t="str">
        <f t="shared" si="1"/>
        <v/>
      </c>
    </row>
    <row r="73" spans="4:8">
      <c r="D73" s="3" t="str">
        <f>IF(_xlfn.XLOOKUP(Purchases[[#This Row],[Product Name]],Inventory[Product Name],Inventory[Product ID])="","",_xlfn.XLOOKUP(Purchases[[#This Row],[Product Name]],Inventory[Product Name],Inventory[Product ID]))</f>
        <v/>
      </c>
      <c r="H73" t="str">
        <f t="shared" si="1"/>
        <v/>
      </c>
    </row>
    <row r="74" spans="4:8">
      <c r="D74" s="3" t="str">
        <f>IF(_xlfn.XLOOKUP(Purchases[[#This Row],[Product Name]],Inventory[Product Name],Inventory[Product ID])="","",_xlfn.XLOOKUP(Purchases[[#This Row],[Product Name]],Inventory[Product Name],Inventory[Product ID]))</f>
        <v/>
      </c>
      <c r="H74" t="str">
        <f t="shared" si="1"/>
        <v/>
      </c>
    </row>
    <row r="75" spans="4:8">
      <c r="D75" s="3" t="str">
        <f>IF(_xlfn.XLOOKUP(Purchases[[#This Row],[Product Name]],Inventory[Product Name],Inventory[Product ID])="","",_xlfn.XLOOKUP(Purchases[[#This Row],[Product Name]],Inventory[Product Name],Inventory[Product ID]))</f>
        <v/>
      </c>
      <c r="H75" t="str">
        <f t="shared" si="1"/>
        <v/>
      </c>
    </row>
    <row r="76" spans="4:8">
      <c r="D76" s="3" t="str">
        <f>IF(_xlfn.XLOOKUP(Purchases[[#This Row],[Product Name]],Inventory[Product Name],Inventory[Product ID])="","",_xlfn.XLOOKUP(Purchases[[#This Row],[Product Name]],Inventory[Product Name],Inventory[Product ID]))</f>
        <v/>
      </c>
      <c r="H76" t="str">
        <f t="shared" si="1"/>
        <v/>
      </c>
    </row>
    <row r="77" spans="4:8">
      <c r="D77" s="3" t="str">
        <f>IF(_xlfn.XLOOKUP(Purchases[[#This Row],[Product Name]],Inventory[Product Name],Inventory[Product ID])="","",_xlfn.XLOOKUP(Purchases[[#This Row],[Product Name]],Inventory[Product Name],Inventory[Product ID]))</f>
        <v/>
      </c>
      <c r="H77" t="str">
        <f t="shared" si="1"/>
        <v/>
      </c>
    </row>
    <row r="78" spans="4:8">
      <c r="D78" s="3" t="str">
        <f>IF(_xlfn.XLOOKUP(Purchases[[#This Row],[Product Name]],Inventory[Product Name],Inventory[Product ID])="","",_xlfn.XLOOKUP(Purchases[[#This Row],[Product Name]],Inventory[Product Name],Inventory[Product ID]))</f>
        <v/>
      </c>
      <c r="H78" t="str">
        <f t="shared" si="1"/>
        <v/>
      </c>
    </row>
    <row r="79" spans="4:8">
      <c r="D79" s="3" t="str">
        <f>IF(_xlfn.XLOOKUP(Purchases[[#This Row],[Product Name]],Inventory[Product Name],Inventory[Product ID])="","",_xlfn.XLOOKUP(Purchases[[#This Row],[Product Name]],Inventory[Product Name],Inventory[Product ID]))</f>
        <v/>
      </c>
      <c r="H79" t="str">
        <f t="shared" si="1"/>
        <v/>
      </c>
    </row>
    <row r="80" spans="4:8">
      <c r="D80" s="3" t="str">
        <f>IF(_xlfn.XLOOKUP(Purchases[[#This Row],[Product Name]],Inventory[Product Name],Inventory[Product ID])="","",_xlfn.XLOOKUP(Purchases[[#This Row],[Product Name]],Inventory[Product Name],Inventory[Product ID]))</f>
        <v/>
      </c>
      <c r="H80" t="str">
        <f t="shared" si="1"/>
        <v/>
      </c>
    </row>
    <row r="81" spans="4:8">
      <c r="D81" s="3" t="str">
        <f>IF(_xlfn.XLOOKUP(Purchases[[#This Row],[Product Name]],Inventory[Product Name],Inventory[Product ID])="","",_xlfn.XLOOKUP(Purchases[[#This Row],[Product Name]],Inventory[Product Name],Inventory[Product ID]))</f>
        <v/>
      </c>
      <c r="H81" t="str">
        <f t="shared" si="1"/>
        <v/>
      </c>
    </row>
    <row r="82" spans="4:8">
      <c r="D82" s="3" t="str">
        <f>IF(_xlfn.XLOOKUP(Purchases[[#This Row],[Product Name]],Inventory[Product Name],Inventory[Product ID])="","",_xlfn.XLOOKUP(Purchases[[#This Row],[Product Name]],Inventory[Product Name],Inventory[Product ID]))</f>
        <v/>
      </c>
      <c r="H82" t="str">
        <f t="shared" si="1"/>
        <v/>
      </c>
    </row>
    <row r="83" spans="4:8">
      <c r="D83" s="3" t="str">
        <f>IF(_xlfn.XLOOKUP(Purchases[[#This Row],[Product Name]],Inventory[Product Name],Inventory[Product ID])="","",_xlfn.XLOOKUP(Purchases[[#This Row],[Product Name]],Inventory[Product Name],Inventory[Product ID]))</f>
        <v/>
      </c>
      <c r="H83" t="str">
        <f t="shared" si="1"/>
        <v/>
      </c>
    </row>
    <row r="84" spans="4:8">
      <c r="D84" s="3" t="str">
        <f>IF(_xlfn.XLOOKUP(Purchases[[#This Row],[Product Name]],Inventory[Product Name],Inventory[Product ID])="","",_xlfn.XLOOKUP(Purchases[[#This Row],[Product Name]],Inventory[Product Name],Inventory[Product ID]))</f>
        <v/>
      </c>
      <c r="H84" t="str">
        <f t="shared" si="1"/>
        <v/>
      </c>
    </row>
    <row r="85" spans="4:8">
      <c r="D85" s="3" t="str">
        <f>IF(_xlfn.XLOOKUP(Purchases[[#This Row],[Product Name]],Inventory[Product Name],Inventory[Product ID])="","",_xlfn.XLOOKUP(Purchases[[#This Row],[Product Name]],Inventory[Product Name],Inventory[Product ID]))</f>
        <v/>
      </c>
      <c r="H85" t="str">
        <f t="shared" si="1"/>
        <v/>
      </c>
    </row>
    <row r="86" spans="4:8">
      <c r="D86" s="3" t="str">
        <f>IF(_xlfn.XLOOKUP(Purchases[[#This Row],[Product Name]],Inventory[Product Name],Inventory[Product ID])="","",_xlfn.XLOOKUP(Purchases[[#This Row],[Product Name]],Inventory[Product Name],Inventory[Product ID]))</f>
        <v/>
      </c>
      <c r="H86" t="str">
        <f t="shared" si="1"/>
        <v/>
      </c>
    </row>
    <row r="87" spans="4:8">
      <c r="D87" s="3" t="str">
        <f>IF(_xlfn.XLOOKUP(Purchases[[#This Row],[Product Name]],Inventory[Product Name],Inventory[Product ID])="","",_xlfn.XLOOKUP(Purchases[[#This Row],[Product Name]],Inventory[Product Name],Inventory[Product ID]))</f>
        <v/>
      </c>
      <c r="H87" t="str">
        <f t="shared" si="1"/>
        <v/>
      </c>
    </row>
    <row r="88" spans="4:8">
      <c r="D88" s="3" t="str">
        <f>IF(_xlfn.XLOOKUP(Purchases[[#This Row],[Product Name]],Inventory[Product Name],Inventory[Product ID])="","",_xlfn.XLOOKUP(Purchases[[#This Row],[Product Name]],Inventory[Product Name],Inventory[Product ID]))</f>
        <v/>
      </c>
      <c r="H88" t="str">
        <f t="shared" si="1"/>
        <v/>
      </c>
    </row>
    <row r="89" spans="4:8">
      <c r="D89" s="3" t="str">
        <f>IF(_xlfn.XLOOKUP(Purchases[[#This Row],[Product Name]],Inventory[Product Name],Inventory[Product ID])="","",_xlfn.XLOOKUP(Purchases[[#This Row],[Product Name]],Inventory[Product Name],Inventory[Product ID]))</f>
        <v/>
      </c>
      <c r="H89" t="str">
        <f t="shared" si="1"/>
        <v/>
      </c>
    </row>
    <row r="90" spans="4:8">
      <c r="D90" s="3" t="str">
        <f>IF(_xlfn.XLOOKUP(Purchases[[#This Row],[Product Name]],Inventory[Product Name],Inventory[Product ID])="","",_xlfn.XLOOKUP(Purchases[[#This Row],[Product Name]],Inventory[Product Name],Inventory[Product ID]))</f>
        <v/>
      </c>
      <c r="H90" t="str">
        <f t="shared" si="1"/>
        <v/>
      </c>
    </row>
    <row r="91" spans="4:8">
      <c r="D91" s="3" t="str">
        <f>IF(_xlfn.XLOOKUP(Purchases[[#This Row],[Product Name]],Inventory[Product Name],Inventory[Product ID])="","",_xlfn.XLOOKUP(Purchases[[#This Row],[Product Name]],Inventory[Product Name],Inventory[Product ID]))</f>
        <v/>
      </c>
      <c r="H91" t="str">
        <f t="shared" si="1"/>
        <v/>
      </c>
    </row>
    <row r="92" spans="4:8">
      <c r="D92" s="3" t="str">
        <f>IF(_xlfn.XLOOKUP(Purchases[[#This Row],[Product Name]],Inventory[Product Name],Inventory[Product ID])="","",_xlfn.XLOOKUP(Purchases[[#This Row],[Product Name]],Inventory[Product Name],Inventory[Product ID]))</f>
        <v/>
      </c>
      <c r="H92" t="str">
        <f t="shared" si="1"/>
        <v/>
      </c>
    </row>
    <row r="93" spans="4:8">
      <c r="D93" s="3" t="str">
        <f>IF(_xlfn.XLOOKUP(Purchases[[#This Row],[Product Name]],Inventory[Product Name],Inventory[Product ID])="","",_xlfn.XLOOKUP(Purchases[[#This Row],[Product Name]],Inventory[Product Name],Inventory[Product ID]))</f>
        <v/>
      </c>
      <c r="H93" t="str">
        <f t="shared" si="1"/>
        <v/>
      </c>
    </row>
    <row r="94" spans="4:8">
      <c r="D94" s="3" t="str">
        <f>IF(_xlfn.XLOOKUP(Purchases[[#This Row],[Product Name]],Inventory[Product Name],Inventory[Product ID])="","",_xlfn.XLOOKUP(Purchases[[#This Row],[Product Name]],Inventory[Product Name],Inventory[Product ID]))</f>
        <v/>
      </c>
      <c r="H94" t="str">
        <f t="shared" si="1"/>
        <v/>
      </c>
    </row>
    <row r="95" spans="4:8">
      <c r="D95" s="3" t="str">
        <f>IF(_xlfn.XLOOKUP(Purchases[[#This Row],[Product Name]],Inventory[Product Name],Inventory[Product ID])="","",_xlfn.XLOOKUP(Purchases[[#This Row],[Product Name]],Inventory[Product Name],Inventory[Product ID]))</f>
        <v/>
      </c>
      <c r="H95" t="str">
        <f t="shared" si="1"/>
        <v/>
      </c>
    </row>
    <row r="96" spans="4:8">
      <c r="D96" s="3" t="str">
        <f>IF(_xlfn.XLOOKUP(Purchases[[#This Row],[Product Name]],Inventory[Product Name],Inventory[Product ID])="","",_xlfn.XLOOKUP(Purchases[[#This Row],[Product Name]],Inventory[Product Name],Inventory[Product ID]))</f>
        <v/>
      </c>
      <c r="H96" t="str">
        <f t="shared" si="1"/>
        <v/>
      </c>
    </row>
    <row r="97" spans="4:8">
      <c r="D97" s="3" t="str">
        <f>IF(_xlfn.XLOOKUP(Purchases[[#This Row],[Product Name]],Inventory[Product Name],Inventory[Product ID])="","",_xlfn.XLOOKUP(Purchases[[#This Row],[Product Name]],Inventory[Product Name],Inventory[Product ID]))</f>
        <v/>
      </c>
      <c r="H97" t="str">
        <f t="shared" si="1"/>
        <v/>
      </c>
    </row>
    <row r="98" spans="4:8">
      <c r="D98" s="3" t="str">
        <f>IF(_xlfn.XLOOKUP(Purchases[[#This Row],[Product Name]],Inventory[Product Name],Inventory[Product ID])="","",_xlfn.XLOOKUP(Purchases[[#This Row],[Product Name]],Inventory[Product Name],Inventory[Product ID]))</f>
        <v/>
      </c>
      <c r="H98" t="str">
        <f t="shared" si="1"/>
        <v/>
      </c>
    </row>
    <row r="99" spans="4:8">
      <c r="D99" s="3" t="str">
        <f>IF(_xlfn.XLOOKUP(Purchases[[#This Row],[Product Name]],Inventory[Product Name],Inventory[Product ID])="","",_xlfn.XLOOKUP(Purchases[[#This Row],[Product Name]],Inventory[Product Name],Inventory[Product ID]))</f>
        <v/>
      </c>
      <c r="H99" t="str">
        <f t="shared" si="1"/>
        <v/>
      </c>
    </row>
    <row r="100" spans="4:8">
      <c r="D1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" t="str">
        <f t="shared" si="1"/>
        <v/>
      </c>
    </row>
    <row r="101" spans="4:8">
      <c r="D1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" t="str">
        <f t="shared" si="1"/>
        <v/>
      </c>
    </row>
    <row r="102" spans="4:8">
      <c r="D1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" t="str">
        <f t="shared" si="1"/>
        <v/>
      </c>
    </row>
    <row r="103" spans="4:8">
      <c r="D1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" t="str">
        <f t="shared" si="1"/>
        <v/>
      </c>
    </row>
    <row r="104" spans="4:8">
      <c r="D1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" t="str">
        <f t="shared" si="1"/>
        <v/>
      </c>
    </row>
    <row r="105" spans="4:8">
      <c r="D1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" t="str">
        <f t="shared" si="1"/>
        <v/>
      </c>
    </row>
    <row r="106" spans="4:8">
      <c r="D1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" t="str">
        <f t="shared" si="1"/>
        <v/>
      </c>
    </row>
    <row r="107" spans="4:8">
      <c r="D1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" t="str">
        <f t="shared" si="1"/>
        <v/>
      </c>
    </row>
    <row r="108" spans="4:8">
      <c r="D1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" t="str">
        <f t="shared" si="1"/>
        <v/>
      </c>
    </row>
    <row r="109" spans="4:8">
      <c r="D1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" t="str">
        <f t="shared" si="1"/>
        <v/>
      </c>
    </row>
    <row r="110" spans="4:8">
      <c r="D1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" t="str">
        <f t="shared" si="1"/>
        <v/>
      </c>
    </row>
    <row r="111" spans="4:8">
      <c r="D1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" t="str">
        <f t="shared" si="1"/>
        <v/>
      </c>
    </row>
    <row r="112" spans="4:8">
      <c r="D1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" t="str">
        <f t="shared" si="1"/>
        <v/>
      </c>
    </row>
    <row r="113" spans="4:8">
      <c r="D1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" t="str">
        <f t="shared" si="1"/>
        <v/>
      </c>
    </row>
    <row r="114" spans="4:8">
      <c r="D1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" t="str">
        <f t="shared" si="1"/>
        <v/>
      </c>
    </row>
    <row r="115" spans="4:8">
      <c r="D1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" t="str">
        <f t="shared" si="1"/>
        <v/>
      </c>
    </row>
    <row r="116" spans="4:8">
      <c r="D1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" t="str">
        <f t="shared" si="1"/>
        <v/>
      </c>
    </row>
    <row r="117" spans="4:8">
      <c r="D1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" t="str">
        <f t="shared" si="1"/>
        <v/>
      </c>
    </row>
    <row r="118" spans="4:8">
      <c r="D1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" t="str">
        <f t="shared" si="1"/>
        <v/>
      </c>
    </row>
    <row r="119" spans="4:8">
      <c r="D1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" t="str">
        <f t="shared" si="1"/>
        <v/>
      </c>
    </row>
    <row r="120" spans="4:8">
      <c r="D1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" t="str">
        <f t="shared" si="1"/>
        <v/>
      </c>
    </row>
    <row r="121" spans="4:8">
      <c r="D1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" t="str">
        <f t="shared" si="1"/>
        <v/>
      </c>
    </row>
    <row r="122" spans="4:8">
      <c r="D1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" t="str">
        <f t="shared" si="1"/>
        <v/>
      </c>
    </row>
    <row r="123" spans="4:8">
      <c r="D1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" t="str">
        <f t="shared" si="1"/>
        <v/>
      </c>
    </row>
    <row r="124" spans="4:8">
      <c r="D1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" t="str">
        <f t="shared" si="1"/>
        <v/>
      </c>
    </row>
    <row r="125" spans="4:8">
      <c r="D1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" t="str">
        <f t="shared" si="1"/>
        <v/>
      </c>
    </row>
    <row r="126" spans="4:8">
      <c r="D1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" t="str">
        <f t="shared" si="1"/>
        <v/>
      </c>
    </row>
    <row r="127" spans="4:8">
      <c r="D1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" t="str">
        <f t="shared" si="1"/>
        <v/>
      </c>
    </row>
    <row r="128" spans="4:8">
      <c r="D1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" t="str">
        <f t="shared" si="1"/>
        <v/>
      </c>
    </row>
    <row r="129" spans="4:8">
      <c r="D1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" t="str">
        <f t="shared" si="1"/>
        <v/>
      </c>
    </row>
    <row r="130" spans="4:8">
      <c r="D1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" t="str">
        <f t="shared" ref="H130:H193" si="2">IF((F130*G130)&lt;&gt;0,F130*G130,"")</f>
        <v/>
      </c>
    </row>
    <row r="131" spans="4:8">
      <c r="D1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" t="str">
        <f t="shared" si="2"/>
        <v/>
      </c>
    </row>
    <row r="132" spans="4:8">
      <c r="D1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" t="str">
        <f t="shared" si="2"/>
        <v/>
      </c>
    </row>
    <row r="133" spans="4:8">
      <c r="D1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" t="str">
        <f t="shared" si="2"/>
        <v/>
      </c>
    </row>
    <row r="134" spans="4:8">
      <c r="D1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" t="str">
        <f t="shared" si="2"/>
        <v/>
      </c>
    </row>
    <row r="135" spans="4:8">
      <c r="D1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" t="str">
        <f t="shared" si="2"/>
        <v/>
      </c>
    </row>
    <row r="136" spans="4:8">
      <c r="D1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" t="str">
        <f t="shared" si="2"/>
        <v/>
      </c>
    </row>
    <row r="137" spans="4:8">
      <c r="D1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" t="str">
        <f t="shared" si="2"/>
        <v/>
      </c>
    </row>
    <row r="138" spans="4:8">
      <c r="D1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" t="str">
        <f t="shared" si="2"/>
        <v/>
      </c>
    </row>
    <row r="139" spans="4:8">
      <c r="D1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" t="str">
        <f t="shared" si="2"/>
        <v/>
      </c>
    </row>
    <row r="140" spans="4:8">
      <c r="D1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" t="str">
        <f t="shared" si="2"/>
        <v/>
      </c>
    </row>
    <row r="141" spans="4:8">
      <c r="D1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" t="str">
        <f t="shared" si="2"/>
        <v/>
      </c>
    </row>
    <row r="142" spans="4:8">
      <c r="D1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" t="str">
        <f t="shared" si="2"/>
        <v/>
      </c>
    </row>
    <row r="143" spans="4:8">
      <c r="D1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" t="str">
        <f t="shared" si="2"/>
        <v/>
      </c>
    </row>
    <row r="144" spans="4:8">
      <c r="D1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" t="str">
        <f t="shared" si="2"/>
        <v/>
      </c>
    </row>
    <row r="145" spans="4:8">
      <c r="D1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" t="str">
        <f t="shared" si="2"/>
        <v/>
      </c>
    </row>
    <row r="146" spans="4:8">
      <c r="D1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" t="str">
        <f t="shared" si="2"/>
        <v/>
      </c>
    </row>
    <row r="147" spans="4:8">
      <c r="D1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" t="str">
        <f t="shared" si="2"/>
        <v/>
      </c>
    </row>
    <row r="148" spans="4:8">
      <c r="D1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" t="str">
        <f t="shared" si="2"/>
        <v/>
      </c>
    </row>
    <row r="149" spans="4:8">
      <c r="D1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" t="str">
        <f t="shared" si="2"/>
        <v/>
      </c>
    </row>
    <row r="150" spans="4:8">
      <c r="D1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" t="str">
        <f t="shared" si="2"/>
        <v/>
      </c>
    </row>
    <row r="151" spans="4:8">
      <c r="D1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" t="str">
        <f t="shared" si="2"/>
        <v/>
      </c>
    </row>
    <row r="152" spans="4:8">
      <c r="D1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" t="str">
        <f t="shared" si="2"/>
        <v/>
      </c>
    </row>
    <row r="153" spans="4:8">
      <c r="D1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" t="str">
        <f t="shared" si="2"/>
        <v/>
      </c>
    </row>
    <row r="154" spans="4:8">
      <c r="D1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" t="str">
        <f t="shared" si="2"/>
        <v/>
      </c>
    </row>
    <row r="155" spans="4:8">
      <c r="D1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" t="str">
        <f t="shared" si="2"/>
        <v/>
      </c>
    </row>
    <row r="156" spans="4:8">
      <c r="D1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" t="str">
        <f t="shared" si="2"/>
        <v/>
      </c>
    </row>
    <row r="157" spans="4:8">
      <c r="D1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" t="str">
        <f t="shared" si="2"/>
        <v/>
      </c>
    </row>
    <row r="158" spans="4:8">
      <c r="D1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" t="str">
        <f t="shared" si="2"/>
        <v/>
      </c>
    </row>
    <row r="159" spans="4:8">
      <c r="D1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" t="str">
        <f t="shared" si="2"/>
        <v/>
      </c>
    </row>
    <row r="160" spans="4:8">
      <c r="D1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" t="str">
        <f t="shared" si="2"/>
        <v/>
      </c>
    </row>
    <row r="161" spans="4:8">
      <c r="D1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" t="str">
        <f t="shared" si="2"/>
        <v/>
      </c>
    </row>
    <row r="162" spans="4:8">
      <c r="D1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" t="str">
        <f t="shared" si="2"/>
        <v/>
      </c>
    </row>
    <row r="163" spans="4:8">
      <c r="D1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" t="str">
        <f t="shared" si="2"/>
        <v/>
      </c>
    </row>
    <row r="164" spans="4:8">
      <c r="D1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" t="str">
        <f t="shared" si="2"/>
        <v/>
      </c>
    </row>
    <row r="165" spans="4:8">
      <c r="D1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" t="str">
        <f t="shared" si="2"/>
        <v/>
      </c>
    </row>
    <row r="166" spans="4:8">
      <c r="D1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" t="str">
        <f t="shared" si="2"/>
        <v/>
      </c>
    </row>
    <row r="167" spans="4:8">
      <c r="D1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" t="str">
        <f t="shared" si="2"/>
        <v/>
      </c>
    </row>
    <row r="168" spans="4:8">
      <c r="D1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" t="str">
        <f t="shared" si="2"/>
        <v/>
      </c>
    </row>
    <row r="169" spans="4:8">
      <c r="D1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" t="str">
        <f t="shared" si="2"/>
        <v/>
      </c>
    </row>
    <row r="170" spans="4:8">
      <c r="D1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" t="str">
        <f t="shared" si="2"/>
        <v/>
      </c>
    </row>
    <row r="171" spans="4:8">
      <c r="D1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" t="str">
        <f t="shared" si="2"/>
        <v/>
      </c>
    </row>
    <row r="172" spans="4:8">
      <c r="D1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" t="str">
        <f t="shared" si="2"/>
        <v/>
      </c>
    </row>
    <row r="173" spans="4:8">
      <c r="D1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" t="str">
        <f t="shared" si="2"/>
        <v/>
      </c>
    </row>
    <row r="174" spans="4:8">
      <c r="D1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" t="str">
        <f t="shared" si="2"/>
        <v/>
      </c>
    </row>
    <row r="175" spans="4:8">
      <c r="D1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" t="str">
        <f t="shared" si="2"/>
        <v/>
      </c>
    </row>
    <row r="176" spans="4:8">
      <c r="D1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" t="str">
        <f t="shared" si="2"/>
        <v/>
      </c>
    </row>
    <row r="177" spans="4:8">
      <c r="D1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" t="str">
        <f t="shared" si="2"/>
        <v/>
      </c>
    </row>
    <row r="178" spans="4:8">
      <c r="D1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" t="str">
        <f t="shared" si="2"/>
        <v/>
      </c>
    </row>
    <row r="179" spans="4:8">
      <c r="D1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" t="str">
        <f t="shared" si="2"/>
        <v/>
      </c>
    </row>
    <row r="180" spans="4:8">
      <c r="D1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" t="str">
        <f t="shared" si="2"/>
        <v/>
      </c>
    </row>
    <row r="181" spans="4:8">
      <c r="D1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" t="str">
        <f t="shared" si="2"/>
        <v/>
      </c>
    </row>
    <row r="182" spans="4:8">
      <c r="D1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" t="str">
        <f t="shared" si="2"/>
        <v/>
      </c>
    </row>
    <row r="183" spans="4:8">
      <c r="D1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" t="str">
        <f t="shared" si="2"/>
        <v/>
      </c>
    </row>
    <row r="184" spans="4:8">
      <c r="D1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" t="str">
        <f t="shared" si="2"/>
        <v/>
      </c>
    </row>
    <row r="185" spans="4:8">
      <c r="D1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" t="str">
        <f t="shared" si="2"/>
        <v/>
      </c>
    </row>
    <row r="186" spans="4:8">
      <c r="D1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" t="str">
        <f t="shared" si="2"/>
        <v/>
      </c>
    </row>
    <row r="187" spans="4:8">
      <c r="D1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" t="str">
        <f t="shared" si="2"/>
        <v/>
      </c>
    </row>
    <row r="188" spans="4:8">
      <c r="D1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" t="str">
        <f t="shared" si="2"/>
        <v/>
      </c>
    </row>
    <row r="189" spans="4:8">
      <c r="D1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" t="str">
        <f t="shared" si="2"/>
        <v/>
      </c>
    </row>
    <row r="190" spans="4:8">
      <c r="D1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" t="str">
        <f t="shared" si="2"/>
        <v/>
      </c>
    </row>
    <row r="191" spans="4:8">
      <c r="D1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" t="str">
        <f t="shared" si="2"/>
        <v/>
      </c>
    </row>
    <row r="192" spans="4:8">
      <c r="D1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" t="str">
        <f t="shared" si="2"/>
        <v/>
      </c>
    </row>
    <row r="193" spans="4:8">
      <c r="D1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" t="str">
        <f t="shared" si="2"/>
        <v/>
      </c>
    </row>
    <row r="194" spans="4:8">
      <c r="D1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" t="str">
        <f t="shared" ref="H194:H257" si="3">IF((F194*G194)&lt;&gt;0,F194*G194,"")</f>
        <v/>
      </c>
    </row>
    <row r="195" spans="4:8">
      <c r="D1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" t="str">
        <f t="shared" si="3"/>
        <v/>
      </c>
    </row>
    <row r="196" spans="4:8">
      <c r="D1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" t="str">
        <f t="shared" si="3"/>
        <v/>
      </c>
    </row>
    <row r="197" spans="4:8">
      <c r="D1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" t="str">
        <f t="shared" si="3"/>
        <v/>
      </c>
    </row>
    <row r="198" spans="4:8">
      <c r="D1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" t="str">
        <f t="shared" si="3"/>
        <v/>
      </c>
    </row>
    <row r="199" spans="4:8">
      <c r="D1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" t="str">
        <f t="shared" si="3"/>
        <v/>
      </c>
    </row>
    <row r="200" spans="4:8">
      <c r="D200" s="3" t="str">
        <f>IF(_xlfn.XLOOKUP(Purchases[[#This Row],[Product Name]],Inventory[Product Name],Inventory[Product ID])="","",_xlfn.XLOOKUP(Purchases[[#This Row],[Product Name]],Inventory[Product Name],Inventory[Product ID]))</f>
        <v/>
      </c>
      <c r="H200" t="str">
        <f t="shared" si="3"/>
        <v/>
      </c>
    </row>
    <row r="201" spans="4:8">
      <c r="D201" s="3" t="str">
        <f>IF(_xlfn.XLOOKUP(Purchases[[#This Row],[Product Name]],Inventory[Product Name],Inventory[Product ID])="","",_xlfn.XLOOKUP(Purchases[[#This Row],[Product Name]],Inventory[Product Name],Inventory[Product ID]))</f>
        <v/>
      </c>
      <c r="H201" t="str">
        <f t="shared" si="3"/>
        <v/>
      </c>
    </row>
    <row r="202" spans="4:8">
      <c r="D202" s="3" t="str">
        <f>IF(_xlfn.XLOOKUP(Purchases[[#This Row],[Product Name]],Inventory[Product Name],Inventory[Product ID])="","",_xlfn.XLOOKUP(Purchases[[#This Row],[Product Name]],Inventory[Product Name],Inventory[Product ID]))</f>
        <v/>
      </c>
      <c r="H202" t="str">
        <f t="shared" si="3"/>
        <v/>
      </c>
    </row>
    <row r="203" spans="4:8">
      <c r="D203" s="3" t="str">
        <f>IF(_xlfn.XLOOKUP(Purchases[[#This Row],[Product Name]],Inventory[Product Name],Inventory[Product ID])="","",_xlfn.XLOOKUP(Purchases[[#This Row],[Product Name]],Inventory[Product Name],Inventory[Product ID]))</f>
        <v/>
      </c>
      <c r="H203" t="str">
        <f t="shared" si="3"/>
        <v/>
      </c>
    </row>
    <row r="204" spans="4:8">
      <c r="D204" s="3" t="str">
        <f>IF(_xlfn.XLOOKUP(Purchases[[#This Row],[Product Name]],Inventory[Product Name],Inventory[Product ID])="","",_xlfn.XLOOKUP(Purchases[[#This Row],[Product Name]],Inventory[Product Name],Inventory[Product ID]))</f>
        <v/>
      </c>
      <c r="H204" t="str">
        <f t="shared" si="3"/>
        <v/>
      </c>
    </row>
    <row r="205" spans="4:8">
      <c r="D205" s="3" t="str">
        <f>IF(_xlfn.XLOOKUP(Purchases[[#This Row],[Product Name]],Inventory[Product Name],Inventory[Product ID])="","",_xlfn.XLOOKUP(Purchases[[#This Row],[Product Name]],Inventory[Product Name],Inventory[Product ID]))</f>
        <v/>
      </c>
      <c r="H205" t="str">
        <f t="shared" si="3"/>
        <v/>
      </c>
    </row>
    <row r="206" spans="4:8">
      <c r="D206" s="3" t="str">
        <f>IF(_xlfn.XLOOKUP(Purchases[[#This Row],[Product Name]],Inventory[Product Name],Inventory[Product ID])="","",_xlfn.XLOOKUP(Purchases[[#This Row],[Product Name]],Inventory[Product Name],Inventory[Product ID]))</f>
        <v/>
      </c>
      <c r="H206" t="str">
        <f t="shared" si="3"/>
        <v/>
      </c>
    </row>
    <row r="207" spans="4:8">
      <c r="D207" s="3" t="str">
        <f>IF(_xlfn.XLOOKUP(Purchases[[#This Row],[Product Name]],Inventory[Product Name],Inventory[Product ID])="","",_xlfn.XLOOKUP(Purchases[[#This Row],[Product Name]],Inventory[Product Name],Inventory[Product ID]))</f>
        <v/>
      </c>
      <c r="H207" t="str">
        <f t="shared" si="3"/>
        <v/>
      </c>
    </row>
    <row r="208" spans="4:8">
      <c r="D208" s="3" t="str">
        <f>IF(_xlfn.XLOOKUP(Purchases[[#This Row],[Product Name]],Inventory[Product Name],Inventory[Product ID])="","",_xlfn.XLOOKUP(Purchases[[#This Row],[Product Name]],Inventory[Product Name],Inventory[Product ID]))</f>
        <v/>
      </c>
      <c r="H208" t="str">
        <f t="shared" si="3"/>
        <v/>
      </c>
    </row>
    <row r="209" spans="4:8">
      <c r="D209" s="3" t="str">
        <f>IF(_xlfn.XLOOKUP(Purchases[[#This Row],[Product Name]],Inventory[Product Name],Inventory[Product ID])="","",_xlfn.XLOOKUP(Purchases[[#This Row],[Product Name]],Inventory[Product Name],Inventory[Product ID]))</f>
        <v/>
      </c>
      <c r="H209" t="str">
        <f t="shared" si="3"/>
        <v/>
      </c>
    </row>
    <row r="210" spans="4:8">
      <c r="D210" s="3" t="str">
        <f>IF(_xlfn.XLOOKUP(Purchases[[#This Row],[Product Name]],Inventory[Product Name],Inventory[Product ID])="","",_xlfn.XLOOKUP(Purchases[[#This Row],[Product Name]],Inventory[Product Name],Inventory[Product ID]))</f>
        <v/>
      </c>
      <c r="H210" t="str">
        <f t="shared" si="3"/>
        <v/>
      </c>
    </row>
    <row r="211" spans="4:8">
      <c r="D211" s="3" t="str">
        <f>IF(_xlfn.XLOOKUP(Purchases[[#This Row],[Product Name]],Inventory[Product Name],Inventory[Product ID])="","",_xlfn.XLOOKUP(Purchases[[#This Row],[Product Name]],Inventory[Product Name],Inventory[Product ID]))</f>
        <v/>
      </c>
      <c r="H211" t="str">
        <f t="shared" si="3"/>
        <v/>
      </c>
    </row>
    <row r="212" spans="4:8">
      <c r="D212" s="3" t="str">
        <f>IF(_xlfn.XLOOKUP(Purchases[[#This Row],[Product Name]],Inventory[Product Name],Inventory[Product ID])="","",_xlfn.XLOOKUP(Purchases[[#This Row],[Product Name]],Inventory[Product Name],Inventory[Product ID]))</f>
        <v/>
      </c>
      <c r="H212" t="str">
        <f t="shared" si="3"/>
        <v/>
      </c>
    </row>
    <row r="213" spans="4:8">
      <c r="D213" s="3" t="str">
        <f>IF(_xlfn.XLOOKUP(Purchases[[#This Row],[Product Name]],Inventory[Product Name],Inventory[Product ID])="","",_xlfn.XLOOKUP(Purchases[[#This Row],[Product Name]],Inventory[Product Name],Inventory[Product ID]))</f>
        <v/>
      </c>
      <c r="H213" t="str">
        <f t="shared" si="3"/>
        <v/>
      </c>
    </row>
    <row r="214" spans="4:8">
      <c r="D214" s="3" t="str">
        <f>IF(_xlfn.XLOOKUP(Purchases[[#This Row],[Product Name]],Inventory[Product Name],Inventory[Product ID])="","",_xlfn.XLOOKUP(Purchases[[#This Row],[Product Name]],Inventory[Product Name],Inventory[Product ID]))</f>
        <v/>
      </c>
      <c r="H214" t="str">
        <f t="shared" si="3"/>
        <v/>
      </c>
    </row>
    <row r="215" spans="4:8">
      <c r="D215" s="3" t="str">
        <f>IF(_xlfn.XLOOKUP(Purchases[[#This Row],[Product Name]],Inventory[Product Name],Inventory[Product ID])="","",_xlfn.XLOOKUP(Purchases[[#This Row],[Product Name]],Inventory[Product Name],Inventory[Product ID]))</f>
        <v/>
      </c>
      <c r="H215" t="str">
        <f t="shared" si="3"/>
        <v/>
      </c>
    </row>
    <row r="216" spans="4:8">
      <c r="D216" s="3" t="str">
        <f>IF(_xlfn.XLOOKUP(Purchases[[#This Row],[Product Name]],Inventory[Product Name],Inventory[Product ID])="","",_xlfn.XLOOKUP(Purchases[[#This Row],[Product Name]],Inventory[Product Name],Inventory[Product ID]))</f>
        <v/>
      </c>
      <c r="H216" t="str">
        <f t="shared" si="3"/>
        <v/>
      </c>
    </row>
    <row r="217" spans="4:8">
      <c r="D217" s="3" t="str">
        <f>IF(_xlfn.XLOOKUP(Purchases[[#This Row],[Product Name]],Inventory[Product Name],Inventory[Product ID])="","",_xlfn.XLOOKUP(Purchases[[#This Row],[Product Name]],Inventory[Product Name],Inventory[Product ID]))</f>
        <v/>
      </c>
      <c r="H217" t="str">
        <f t="shared" si="3"/>
        <v/>
      </c>
    </row>
    <row r="218" spans="4:8">
      <c r="D218" s="3" t="str">
        <f>IF(_xlfn.XLOOKUP(Purchases[[#This Row],[Product Name]],Inventory[Product Name],Inventory[Product ID])="","",_xlfn.XLOOKUP(Purchases[[#This Row],[Product Name]],Inventory[Product Name],Inventory[Product ID]))</f>
        <v/>
      </c>
      <c r="H218" t="str">
        <f t="shared" si="3"/>
        <v/>
      </c>
    </row>
    <row r="219" spans="4:8">
      <c r="D219" s="3" t="str">
        <f>IF(_xlfn.XLOOKUP(Purchases[[#This Row],[Product Name]],Inventory[Product Name],Inventory[Product ID])="","",_xlfn.XLOOKUP(Purchases[[#This Row],[Product Name]],Inventory[Product Name],Inventory[Product ID]))</f>
        <v/>
      </c>
      <c r="H219" t="str">
        <f t="shared" si="3"/>
        <v/>
      </c>
    </row>
    <row r="220" spans="4:8">
      <c r="D220" s="3" t="str">
        <f>IF(_xlfn.XLOOKUP(Purchases[[#This Row],[Product Name]],Inventory[Product Name],Inventory[Product ID])="","",_xlfn.XLOOKUP(Purchases[[#This Row],[Product Name]],Inventory[Product Name],Inventory[Product ID]))</f>
        <v/>
      </c>
      <c r="H220" t="str">
        <f t="shared" si="3"/>
        <v/>
      </c>
    </row>
    <row r="221" spans="4:8">
      <c r="D221" s="3" t="str">
        <f>IF(_xlfn.XLOOKUP(Purchases[[#This Row],[Product Name]],Inventory[Product Name],Inventory[Product ID])="","",_xlfn.XLOOKUP(Purchases[[#This Row],[Product Name]],Inventory[Product Name],Inventory[Product ID]))</f>
        <v/>
      </c>
      <c r="H221" t="str">
        <f t="shared" si="3"/>
        <v/>
      </c>
    </row>
    <row r="222" spans="4:8">
      <c r="D222" s="3" t="str">
        <f>IF(_xlfn.XLOOKUP(Purchases[[#This Row],[Product Name]],Inventory[Product Name],Inventory[Product ID])="","",_xlfn.XLOOKUP(Purchases[[#This Row],[Product Name]],Inventory[Product Name],Inventory[Product ID]))</f>
        <v/>
      </c>
      <c r="H222" t="str">
        <f t="shared" si="3"/>
        <v/>
      </c>
    </row>
    <row r="223" spans="4:8">
      <c r="D223" s="3" t="str">
        <f>IF(_xlfn.XLOOKUP(Purchases[[#This Row],[Product Name]],Inventory[Product Name],Inventory[Product ID])="","",_xlfn.XLOOKUP(Purchases[[#This Row],[Product Name]],Inventory[Product Name],Inventory[Product ID]))</f>
        <v/>
      </c>
      <c r="H223" t="str">
        <f t="shared" si="3"/>
        <v/>
      </c>
    </row>
    <row r="224" spans="4:8">
      <c r="D224" s="3" t="str">
        <f>IF(_xlfn.XLOOKUP(Purchases[[#This Row],[Product Name]],Inventory[Product Name],Inventory[Product ID])="","",_xlfn.XLOOKUP(Purchases[[#This Row],[Product Name]],Inventory[Product Name],Inventory[Product ID]))</f>
        <v/>
      </c>
      <c r="H224" t="str">
        <f t="shared" si="3"/>
        <v/>
      </c>
    </row>
    <row r="225" spans="4:8">
      <c r="D225" s="3" t="str">
        <f>IF(_xlfn.XLOOKUP(Purchases[[#This Row],[Product Name]],Inventory[Product Name],Inventory[Product ID])="","",_xlfn.XLOOKUP(Purchases[[#This Row],[Product Name]],Inventory[Product Name],Inventory[Product ID]))</f>
        <v/>
      </c>
      <c r="H225" t="str">
        <f t="shared" si="3"/>
        <v/>
      </c>
    </row>
    <row r="226" spans="4:8">
      <c r="D226" s="3" t="str">
        <f>IF(_xlfn.XLOOKUP(Purchases[[#This Row],[Product Name]],Inventory[Product Name],Inventory[Product ID])="","",_xlfn.XLOOKUP(Purchases[[#This Row],[Product Name]],Inventory[Product Name],Inventory[Product ID]))</f>
        <v/>
      </c>
      <c r="H226" t="str">
        <f t="shared" si="3"/>
        <v/>
      </c>
    </row>
    <row r="227" spans="4:8">
      <c r="D227" s="3" t="str">
        <f>IF(_xlfn.XLOOKUP(Purchases[[#This Row],[Product Name]],Inventory[Product Name],Inventory[Product ID])="","",_xlfn.XLOOKUP(Purchases[[#This Row],[Product Name]],Inventory[Product Name],Inventory[Product ID]))</f>
        <v/>
      </c>
      <c r="H227" t="str">
        <f t="shared" si="3"/>
        <v/>
      </c>
    </row>
    <row r="228" spans="4:8">
      <c r="D228" s="3" t="str">
        <f>IF(_xlfn.XLOOKUP(Purchases[[#This Row],[Product Name]],Inventory[Product Name],Inventory[Product ID])="","",_xlfn.XLOOKUP(Purchases[[#This Row],[Product Name]],Inventory[Product Name],Inventory[Product ID]))</f>
        <v/>
      </c>
      <c r="H228" t="str">
        <f t="shared" si="3"/>
        <v/>
      </c>
    </row>
    <row r="229" spans="4:8">
      <c r="D229" s="3" t="str">
        <f>IF(_xlfn.XLOOKUP(Purchases[[#This Row],[Product Name]],Inventory[Product Name],Inventory[Product ID])="","",_xlfn.XLOOKUP(Purchases[[#This Row],[Product Name]],Inventory[Product Name],Inventory[Product ID]))</f>
        <v/>
      </c>
      <c r="H229" t="str">
        <f t="shared" si="3"/>
        <v/>
      </c>
    </row>
    <row r="230" spans="4:8">
      <c r="D230" s="3" t="str">
        <f>IF(_xlfn.XLOOKUP(Purchases[[#This Row],[Product Name]],Inventory[Product Name],Inventory[Product ID])="","",_xlfn.XLOOKUP(Purchases[[#This Row],[Product Name]],Inventory[Product Name],Inventory[Product ID]))</f>
        <v/>
      </c>
      <c r="H230" t="str">
        <f t="shared" si="3"/>
        <v/>
      </c>
    </row>
    <row r="231" spans="4:8">
      <c r="D231" s="3" t="str">
        <f>IF(_xlfn.XLOOKUP(Purchases[[#This Row],[Product Name]],Inventory[Product Name],Inventory[Product ID])="","",_xlfn.XLOOKUP(Purchases[[#This Row],[Product Name]],Inventory[Product Name],Inventory[Product ID]))</f>
        <v/>
      </c>
      <c r="H231" t="str">
        <f t="shared" si="3"/>
        <v/>
      </c>
    </row>
    <row r="232" spans="4:8">
      <c r="D232" s="3" t="str">
        <f>IF(_xlfn.XLOOKUP(Purchases[[#This Row],[Product Name]],Inventory[Product Name],Inventory[Product ID])="","",_xlfn.XLOOKUP(Purchases[[#This Row],[Product Name]],Inventory[Product Name],Inventory[Product ID]))</f>
        <v/>
      </c>
      <c r="H232" t="str">
        <f t="shared" si="3"/>
        <v/>
      </c>
    </row>
    <row r="233" spans="4:8">
      <c r="D233" s="3" t="str">
        <f>IF(_xlfn.XLOOKUP(Purchases[[#This Row],[Product Name]],Inventory[Product Name],Inventory[Product ID])="","",_xlfn.XLOOKUP(Purchases[[#This Row],[Product Name]],Inventory[Product Name],Inventory[Product ID]))</f>
        <v/>
      </c>
      <c r="H233" t="str">
        <f t="shared" si="3"/>
        <v/>
      </c>
    </row>
    <row r="234" spans="4:8">
      <c r="D234" s="3" t="str">
        <f>IF(_xlfn.XLOOKUP(Purchases[[#This Row],[Product Name]],Inventory[Product Name],Inventory[Product ID])="","",_xlfn.XLOOKUP(Purchases[[#This Row],[Product Name]],Inventory[Product Name],Inventory[Product ID]))</f>
        <v/>
      </c>
      <c r="H234" t="str">
        <f t="shared" si="3"/>
        <v/>
      </c>
    </row>
    <row r="235" spans="4:8">
      <c r="D235" s="3" t="str">
        <f>IF(_xlfn.XLOOKUP(Purchases[[#This Row],[Product Name]],Inventory[Product Name],Inventory[Product ID])="","",_xlfn.XLOOKUP(Purchases[[#This Row],[Product Name]],Inventory[Product Name],Inventory[Product ID]))</f>
        <v/>
      </c>
      <c r="H235" t="str">
        <f t="shared" si="3"/>
        <v/>
      </c>
    </row>
    <row r="236" spans="4:8">
      <c r="D236" s="3" t="str">
        <f>IF(_xlfn.XLOOKUP(Purchases[[#This Row],[Product Name]],Inventory[Product Name],Inventory[Product ID])="","",_xlfn.XLOOKUP(Purchases[[#This Row],[Product Name]],Inventory[Product Name],Inventory[Product ID]))</f>
        <v/>
      </c>
      <c r="H236" t="str">
        <f t="shared" si="3"/>
        <v/>
      </c>
    </row>
    <row r="237" spans="4:8">
      <c r="D237" s="3" t="str">
        <f>IF(_xlfn.XLOOKUP(Purchases[[#This Row],[Product Name]],Inventory[Product Name],Inventory[Product ID])="","",_xlfn.XLOOKUP(Purchases[[#This Row],[Product Name]],Inventory[Product Name],Inventory[Product ID]))</f>
        <v/>
      </c>
      <c r="H237" t="str">
        <f t="shared" si="3"/>
        <v/>
      </c>
    </row>
    <row r="238" spans="4:8">
      <c r="D238" s="3" t="str">
        <f>IF(_xlfn.XLOOKUP(Purchases[[#This Row],[Product Name]],Inventory[Product Name],Inventory[Product ID])="","",_xlfn.XLOOKUP(Purchases[[#This Row],[Product Name]],Inventory[Product Name],Inventory[Product ID]))</f>
        <v/>
      </c>
      <c r="H238" t="str">
        <f t="shared" si="3"/>
        <v/>
      </c>
    </row>
    <row r="239" spans="4:8">
      <c r="D239" s="3" t="str">
        <f>IF(_xlfn.XLOOKUP(Purchases[[#This Row],[Product Name]],Inventory[Product Name],Inventory[Product ID])="","",_xlfn.XLOOKUP(Purchases[[#This Row],[Product Name]],Inventory[Product Name],Inventory[Product ID]))</f>
        <v/>
      </c>
      <c r="H239" t="str">
        <f t="shared" si="3"/>
        <v/>
      </c>
    </row>
    <row r="240" spans="4:8">
      <c r="D240" s="3" t="str">
        <f>IF(_xlfn.XLOOKUP(Purchases[[#This Row],[Product Name]],Inventory[Product Name],Inventory[Product ID])="","",_xlfn.XLOOKUP(Purchases[[#This Row],[Product Name]],Inventory[Product Name],Inventory[Product ID]))</f>
        <v/>
      </c>
      <c r="H240" t="str">
        <f t="shared" si="3"/>
        <v/>
      </c>
    </row>
    <row r="241" spans="4:8">
      <c r="D241" s="3" t="str">
        <f>IF(_xlfn.XLOOKUP(Purchases[[#This Row],[Product Name]],Inventory[Product Name],Inventory[Product ID])="","",_xlfn.XLOOKUP(Purchases[[#This Row],[Product Name]],Inventory[Product Name],Inventory[Product ID]))</f>
        <v/>
      </c>
      <c r="H241" t="str">
        <f t="shared" si="3"/>
        <v/>
      </c>
    </row>
    <row r="242" spans="4:8">
      <c r="D242" s="3" t="str">
        <f>IF(_xlfn.XLOOKUP(Purchases[[#This Row],[Product Name]],Inventory[Product Name],Inventory[Product ID])="","",_xlfn.XLOOKUP(Purchases[[#This Row],[Product Name]],Inventory[Product Name],Inventory[Product ID]))</f>
        <v/>
      </c>
      <c r="H242" t="str">
        <f t="shared" si="3"/>
        <v/>
      </c>
    </row>
    <row r="243" spans="4:8">
      <c r="D243" s="3" t="str">
        <f>IF(_xlfn.XLOOKUP(Purchases[[#This Row],[Product Name]],Inventory[Product Name],Inventory[Product ID])="","",_xlfn.XLOOKUP(Purchases[[#This Row],[Product Name]],Inventory[Product Name],Inventory[Product ID]))</f>
        <v/>
      </c>
      <c r="H243" t="str">
        <f t="shared" si="3"/>
        <v/>
      </c>
    </row>
    <row r="244" spans="4:8">
      <c r="D244" s="3" t="str">
        <f>IF(_xlfn.XLOOKUP(Purchases[[#This Row],[Product Name]],Inventory[Product Name],Inventory[Product ID])="","",_xlfn.XLOOKUP(Purchases[[#This Row],[Product Name]],Inventory[Product Name],Inventory[Product ID]))</f>
        <v/>
      </c>
      <c r="H244" t="str">
        <f t="shared" si="3"/>
        <v/>
      </c>
    </row>
    <row r="245" spans="4:8">
      <c r="D245" s="3" t="str">
        <f>IF(_xlfn.XLOOKUP(Purchases[[#This Row],[Product Name]],Inventory[Product Name],Inventory[Product ID])="","",_xlfn.XLOOKUP(Purchases[[#This Row],[Product Name]],Inventory[Product Name],Inventory[Product ID]))</f>
        <v/>
      </c>
      <c r="H245" t="str">
        <f t="shared" si="3"/>
        <v/>
      </c>
    </row>
    <row r="246" spans="4:8">
      <c r="D246" s="3" t="str">
        <f>IF(_xlfn.XLOOKUP(Purchases[[#This Row],[Product Name]],Inventory[Product Name],Inventory[Product ID])="","",_xlfn.XLOOKUP(Purchases[[#This Row],[Product Name]],Inventory[Product Name],Inventory[Product ID]))</f>
        <v/>
      </c>
      <c r="H246" t="str">
        <f t="shared" si="3"/>
        <v/>
      </c>
    </row>
    <row r="247" spans="4:8">
      <c r="D247" s="3" t="str">
        <f>IF(_xlfn.XLOOKUP(Purchases[[#This Row],[Product Name]],Inventory[Product Name],Inventory[Product ID])="","",_xlfn.XLOOKUP(Purchases[[#This Row],[Product Name]],Inventory[Product Name],Inventory[Product ID]))</f>
        <v/>
      </c>
      <c r="H247" t="str">
        <f t="shared" si="3"/>
        <v/>
      </c>
    </row>
    <row r="248" spans="4:8">
      <c r="D248" s="3" t="str">
        <f>IF(_xlfn.XLOOKUP(Purchases[[#This Row],[Product Name]],Inventory[Product Name],Inventory[Product ID])="","",_xlfn.XLOOKUP(Purchases[[#This Row],[Product Name]],Inventory[Product Name],Inventory[Product ID]))</f>
        <v/>
      </c>
      <c r="H248" t="str">
        <f t="shared" si="3"/>
        <v/>
      </c>
    </row>
    <row r="249" spans="4:8">
      <c r="D249" s="3" t="str">
        <f>IF(_xlfn.XLOOKUP(Purchases[[#This Row],[Product Name]],Inventory[Product Name],Inventory[Product ID])="","",_xlfn.XLOOKUP(Purchases[[#This Row],[Product Name]],Inventory[Product Name],Inventory[Product ID]))</f>
        <v/>
      </c>
      <c r="H249" t="str">
        <f t="shared" si="3"/>
        <v/>
      </c>
    </row>
    <row r="250" spans="4:8">
      <c r="D250" s="3" t="str">
        <f>IF(_xlfn.XLOOKUP(Purchases[[#This Row],[Product Name]],Inventory[Product Name],Inventory[Product ID])="","",_xlfn.XLOOKUP(Purchases[[#This Row],[Product Name]],Inventory[Product Name],Inventory[Product ID]))</f>
        <v/>
      </c>
      <c r="H250" t="str">
        <f t="shared" si="3"/>
        <v/>
      </c>
    </row>
    <row r="251" spans="4:8">
      <c r="D251" s="3" t="str">
        <f>IF(_xlfn.XLOOKUP(Purchases[[#This Row],[Product Name]],Inventory[Product Name],Inventory[Product ID])="","",_xlfn.XLOOKUP(Purchases[[#This Row],[Product Name]],Inventory[Product Name],Inventory[Product ID]))</f>
        <v/>
      </c>
      <c r="H251" t="str">
        <f t="shared" si="3"/>
        <v/>
      </c>
    </row>
    <row r="252" spans="4:8">
      <c r="D252" s="3" t="str">
        <f>IF(_xlfn.XLOOKUP(Purchases[[#This Row],[Product Name]],Inventory[Product Name],Inventory[Product ID])="","",_xlfn.XLOOKUP(Purchases[[#This Row],[Product Name]],Inventory[Product Name],Inventory[Product ID]))</f>
        <v/>
      </c>
      <c r="H252" t="str">
        <f t="shared" si="3"/>
        <v/>
      </c>
    </row>
    <row r="253" spans="4:8">
      <c r="D253" s="3" t="str">
        <f>IF(_xlfn.XLOOKUP(Purchases[[#This Row],[Product Name]],Inventory[Product Name],Inventory[Product ID])="","",_xlfn.XLOOKUP(Purchases[[#This Row],[Product Name]],Inventory[Product Name],Inventory[Product ID]))</f>
        <v/>
      </c>
      <c r="H253" t="str">
        <f t="shared" si="3"/>
        <v/>
      </c>
    </row>
    <row r="254" spans="4:8">
      <c r="D254" s="3" t="str">
        <f>IF(_xlfn.XLOOKUP(Purchases[[#This Row],[Product Name]],Inventory[Product Name],Inventory[Product ID])="","",_xlfn.XLOOKUP(Purchases[[#This Row],[Product Name]],Inventory[Product Name],Inventory[Product ID]))</f>
        <v/>
      </c>
      <c r="H254" t="str">
        <f t="shared" si="3"/>
        <v/>
      </c>
    </row>
    <row r="255" spans="4:8">
      <c r="D255" s="3" t="str">
        <f>IF(_xlfn.XLOOKUP(Purchases[[#This Row],[Product Name]],Inventory[Product Name],Inventory[Product ID])="","",_xlfn.XLOOKUP(Purchases[[#This Row],[Product Name]],Inventory[Product Name],Inventory[Product ID]))</f>
        <v/>
      </c>
      <c r="H255" t="str">
        <f t="shared" si="3"/>
        <v/>
      </c>
    </row>
    <row r="256" spans="4:8">
      <c r="D256" s="3" t="str">
        <f>IF(_xlfn.XLOOKUP(Purchases[[#This Row],[Product Name]],Inventory[Product Name],Inventory[Product ID])="","",_xlfn.XLOOKUP(Purchases[[#This Row],[Product Name]],Inventory[Product Name],Inventory[Product ID]))</f>
        <v/>
      </c>
      <c r="H256" t="str">
        <f t="shared" si="3"/>
        <v/>
      </c>
    </row>
    <row r="257" spans="4:8">
      <c r="D257" s="3" t="str">
        <f>IF(_xlfn.XLOOKUP(Purchases[[#This Row],[Product Name]],Inventory[Product Name],Inventory[Product ID])="","",_xlfn.XLOOKUP(Purchases[[#This Row],[Product Name]],Inventory[Product Name],Inventory[Product ID]))</f>
        <v/>
      </c>
      <c r="H257" t="str">
        <f t="shared" si="3"/>
        <v/>
      </c>
    </row>
    <row r="258" spans="4:8">
      <c r="D258" s="3" t="str">
        <f>IF(_xlfn.XLOOKUP(Purchases[[#This Row],[Product Name]],Inventory[Product Name],Inventory[Product ID])="","",_xlfn.XLOOKUP(Purchases[[#This Row],[Product Name]],Inventory[Product Name],Inventory[Product ID]))</f>
        <v/>
      </c>
      <c r="H258" t="str">
        <f t="shared" ref="H258:H321" si="4">IF((F258*G258)&lt;&gt;0,F258*G258,"")</f>
        <v/>
      </c>
    </row>
    <row r="259" spans="4:8">
      <c r="D259" s="3" t="str">
        <f>IF(_xlfn.XLOOKUP(Purchases[[#This Row],[Product Name]],Inventory[Product Name],Inventory[Product ID])="","",_xlfn.XLOOKUP(Purchases[[#This Row],[Product Name]],Inventory[Product Name],Inventory[Product ID]))</f>
        <v/>
      </c>
      <c r="H259" t="str">
        <f t="shared" si="4"/>
        <v/>
      </c>
    </row>
    <row r="260" spans="4:8">
      <c r="D260" s="3" t="str">
        <f>IF(_xlfn.XLOOKUP(Purchases[[#This Row],[Product Name]],Inventory[Product Name],Inventory[Product ID])="","",_xlfn.XLOOKUP(Purchases[[#This Row],[Product Name]],Inventory[Product Name],Inventory[Product ID]))</f>
        <v/>
      </c>
      <c r="H260" t="str">
        <f t="shared" si="4"/>
        <v/>
      </c>
    </row>
    <row r="261" spans="4:8">
      <c r="D261" s="3" t="str">
        <f>IF(_xlfn.XLOOKUP(Purchases[[#This Row],[Product Name]],Inventory[Product Name],Inventory[Product ID])="","",_xlfn.XLOOKUP(Purchases[[#This Row],[Product Name]],Inventory[Product Name],Inventory[Product ID]))</f>
        <v/>
      </c>
      <c r="H261" t="str">
        <f t="shared" si="4"/>
        <v/>
      </c>
    </row>
    <row r="262" spans="4:8">
      <c r="D262" s="3" t="str">
        <f>IF(_xlfn.XLOOKUP(Purchases[[#This Row],[Product Name]],Inventory[Product Name],Inventory[Product ID])="","",_xlfn.XLOOKUP(Purchases[[#This Row],[Product Name]],Inventory[Product Name],Inventory[Product ID]))</f>
        <v/>
      </c>
      <c r="H262" t="str">
        <f t="shared" si="4"/>
        <v/>
      </c>
    </row>
    <row r="263" spans="4:8">
      <c r="D263" s="3" t="str">
        <f>IF(_xlfn.XLOOKUP(Purchases[[#This Row],[Product Name]],Inventory[Product Name],Inventory[Product ID])="","",_xlfn.XLOOKUP(Purchases[[#This Row],[Product Name]],Inventory[Product Name],Inventory[Product ID]))</f>
        <v/>
      </c>
      <c r="H263" t="str">
        <f t="shared" si="4"/>
        <v/>
      </c>
    </row>
    <row r="264" spans="4:8">
      <c r="D264" s="3" t="str">
        <f>IF(_xlfn.XLOOKUP(Purchases[[#This Row],[Product Name]],Inventory[Product Name],Inventory[Product ID])="","",_xlfn.XLOOKUP(Purchases[[#This Row],[Product Name]],Inventory[Product Name],Inventory[Product ID]))</f>
        <v/>
      </c>
      <c r="H264" t="str">
        <f t="shared" si="4"/>
        <v/>
      </c>
    </row>
    <row r="265" spans="4:8">
      <c r="D265" s="3" t="str">
        <f>IF(_xlfn.XLOOKUP(Purchases[[#This Row],[Product Name]],Inventory[Product Name],Inventory[Product ID])="","",_xlfn.XLOOKUP(Purchases[[#This Row],[Product Name]],Inventory[Product Name],Inventory[Product ID]))</f>
        <v/>
      </c>
      <c r="H265" t="str">
        <f t="shared" si="4"/>
        <v/>
      </c>
    </row>
    <row r="266" spans="4:8">
      <c r="D266" s="3" t="str">
        <f>IF(_xlfn.XLOOKUP(Purchases[[#This Row],[Product Name]],Inventory[Product Name],Inventory[Product ID])="","",_xlfn.XLOOKUP(Purchases[[#This Row],[Product Name]],Inventory[Product Name],Inventory[Product ID]))</f>
        <v/>
      </c>
      <c r="H266" t="str">
        <f t="shared" si="4"/>
        <v/>
      </c>
    </row>
    <row r="267" spans="4:8">
      <c r="D267" s="3" t="str">
        <f>IF(_xlfn.XLOOKUP(Purchases[[#This Row],[Product Name]],Inventory[Product Name],Inventory[Product ID])="","",_xlfn.XLOOKUP(Purchases[[#This Row],[Product Name]],Inventory[Product Name],Inventory[Product ID]))</f>
        <v/>
      </c>
      <c r="H267" t="str">
        <f t="shared" si="4"/>
        <v/>
      </c>
    </row>
    <row r="268" spans="4:8">
      <c r="D268" s="3" t="str">
        <f>IF(_xlfn.XLOOKUP(Purchases[[#This Row],[Product Name]],Inventory[Product Name],Inventory[Product ID])="","",_xlfn.XLOOKUP(Purchases[[#This Row],[Product Name]],Inventory[Product Name],Inventory[Product ID]))</f>
        <v/>
      </c>
      <c r="H268" t="str">
        <f t="shared" si="4"/>
        <v/>
      </c>
    </row>
    <row r="269" spans="4:8">
      <c r="D269" s="3" t="str">
        <f>IF(_xlfn.XLOOKUP(Purchases[[#This Row],[Product Name]],Inventory[Product Name],Inventory[Product ID])="","",_xlfn.XLOOKUP(Purchases[[#This Row],[Product Name]],Inventory[Product Name],Inventory[Product ID]))</f>
        <v/>
      </c>
      <c r="H269" t="str">
        <f t="shared" si="4"/>
        <v/>
      </c>
    </row>
    <row r="270" spans="4:8">
      <c r="D270" s="3" t="str">
        <f>IF(_xlfn.XLOOKUP(Purchases[[#This Row],[Product Name]],Inventory[Product Name],Inventory[Product ID])="","",_xlfn.XLOOKUP(Purchases[[#This Row],[Product Name]],Inventory[Product Name],Inventory[Product ID]))</f>
        <v/>
      </c>
      <c r="H270" t="str">
        <f t="shared" si="4"/>
        <v/>
      </c>
    </row>
    <row r="271" spans="4:8">
      <c r="D271" s="3" t="str">
        <f>IF(_xlfn.XLOOKUP(Purchases[[#This Row],[Product Name]],Inventory[Product Name],Inventory[Product ID])="","",_xlfn.XLOOKUP(Purchases[[#This Row],[Product Name]],Inventory[Product Name],Inventory[Product ID]))</f>
        <v/>
      </c>
      <c r="H271" t="str">
        <f t="shared" si="4"/>
        <v/>
      </c>
    </row>
    <row r="272" spans="4:8">
      <c r="D272" s="3" t="str">
        <f>IF(_xlfn.XLOOKUP(Purchases[[#This Row],[Product Name]],Inventory[Product Name],Inventory[Product ID])="","",_xlfn.XLOOKUP(Purchases[[#This Row],[Product Name]],Inventory[Product Name],Inventory[Product ID]))</f>
        <v/>
      </c>
      <c r="H272" t="str">
        <f t="shared" si="4"/>
        <v/>
      </c>
    </row>
    <row r="273" spans="4:8">
      <c r="D273" s="3" t="str">
        <f>IF(_xlfn.XLOOKUP(Purchases[[#This Row],[Product Name]],Inventory[Product Name],Inventory[Product ID])="","",_xlfn.XLOOKUP(Purchases[[#This Row],[Product Name]],Inventory[Product Name],Inventory[Product ID]))</f>
        <v/>
      </c>
      <c r="H273" t="str">
        <f t="shared" si="4"/>
        <v/>
      </c>
    </row>
    <row r="274" spans="4:8">
      <c r="D274" s="3" t="str">
        <f>IF(_xlfn.XLOOKUP(Purchases[[#This Row],[Product Name]],Inventory[Product Name],Inventory[Product ID])="","",_xlfn.XLOOKUP(Purchases[[#This Row],[Product Name]],Inventory[Product Name],Inventory[Product ID]))</f>
        <v/>
      </c>
      <c r="H274" t="str">
        <f t="shared" si="4"/>
        <v/>
      </c>
    </row>
    <row r="275" spans="4:8">
      <c r="D275" s="3" t="str">
        <f>IF(_xlfn.XLOOKUP(Purchases[[#This Row],[Product Name]],Inventory[Product Name],Inventory[Product ID])="","",_xlfn.XLOOKUP(Purchases[[#This Row],[Product Name]],Inventory[Product Name],Inventory[Product ID]))</f>
        <v/>
      </c>
      <c r="H275" t="str">
        <f t="shared" si="4"/>
        <v/>
      </c>
    </row>
    <row r="276" spans="4:8">
      <c r="D276" s="3" t="str">
        <f>IF(_xlfn.XLOOKUP(Purchases[[#This Row],[Product Name]],Inventory[Product Name],Inventory[Product ID])="","",_xlfn.XLOOKUP(Purchases[[#This Row],[Product Name]],Inventory[Product Name],Inventory[Product ID]))</f>
        <v/>
      </c>
      <c r="H276" t="str">
        <f t="shared" si="4"/>
        <v/>
      </c>
    </row>
    <row r="277" spans="4:8">
      <c r="D277" s="3" t="str">
        <f>IF(_xlfn.XLOOKUP(Purchases[[#This Row],[Product Name]],Inventory[Product Name],Inventory[Product ID])="","",_xlfn.XLOOKUP(Purchases[[#This Row],[Product Name]],Inventory[Product Name],Inventory[Product ID]))</f>
        <v/>
      </c>
      <c r="H277" t="str">
        <f t="shared" si="4"/>
        <v/>
      </c>
    </row>
    <row r="278" spans="4:8">
      <c r="D278" s="3" t="str">
        <f>IF(_xlfn.XLOOKUP(Purchases[[#This Row],[Product Name]],Inventory[Product Name],Inventory[Product ID])="","",_xlfn.XLOOKUP(Purchases[[#This Row],[Product Name]],Inventory[Product Name],Inventory[Product ID]))</f>
        <v/>
      </c>
      <c r="H278" t="str">
        <f t="shared" si="4"/>
        <v/>
      </c>
    </row>
    <row r="279" spans="4:8">
      <c r="D279" s="3" t="str">
        <f>IF(_xlfn.XLOOKUP(Purchases[[#This Row],[Product Name]],Inventory[Product Name],Inventory[Product ID])="","",_xlfn.XLOOKUP(Purchases[[#This Row],[Product Name]],Inventory[Product Name],Inventory[Product ID]))</f>
        <v/>
      </c>
      <c r="H279" t="str">
        <f t="shared" si="4"/>
        <v/>
      </c>
    </row>
    <row r="280" spans="4:8">
      <c r="D280" s="3" t="str">
        <f>IF(_xlfn.XLOOKUP(Purchases[[#This Row],[Product Name]],Inventory[Product Name],Inventory[Product ID])="","",_xlfn.XLOOKUP(Purchases[[#This Row],[Product Name]],Inventory[Product Name],Inventory[Product ID]))</f>
        <v/>
      </c>
      <c r="H280" t="str">
        <f t="shared" si="4"/>
        <v/>
      </c>
    </row>
    <row r="281" spans="4:8">
      <c r="D281" s="3" t="str">
        <f>IF(_xlfn.XLOOKUP(Purchases[[#This Row],[Product Name]],Inventory[Product Name],Inventory[Product ID])="","",_xlfn.XLOOKUP(Purchases[[#This Row],[Product Name]],Inventory[Product Name],Inventory[Product ID]))</f>
        <v/>
      </c>
      <c r="H281" t="str">
        <f t="shared" si="4"/>
        <v/>
      </c>
    </row>
    <row r="282" spans="4:8">
      <c r="D282" s="3" t="str">
        <f>IF(_xlfn.XLOOKUP(Purchases[[#This Row],[Product Name]],Inventory[Product Name],Inventory[Product ID])="","",_xlfn.XLOOKUP(Purchases[[#This Row],[Product Name]],Inventory[Product Name],Inventory[Product ID]))</f>
        <v/>
      </c>
      <c r="H282" t="str">
        <f t="shared" si="4"/>
        <v/>
      </c>
    </row>
    <row r="283" spans="4:8">
      <c r="D283" s="3" t="str">
        <f>IF(_xlfn.XLOOKUP(Purchases[[#This Row],[Product Name]],Inventory[Product Name],Inventory[Product ID])="","",_xlfn.XLOOKUP(Purchases[[#This Row],[Product Name]],Inventory[Product Name],Inventory[Product ID]))</f>
        <v/>
      </c>
      <c r="H283" t="str">
        <f t="shared" si="4"/>
        <v/>
      </c>
    </row>
    <row r="284" spans="4:8">
      <c r="D284" s="3" t="str">
        <f>IF(_xlfn.XLOOKUP(Purchases[[#This Row],[Product Name]],Inventory[Product Name],Inventory[Product ID])="","",_xlfn.XLOOKUP(Purchases[[#This Row],[Product Name]],Inventory[Product Name],Inventory[Product ID]))</f>
        <v/>
      </c>
      <c r="H284" t="str">
        <f t="shared" si="4"/>
        <v/>
      </c>
    </row>
    <row r="285" spans="4:8">
      <c r="D285" s="3" t="str">
        <f>IF(_xlfn.XLOOKUP(Purchases[[#This Row],[Product Name]],Inventory[Product Name],Inventory[Product ID])="","",_xlfn.XLOOKUP(Purchases[[#This Row],[Product Name]],Inventory[Product Name],Inventory[Product ID]))</f>
        <v/>
      </c>
      <c r="H285" t="str">
        <f t="shared" si="4"/>
        <v/>
      </c>
    </row>
    <row r="286" spans="4:8">
      <c r="D286" s="3" t="str">
        <f>IF(_xlfn.XLOOKUP(Purchases[[#This Row],[Product Name]],Inventory[Product Name],Inventory[Product ID])="","",_xlfn.XLOOKUP(Purchases[[#This Row],[Product Name]],Inventory[Product Name],Inventory[Product ID]))</f>
        <v/>
      </c>
      <c r="H286" t="str">
        <f t="shared" si="4"/>
        <v/>
      </c>
    </row>
    <row r="287" spans="4:8">
      <c r="D287" s="3" t="str">
        <f>IF(_xlfn.XLOOKUP(Purchases[[#This Row],[Product Name]],Inventory[Product Name],Inventory[Product ID])="","",_xlfn.XLOOKUP(Purchases[[#This Row],[Product Name]],Inventory[Product Name],Inventory[Product ID]))</f>
        <v/>
      </c>
      <c r="H287" t="str">
        <f t="shared" si="4"/>
        <v/>
      </c>
    </row>
    <row r="288" spans="4:8">
      <c r="D288" s="3" t="str">
        <f>IF(_xlfn.XLOOKUP(Purchases[[#This Row],[Product Name]],Inventory[Product Name],Inventory[Product ID])="","",_xlfn.XLOOKUP(Purchases[[#This Row],[Product Name]],Inventory[Product Name],Inventory[Product ID]))</f>
        <v/>
      </c>
      <c r="H288" t="str">
        <f t="shared" si="4"/>
        <v/>
      </c>
    </row>
    <row r="289" spans="4:8">
      <c r="D289" s="3" t="str">
        <f>IF(_xlfn.XLOOKUP(Purchases[[#This Row],[Product Name]],Inventory[Product Name],Inventory[Product ID])="","",_xlfn.XLOOKUP(Purchases[[#This Row],[Product Name]],Inventory[Product Name],Inventory[Product ID]))</f>
        <v/>
      </c>
      <c r="H289" t="str">
        <f t="shared" si="4"/>
        <v/>
      </c>
    </row>
    <row r="290" spans="4:8">
      <c r="D290" s="3" t="str">
        <f>IF(_xlfn.XLOOKUP(Purchases[[#This Row],[Product Name]],Inventory[Product Name],Inventory[Product ID])="","",_xlfn.XLOOKUP(Purchases[[#This Row],[Product Name]],Inventory[Product Name],Inventory[Product ID]))</f>
        <v/>
      </c>
      <c r="H290" t="str">
        <f t="shared" si="4"/>
        <v/>
      </c>
    </row>
    <row r="291" spans="4:8">
      <c r="D291" s="3" t="str">
        <f>IF(_xlfn.XLOOKUP(Purchases[[#This Row],[Product Name]],Inventory[Product Name],Inventory[Product ID])="","",_xlfn.XLOOKUP(Purchases[[#This Row],[Product Name]],Inventory[Product Name],Inventory[Product ID]))</f>
        <v/>
      </c>
      <c r="H291" t="str">
        <f t="shared" si="4"/>
        <v/>
      </c>
    </row>
    <row r="292" spans="4:8">
      <c r="D292" s="3" t="str">
        <f>IF(_xlfn.XLOOKUP(Purchases[[#This Row],[Product Name]],Inventory[Product Name],Inventory[Product ID])="","",_xlfn.XLOOKUP(Purchases[[#This Row],[Product Name]],Inventory[Product Name],Inventory[Product ID]))</f>
        <v/>
      </c>
      <c r="H292" t="str">
        <f t="shared" si="4"/>
        <v/>
      </c>
    </row>
    <row r="293" spans="4:8">
      <c r="D293" s="3" t="str">
        <f>IF(_xlfn.XLOOKUP(Purchases[[#This Row],[Product Name]],Inventory[Product Name],Inventory[Product ID])="","",_xlfn.XLOOKUP(Purchases[[#This Row],[Product Name]],Inventory[Product Name],Inventory[Product ID]))</f>
        <v/>
      </c>
      <c r="H293" t="str">
        <f t="shared" si="4"/>
        <v/>
      </c>
    </row>
    <row r="294" spans="4:8">
      <c r="D294" s="3" t="str">
        <f>IF(_xlfn.XLOOKUP(Purchases[[#This Row],[Product Name]],Inventory[Product Name],Inventory[Product ID])="","",_xlfn.XLOOKUP(Purchases[[#This Row],[Product Name]],Inventory[Product Name],Inventory[Product ID]))</f>
        <v/>
      </c>
      <c r="H294" t="str">
        <f t="shared" si="4"/>
        <v/>
      </c>
    </row>
    <row r="295" spans="4:8">
      <c r="D295" s="3" t="str">
        <f>IF(_xlfn.XLOOKUP(Purchases[[#This Row],[Product Name]],Inventory[Product Name],Inventory[Product ID])="","",_xlfn.XLOOKUP(Purchases[[#This Row],[Product Name]],Inventory[Product Name],Inventory[Product ID]))</f>
        <v/>
      </c>
      <c r="H295" t="str">
        <f t="shared" si="4"/>
        <v/>
      </c>
    </row>
    <row r="296" spans="4:8">
      <c r="D296" s="3" t="str">
        <f>IF(_xlfn.XLOOKUP(Purchases[[#This Row],[Product Name]],Inventory[Product Name],Inventory[Product ID])="","",_xlfn.XLOOKUP(Purchases[[#This Row],[Product Name]],Inventory[Product Name],Inventory[Product ID]))</f>
        <v/>
      </c>
      <c r="H296" t="str">
        <f t="shared" si="4"/>
        <v/>
      </c>
    </row>
    <row r="297" spans="4:8">
      <c r="D297" s="3" t="str">
        <f>IF(_xlfn.XLOOKUP(Purchases[[#This Row],[Product Name]],Inventory[Product Name],Inventory[Product ID])="","",_xlfn.XLOOKUP(Purchases[[#This Row],[Product Name]],Inventory[Product Name],Inventory[Product ID]))</f>
        <v/>
      </c>
      <c r="H297" t="str">
        <f t="shared" si="4"/>
        <v/>
      </c>
    </row>
    <row r="298" spans="4:8">
      <c r="D298" s="3" t="str">
        <f>IF(_xlfn.XLOOKUP(Purchases[[#This Row],[Product Name]],Inventory[Product Name],Inventory[Product ID])="","",_xlfn.XLOOKUP(Purchases[[#This Row],[Product Name]],Inventory[Product Name],Inventory[Product ID]))</f>
        <v/>
      </c>
      <c r="H298" t="str">
        <f t="shared" si="4"/>
        <v/>
      </c>
    </row>
    <row r="299" spans="4:8">
      <c r="D299" s="3" t="str">
        <f>IF(_xlfn.XLOOKUP(Purchases[[#This Row],[Product Name]],Inventory[Product Name],Inventory[Product ID])="","",_xlfn.XLOOKUP(Purchases[[#This Row],[Product Name]],Inventory[Product Name],Inventory[Product ID]))</f>
        <v/>
      </c>
      <c r="H299" t="str">
        <f t="shared" si="4"/>
        <v/>
      </c>
    </row>
    <row r="300" spans="4:8">
      <c r="D300" s="3" t="str">
        <f>IF(_xlfn.XLOOKUP(Purchases[[#This Row],[Product Name]],Inventory[Product Name],Inventory[Product ID])="","",_xlfn.XLOOKUP(Purchases[[#This Row],[Product Name]],Inventory[Product Name],Inventory[Product ID]))</f>
        <v/>
      </c>
      <c r="H300" t="str">
        <f t="shared" si="4"/>
        <v/>
      </c>
    </row>
    <row r="301" spans="4:8">
      <c r="D301" s="3" t="str">
        <f>IF(_xlfn.XLOOKUP(Purchases[[#This Row],[Product Name]],Inventory[Product Name],Inventory[Product ID])="","",_xlfn.XLOOKUP(Purchases[[#This Row],[Product Name]],Inventory[Product Name],Inventory[Product ID]))</f>
        <v/>
      </c>
      <c r="H301" t="str">
        <f t="shared" si="4"/>
        <v/>
      </c>
    </row>
    <row r="302" spans="4:8">
      <c r="D302" s="3" t="str">
        <f>IF(_xlfn.XLOOKUP(Purchases[[#This Row],[Product Name]],Inventory[Product Name],Inventory[Product ID])="","",_xlfn.XLOOKUP(Purchases[[#This Row],[Product Name]],Inventory[Product Name],Inventory[Product ID]))</f>
        <v/>
      </c>
      <c r="H302" t="str">
        <f t="shared" si="4"/>
        <v/>
      </c>
    </row>
    <row r="303" spans="4:8">
      <c r="D303" s="3" t="str">
        <f>IF(_xlfn.XLOOKUP(Purchases[[#This Row],[Product Name]],Inventory[Product Name],Inventory[Product ID])="","",_xlfn.XLOOKUP(Purchases[[#This Row],[Product Name]],Inventory[Product Name],Inventory[Product ID]))</f>
        <v/>
      </c>
      <c r="H303" t="str">
        <f t="shared" si="4"/>
        <v/>
      </c>
    </row>
    <row r="304" spans="4:8">
      <c r="D304" s="3" t="str">
        <f>IF(_xlfn.XLOOKUP(Purchases[[#This Row],[Product Name]],Inventory[Product Name],Inventory[Product ID])="","",_xlfn.XLOOKUP(Purchases[[#This Row],[Product Name]],Inventory[Product Name],Inventory[Product ID]))</f>
        <v/>
      </c>
      <c r="H304" t="str">
        <f t="shared" si="4"/>
        <v/>
      </c>
    </row>
    <row r="305" spans="4:8">
      <c r="D305" s="3" t="str">
        <f>IF(_xlfn.XLOOKUP(Purchases[[#This Row],[Product Name]],Inventory[Product Name],Inventory[Product ID])="","",_xlfn.XLOOKUP(Purchases[[#This Row],[Product Name]],Inventory[Product Name],Inventory[Product ID]))</f>
        <v/>
      </c>
      <c r="H305" t="str">
        <f t="shared" si="4"/>
        <v/>
      </c>
    </row>
    <row r="306" spans="4:8">
      <c r="D306" s="3" t="str">
        <f>IF(_xlfn.XLOOKUP(Purchases[[#This Row],[Product Name]],Inventory[Product Name],Inventory[Product ID])="","",_xlfn.XLOOKUP(Purchases[[#This Row],[Product Name]],Inventory[Product Name],Inventory[Product ID]))</f>
        <v/>
      </c>
      <c r="H306" t="str">
        <f t="shared" si="4"/>
        <v/>
      </c>
    </row>
    <row r="307" spans="4:8">
      <c r="D307" s="3" t="str">
        <f>IF(_xlfn.XLOOKUP(Purchases[[#This Row],[Product Name]],Inventory[Product Name],Inventory[Product ID])="","",_xlfn.XLOOKUP(Purchases[[#This Row],[Product Name]],Inventory[Product Name],Inventory[Product ID]))</f>
        <v/>
      </c>
      <c r="H307" t="str">
        <f t="shared" si="4"/>
        <v/>
      </c>
    </row>
    <row r="308" spans="4:8">
      <c r="D308" s="3" t="str">
        <f>IF(_xlfn.XLOOKUP(Purchases[[#This Row],[Product Name]],Inventory[Product Name],Inventory[Product ID])="","",_xlfn.XLOOKUP(Purchases[[#This Row],[Product Name]],Inventory[Product Name],Inventory[Product ID]))</f>
        <v/>
      </c>
      <c r="H308" t="str">
        <f t="shared" si="4"/>
        <v/>
      </c>
    </row>
    <row r="309" spans="4:8">
      <c r="D309" s="3" t="str">
        <f>IF(_xlfn.XLOOKUP(Purchases[[#This Row],[Product Name]],Inventory[Product Name],Inventory[Product ID])="","",_xlfn.XLOOKUP(Purchases[[#This Row],[Product Name]],Inventory[Product Name],Inventory[Product ID]))</f>
        <v/>
      </c>
      <c r="H309" t="str">
        <f t="shared" si="4"/>
        <v/>
      </c>
    </row>
    <row r="310" spans="4:8">
      <c r="D310" s="3" t="str">
        <f>IF(_xlfn.XLOOKUP(Purchases[[#This Row],[Product Name]],Inventory[Product Name],Inventory[Product ID])="","",_xlfn.XLOOKUP(Purchases[[#This Row],[Product Name]],Inventory[Product Name],Inventory[Product ID]))</f>
        <v/>
      </c>
      <c r="H310" t="str">
        <f t="shared" si="4"/>
        <v/>
      </c>
    </row>
    <row r="311" spans="4:8">
      <c r="D311" s="3" t="str">
        <f>IF(_xlfn.XLOOKUP(Purchases[[#This Row],[Product Name]],Inventory[Product Name],Inventory[Product ID])="","",_xlfn.XLOOKUP(Purchases[[#This Row],[Product Name]],Inventory[Product Name],Inventory[Product ID]))</f>
        <v/>
      </c>
      <c r="H311" t="str">
        <f t="shared" si="4"/>
        <v/>
      </c>
    </row>
    <row r="312" spans="4:8">
      <c r="D312" s="3" t="str">
        <f>IF(_xlfn.XLOOKUP(Purchases[[#This Row],[Product Name]],Inventory[Product Name],Inventory[Product ID])="","",_xlfn.XLOOKUP(Purchases[[#This Row],[Product Name]],Inventory[Product Name],Inventory[Product ID]))</f>
        <v/>
      </c>
      <c r="H312" t="str">
        <f t="shared" si="4"/>
        <v/>
      </c>
    </row>
    <row r="313" spans="4:8">
      <c r="D313" s="3" t="str">
        <f>IF(_xlfn.XLOOKUP(Purchases[[#This Row],[Product Name]],Inventory[Product Name],Inventory[Product ID])="","",_xlfn.XLOOKUP(Purchases[[#This Row],[Product Name]],Inventory[Product Name],Inventory[Product ID]))</f>
        <v/>
      </c>
      <c r="H313" t="str">
        <f t="shared" si="4"/>
        <v/>
      </c>
    </row>
    <row r="314" spans="4:8">
      <c r="D314" s="3" t="str">
        <f>IF(_xlfn.XLOOKUP(Purchases[[#This Row],[Product Name]],Inventory[Product Name],Inventory[Product ID])="","",_xlfn.XLOOKUP(Purchases[[#This Row],[Product Name]],Inventory[Product Name],Inventory[Product ID]))</f>
        <v/>
      </c>
      <c r="H314" t="str">
        <f t="shared" si="4"/>
        <v/>
      </c>
    </row>
    <row r="315" spans="4:8">
      <c r="D315" s="3" t="str">
        <f>IF(_xlfn.XLOOKUP(Purchases[[#This Row],[Product Name]],Inventory[Product Name],Inventory[Product ID])="","",_xlfn.XLOOKUP(Purchases[[#This Row],[Product Name]],Inventory[Product Name],Inventory[Product ID]))</f>
        <v/>
      </c>
      <c r="H315" t="str">
        <f t="shared" si="4"/>
        <v/>
      </c>
    </row>
    <row r="316" spans="4:8">
      <c r="D316" s="3" t="str">
        <f>IF(_xlfn.XLOOKUP(Purchases[[#This Row],[Product Name]],Inventory[Product Name],Inventory[Product ID])="","",_xlfn.XLOOKUP(Purchases[[#This Row],[Product Name]],Inventory[Product Name],Inventory[Product ID]))</f>
        <v/>
      </c>
      <c r="H316" t="str">
        <f t="shared" si="4"/>
        <v/>
      </c>
    </row>
    <row r="317" spans="4:8">
      <c r="D317" s="3" t="str">
        <f>IF(_xlfn.XLOOKUP(Purchases[[#This Row],[Product Name]],Inventory[Product Name],Inventory[Product ID])="","",_xlfn.XLOOKUP(Purchases[[#This Row],[Product Name]],Inventory[Product Name],Inventory[Product ID]))</f>
        <v/>
      </c>
      <c r="H317" t="str">
        <f t="shared" si="4"/>
        <v/>
      </c>
    </row>
    <row r="318" spans="4:8">
      <c r="D318" s="3" t="str">
        <f>IF(_xlfn.XLOOKUP(Purchases[[#This Row],[Product Name]],Inventory[Product Name],Inventory[Product ID])="","",_xlfn.XLOOKUP(Purchases[[#This Row],[Product Name]],Inventory[Product Name],Inventory[Product ID]))</f>
        <v/>
      </c>
      <c r="H318" t="str">
        <f t="shared" si="4"/>
        <v/>
      </c>
    </row>
    <row r="319" spans="4:8">
      <c r="D319" s="3" t="str">
        <f>IF(_xlfn.XLOOKUP(Purchases[[#This Row],[Product Name]],Inventory[Product Name],Inventory[Product ID])="","",_xlfn.XLOOKUP(Purchases[[#This Row],[Product Name]],Inventory[Product Name],Inventory[Product ID]))</f>
        <v/>
      </c>
      <c r="H319" t="str">
        <f t="shared" si="4"/>
        <v/>
      </c>
    </row>
    <row r="320" spans="4:8">
      <c r="D320" s="3" t="str">
        <f>IF(_xlfn.XLOOKUP(Purchases[[#This Row],[Product Name]],Inventory[Product Name],Inventory[Product ID])="","",_xlfn.XLOOKUP(Purchases[[#This Row],[Product Name]],Inventory[Product Name],Inventory[Product ID]))</f>
        <v/>
      </c>
      <c r="H320" t="str">
        <f t="shared" si="4"/>
        <v/>
      </c>
    </row>
    <row r="321" spans="4:8">
      <c r="D321" s="3" t="str">
        <f>IF(_xlfn.XLOOKUP(Purchases[[#This Row],[Product Name]],Inventory[Product Name],Inventory[Product ID])="","",_xlfn.XLOOKUP(Purchases[[#This Row],[Product Name]],Inventory[Product Name],Inventory[Product ID]))</f>
        <v/>
      </c>
      <c r="H321" t="str">
        <f t="shared" si="4"/>
        <v/>
      </c>
    </row>
    <row r="322" spans="4:8">
      <c r="D322" s="3" t="str">
        <f>IF(_xlfn.XLOOKUP(Purchases[[#This Row],[Product Name]],Inventory[Product Name],Inventory[Product ID])="","",_xlfn.XLOOKUP(Purchases[[#This Row],[Product Name]],Inventory[Product Name],Inventory[Product ID]))</f>
        <v/>
      </c>
      <c r="H322" t="str">
        <f t="shared" ref="H322:H385" si="5">IF((F322*G322)&lt;&gt;0,F322*G322,"")</f>
        <v/>
      </c>
    </row>
    <row r="323" spans="4:8">
      <c r="D323" s="3" t="str">
        <f>IF(_xlfn.XLOOKUP(Purchases[[#This Row],[Product Name]],Inventory[Product Name],Inventory[Product ID])="","",_xlfn.XLOOKUP(Purchases[[#This Row],[Product Name]],Inventory[Product Name],Inventory[Product ID]))</f>
        <v/>
      </c>
      <c r="H323" t="str">
        <f t="shared" si="5"/>
        <v/>
      </c>
    </row>
    <row r="324" spans="4:8">
      <c r="D324" s="3" t="str">
        <f>IF(_xlfn.XLOOKUP(Purchases[[#This Row],[Product Name]],Inventory[Product Name],Inventory[Product ID])="","",_xlfn.XLOOKUP(Purchases[[#This Row],[Product Name]],Inventory[Product Name],Inventory[Product ID]))</f>
        <v/>
      </c>
      <c r="H324" t="str">
        <f t="shared" si="5"/>
        <v/>
      </c>
    </row>
    <row r="325" spans="4:8">
      <c r="D325" s="3" t="str">
        <f>IF(_xlfn.XLOOKUP(Purchases[[#This Row],[Product Name]],Inventory[Product Name],Inventory[Product ID])="","",_xlfn.XLOOKUP(Purchases[[#This Row],[Product Name]],Inventory[Product Name],Inventory[Product ID]))</f>
        <v/>
      </c>
      <c r="H325" t="str">
        <f t="shared" si="5"/>
        <v/>
      </c>
    </row>
    <row r="326" spans="4:8">
      <c r="D326" s="3" t="str">
        <f>IF(_xlfn.XLOOKUP(Purchases[[#This Row],[Product Name]],Inventory[Product Name],Inventory[Product ID])="","",_xlfn.XLOOKUP(Purchases[[#This Row],[Product Name]],Inventory[Product Name],Inventory[Product ID]))</f>
        <v/>
      </c>
      <c r="H326" t="str">
        <f t="shared" si="5"/>
        <v/>
      </c>
    </row>
    <row r="327" spans="4:8">
      <c r="D327" s="3" t="str">
        <f>IF(_xlfn.XLOOKUP(Purchases[[#This Row],[Product Name]],Inventory[Product Name],Inventory[Product ID])="","",_xlfn.XLOOKUP(Purchases[[#This Row],[Product Name]],Inventory[Product Name],Inventory[Product ID]))</f>
        <v/>
      </c>
      <c r="H327" t="str">
        <f t="shared" si="5"/>
        <v/>
      </c>
    </row>
    <row r="328" spans="4:8">
      <c r="D328" s="3" t="str">
        <f>IF(_xlfn.XLOOKUP(Purchases[[#This Row],[Product Name]],Inventory[Product Name],Inventory[Product ID])="","",_xlfn.XLOOKUP(Purchases[[#This Row],[Product Name]],Inventory[Product Name],Inventory[Product ID]))</f>
        <v/>
      </c>
      <c r="H328" t="str">
        <f t="shared" si="5"/>
        <v/>
      </c>
    </row>
    <row r="329" spans="4:8">
      <c r="D329" s="3" t="str">
        <f>IF(_xlfn.XLOOKUP(Purchases[[#This Row],[Product Name]],Inventory[Product Name],Inventory[Product ID])="","",_xlfn.XLOOKUP(Purchases[[#This Row],[Product Name]],Inventory[Product Name],Inventory[Product ID]))</f>
        <v/>
      </c>
      <c r="H329" t="str">
        <f t="shared" si="5"/>
        <v/>
      </c>
    </row>
    <row r="330" spans="4:8">
      <c r="D330" s="3" t="str">
        <f>IF(_xlfn.XLOOKUP(Purchases[[#This Row],[Product Name]],Inventory[Product Name],Inventory[Product ID])="","",_xlfn.XLOOKUP(Purchases[[#This Row],[Product Name]],Inventory[Product Name],Inventory[Product ID]))</f>
        <v/>
      </c>
      <c r="H330" t="str">
        <f t="shared" si="5"/>
        <v/>
      </c>
    </row>
    <row r="331" spans="4:8">
      <c r="D331" s="3" t="str">
        <f>IF(_xlfn.XLOOKUP(Purchases[[#This Row],[Product Name]],Inventory[Product Name],Inventory[Product ID])="","",_xlfn.XLOOKUP(Purchases[[#This Row],[Product Name]],Inventory[Product Name],Inventory[Product ID]))</f>
        <v/>
      </c>
      <c r="H331" t="str">
        <f t="shared" si="5"/>
        <v/>
      </c>
    </row>
    <row r="332" spans="4:8">
      <c r="D332" s="3" t="str">
        <f>IF(_xlfn.XLOOKUP(Purchases[[#This Row],[Product Name]],Inventory[Product Name],Inventory[Product ID])="","",_xlfn.XLOOKUP(Purchases[[#This Row],[Product Name]],Inventory[Product Name],Inventory[Product ID]))</f>
        <v/>
      </c>
      <c r="H332" t="str">
        <f t="shared" si="5"/>
        <v/>
      </c>
    </row>
    <row r="333" spans="4:8">
      <c r="D333" s="3" t="str">
        <f>IF(_xlfn.XLOOKUP(Purchases[[#This Row],[Product Name]],Inventory[Product Name],Inventory[Product ID])="","",_xlfn.XLOOKUP(Purchases[[#This Row],[Product Name]],Inventory[Product Name],Inventory[Product ID]))</f>
        <v/>
      </c>
      <c r="H333" t="str">
        <f t="shared" si="5"/>
        <v/>
      </c>
    </row>
    <row r="334" spans="4:8">
      <c r="D334" s="3" t="str">
        <f>IF(_xlfn.XLOOKUP(Purchases[[#This Row],[Product Name]],Inventory[Product Name],Inventory[Product ID])="","",_xlfn.XLOOKUP(Purchases[[#This Row],[Product Name]],Inventory[Product Name],Inventory[Product ID]))</f>
        <v/>
      </c>
      <c r="H334" t="str">
        <f t="shared" si="5"/>
        <v/>
      </c>
    </row>
    <row r="335" spans="4:8">
      <c r="D335" s="3" t="str">
        <f>IF(_xlfn.XLOOKUP(Purchases[[#This Row],[Product Name]],Inventory[Product Name],Inventory[Product ID])="","",_xlfn.XLOOKUP(Purchases[[#This Row],[Product Name]],Inventory[Product Name],Inventory[Product ID]))</f>
        <v/>
      </c>
      <c r="H335" t="str">
        <f t="shared" si="5"/>
        <v/>
      </c>
    </row>
    <row r="336" spans="4:8">
      <c r="D336" s="3" t="str">
        <f>IF(_xlfn.XLOOKUP(Purchases[[#This Row],[Product Name]],Inventory[Product Name],Inventory[Product ID])="","",_xlfn.XLOOKUP(Purchases[[#This Row],[Product Name]],Inventory[Product Name],Inventory[Product ID]))</f>
        <v/>
      </c>
      <c r="H336" t="str">
        <f t="shared" si="5"/>
        <v/>
      </c>
    </row>
    <row r="337" spans="4:8">
      <c r="D337" s="3" t="str">
        <f>IF(_xlfn.XLOOKUP(Purchases[[#This Row],[Product Name]],Inventory[Product Name],Inventory[Product ID])="","",_xlfn.XLOOKUP(Purchases[[#This Row],[Product Name]],Inventory[Product Name],Inventory[Product ID]))</f>
        <v/>
      </c>
      <c r="H337" t="str">
        <f t="shared" si="5"/>
        <v/>
      </c>
    </row>
    <row r="338" spans="4:8">
      <c r="D338" s="3" t="str">
        <f>IF(_xlfn.XLOOKUP(Purchases[[#This Row],[Product Name]],Inventory[Product Name],Inventory[Product ID])="","",_xlfn.XLOOKUP(Purchases[[#This Row],[Product Name]],Inventory[Product Name],Inventory[Product ID]))</f>
        <v/>
      </c>
      <c r="H338" t="str">
        <f t="shared" si="5"/>
        <v/>
      </c>
    </row>
    <row r="339" spans="4:8">
      <c r="D339" s="3" t="str">
        <f>IF(_xlfn.XLOOKUP(Purchases[[#This Row],[Product Name]],Inventory[Product Name],Inventory[Product ID])="","",_xlfn.XLOOKUP(Purchases[[#This Row],[Product Name]],Inventory[Product Name],Inventory[Product ID]))</f>
        <v/>
      </c>
      <c r="H339" t="str">
        <f t="shared" si="5"/>
        <v/>
      </c>
    </row>
    <row r="340" spans="4:8">
      <c r="D340" s="3" t="str">
        <f>IF(_xlfn.XLOOKUP(Purchases[[#This Row],[Product Name]],Inventory[Product Name],Inventory[Product ID])="","",_xlfn.XLOOKUP(Purchases[[#This Row],[Product Name]],Inventory[Product Name],Inventory[Product ID]))</f>
        <v/>
      </c>
      <c r="H340" t="str">
        <f t="shared" si="5"/>
        <v/>
      </c>
    </row>
    <row r="341" spans="4:8">
      <c r="D341" s="3" t="str">
        <f>IF(_xlfn.XLOOKUP(Purchases[[#This Row],[Product Name]],Inventory[Product Name],Inventory[Product ID])="","",_xlfn.XLOOKUP(Purchases[[#This Row],[Product Name]],Inventory[Product Name],Inventory[Product ID]))</f>
        <v/>
      </c>
      <c r="H341" t="str">
        <f t="shared" si="5"/>
        <v/>
      </c>
    </row>
    <row r="342" spans="4:8">
      <c r="D342" s="3" t="str">
        <f>IF(_xlfn.XLOOKUP(Purchases[[#This Row],[Product Name]],Inventory[Product Name],Inventory[Product ID])="","",_xlfn.XLOOKUP(Purchases[[#This Row],[Product Name]],Inventory[Product Name],Inventory[Product ID]))</f>
        <v/>
      </c>
      <c r="H342" t="str">
        <f t="shared" si="5"/>
        <v/>
      </c>
    </row>
    <row r="343" spans="4:8">
      <c r="D343" s="3" t="str">
        <f>IF(_xlfn.XLOOKUP(Purchases[[#This Row],[Product Name]],Inventory[Product Name],Inventory[Product ID])="","",_xlfn.XLOOKUP(Purchases[[#This Row],[Product Name]],Inventory[Product Name],Inventory[Product ID]))</f>
        <v/>
      </c>
      <c r="H343" t="str">
        <f t="shared" si="5"/>
        <v/>
      </c>
    </row>
    <row r="344" spans="4:8">
      <c r="D344" s="3" t="str">
        <f>IF(_xlfn.XLOOKUP(Purchases[[#This Row],[Product Name]],Inventory[Product Name],Inventory[Product ID])="","",_xlfn.XLOOKUP(Purchases[[#This Row],[Product Name]],Inventory[Product Name],Inventory[Product ID]))</f>
        <v/>
      </c>
      <c r="H344" t="str">
        <f t="shared" si="5"/>
        <v/>
      </c>
    </row>
    <row r="345" spans="4:8">
      <c r="D345" s="3" t="str">
        <f>IF(_xlfn.XLOOKUP(Purchases[[#This Row],[Product Name]],Inventory[Product Name],Inventory[Product ID])="","",_xlfn.XLOOKUP(Purchases[[#This Row],[Product Name]],Inventory[Product Name],Inventory[Product ID]))</f>
        <v/>
      </c>
      <c r="H345" t="str">
        <f t="shared" si="5"/>
        <v/>
      </c>
    </row>
    <row r="346" spans="4:8">
      <c r="D346" s="3" t="str">
        <f>IF(_xlfn.XLOOKUP(Purchases[[#This Row],[Product Name]],Inventory[Product Name],Inventory[Product ID])="","",_xlfn.XLOOKUP(Purchases[[#This Row],[Product Name]],Inventory[Product Name],Inventory[Product ID]))</f>
        <v/>
      </c>
      <c r="H346" t="str">
        <f t="shared" si="5"/>
        <v/>
      </c>
    </row>
    <row r="347" spans="4:8">
      <c r="D347" s="3" t="str">
        <f>IF(_xlfn.XLOOKUP(Purchases[[#This Row],[Product Name]],Inventory[Product Name],Inventory[Product ID])="","",_xlfn.XLOOKUP(Purchases[[#This Row],[Product Name]],Inventory[Product Name],Inventory[Product ID]))</f>
        <v/>
      </c>
      <c r="H347" t="str">
        <f t="shared" si="5"/>
        <v/>
      </c>
    </row>
    <row r="348" spans="4:8">
      <c r="D348" s="3" t="str">
        <f>IF(_xlfn.XLOOKUP(Purchases[[#This Row],[Product Name]],Inventory[Product Name],Inventory[Product ID])="","",_xlfn.XLOOKUP(Purchases[[#This Row],[Product Name]],Inventory[Product Name],Inventory[Product ID]))</f>
        <v/>
      </c>
      <c r="H348" t="str">
        <f t="shared" si="5"/>
        <v/>
      </c>
    </row>
    <row r="349" spans="4:8">
      <c r="D349" s="3" t="str">
        <f>IF(_xlfn.XLOOKUP(Purchases[[#This Row],[Product Name]],Inventory[Product Name],Inventory[Product ID])="","",_xlfn.XLOOKUP(Purchases[[#This Row],[Product Name]],Inventory[Product Name],Inventory[Product ID]))</f>
        <v/>
      </c>
      <c r="H349" t="str">
        <f t="shared" si="5"/>
        <v/>
      </c>
    </row>
    <row r="350" spans="4:8">
      <c r="D350" s="3" t="str">
        <f>IF(_xlfn.XLOOKUP(Purchases[[#This Row],[Product Name]],Inventory[Product Name],Inventory[Product ID])="","",_xlfn.XLOOKUP(Purchases[[#This Row],[Product Name]],Inventory[Product Name],Inventory[Product ID]))</f>
        <v/>
      </c>
      <c r="H350" t="str">
        <f t="shared" si="5"/>
        <v/>
      </c>
    </row>
    <row r="351" spans="4:8">
      <c r="D351" s="3" t="str">
        <f>IF(_xlfn.XLOOKUP(Purchases[[#This Row],[Product Name]],Inventory[Product Name],Inventory[Product ID])="","",_xlfn.XLOOKUP(Purchases[[#This Row],[Product Name]],Inventory[Product Name],Inventory[Product ID]))</f>
        <v/>
      </c>
      <c r="H351" t="str">
        <f t="shared" si="5"/>
        <v/>
      </c>
    </row>
    <row r="352" spans="4:8">
      <c r="D352" s="3" t="str">
        <f>IF(_xlfn.XLOOKUP(Purchases[[#This Row],[Product Name]],Inventory[Product Name],Inventory[Product ID])="","",_xlfn.XLOOKUP(Purchases[[#This Row],[Product Name]],Inventory[Product Name],Inventory[Product ID]))</f>
        <v/>
      </c>
      <c r="H352" t="str">
        <f t="shared" si="5"/>
        <v/>
      </c>
    </row>
    <row r="353" spans="4:8">
      <c r="D353" s="3" t="str">
        <f>IF(_xlfn.XLOOKUP(Purchases[[#This Row],[Product Name]],Inventory[Product Name],Inventory[Product ID])="","",_xlfn.XLOOKUP(Purchases[[#This Row],[Product Name]],Inventory[Product Name],Inventory[Product ID]))</f>
        <v/>
      </c>
      <c r="H353" t="str">
        <f t="shared" si="5"/>
        <v/>
      </c>
    </row>
    <row r="354" spans="4:8">
      <c r="D354" s="3" t="str">
        <f>IF(_xlfn.XLOOKUP(Purchases[[#This Row],[Product Name]],Inventory[Product Name],Inventory[Product ID])="","",_xlfn.XLOOKUP(Purchases[[#This Row],[Product Name]],Inventory[Product Name],Inventory[Product ID]))</f>
        <v/>
      </c>
      <c r="H354" t="str">
        <f t="shared" si="5"/>
        <v/>
      </c>
    </row>
    <row r="355" spans="4:8">
      <c r="D355" s="3" t="str">
        <f>IF(_xlfn.XLOOKUP(Purchases[[#This Row],[Product Name]],Inventory[Product Name],Inventory[Product ID])="","",_xlfn.XLOOKUP(Purchases[[#This Row],[Product Name]],Inventory[Product Name],Inventory[Product ID]))</f>
        <v/>
      </c>
      <c r="H355" t="str">
        <f t="shared" si="5"/>
        <v/>
      </c>
    </row>
    <row r="356" spans="4:8">
      <c r="D356" s="3" t="str">
        <f>IF(_xlfn.XLOOKUP(Purchases[[#This Row],[Product Name]],Inventory[Product Name],Inventory[Product ID])="","",_xlfn.XLOOKUP(Purchases[[#This Row],[Product Name]],Inventory[Product Name],Inventory[Product ID]))</f>
        <v/>
      </c>
      <c r="H356" t="str">
        <f t="shared" si="5"/>
        <v/>
      </c>
    </row>
    <row r="357" spans="4:8">
      <c r="D357" s="3" t="str">
        <f>IF(_xlfn.XLOOKUP(Purchases[[#This Row],[Product Name]],Inventory[Product Name],Inventory[Product ID])="","",_xlfn.XLOOKUP(Purchases[[#This Row],[Product Name]],Inventory[Product Name],Inventory[Product ID]))</f>
        <v/>
      </c>
      <c r="H357" t="str">
        <f t="shared" si="5"/>
        <v/>
      </c>
    </row>
    <row r="358" spans="4:8">
      <c r="D358" s="3" t="str">
        <f>IF(_xlfn.XLOOKUP(Purchases[[#This Row],[Product Name]],Inventory[Product Name],Inventory[Product ID])="","",_xlfn.XLOOKUP(Purchases[[#This Row],[Product Name]],Inventory[Product Name],Inventory[Product ID]))</f>
        <v/>
      </c>
      <c r="H358" t="str">
        <f t="shared" si="5"/>
        <v/>
      </c>
    </row>
    <row r="359" spans="4:8">
      <c r="D359" s="3" t="str">
        <f>IF(_xlfn.XLOOKUP(Purchases[[#This Row],[Product Name]],Inventory[Product Name],Inventory[Product ID])="","",_xlfn.XLOOKUP(Purchases[[#This Row],[Product Name]],Inventory[Product Name],Inventory[Product ID]))</f>
        <v/>
      </c>
      <c r="H359" t="str">
        <f t="shared" si="5"/>
        <v/>
      </c>
    </row>
    <row r="360" spans="4:8">
      <c r="D360" s="3" t="str">
        <f>IF(_xlfn.XLOOKUP(Purchases[[#This Row],[Product Name]],Inventory[Product Name],Inventory[Product ID])="","",_xlfn.XLOOKUP(Purchases[[#This Row],[Product Name]],Inventory[Product Name],Inventory[Product ID]))</f>
        <v/>
      </c>
      <c r="H360" t="str">
        <f t="shared" si="5"/>
        <v/>
      </c>
    </row>
    <row r="361" spans="4:8">
      <c r="D361" s="3" t="str">
        <f>IF(_xlfn.XLOOKUP(Purchases[[#This Row],[Product Name]],Inventory[Product Name],Inventory[Product ID])="","",_xlfn.XLOOKUP(Purchases[[#This Row],[Product Name]],Inventory[Product Name],Inventory[Product ID]))</f>
        <v/>
      </c>
      <c r="H361" t="str">
        <f t="shared" si="5"/>
        <v/>
      </c>
    </row>
    <row r="362" spans="4:8">
      <c r="D362" s="3" t="str">
        <f>IF(_xlfn.XLOOKUP(Purchases[[#This Row],[Product Name]],Inventory[Product Name],Inventory[Product ID])="","",_xlfn.XLOOKUP(Purchases[[#This Row],[Product Name]],Inventory[Product Name],Inventory[Product ID]))</f>
        <v/>
      </c>
      <c r="H362" t="str">
        <f t="shared" si="5"/>
        <v/>
      </c>
    </row>
    <row r="363" spans="4:8">
      <c r="D363" s="3" t="str">
        <f>IF(_xlfn.XLOOKUP(Purchases[[#This Row],[Product Name]],Inventory[Product Name],Inventory[Product ID])="","",_xlfn.XLOOKUP(Purchases[[#This Row],[Product Name]],Inventory[Product Name],Inventory[Product ID]))</f>
        <v/>
      </c>
      <c r="H363" t="str">
        <f t="shared" si="5"/>
        <v/>
      </c>
    </row>
    <row r="364" spans="4:8">
      <c r="D364" s="3" t="str">
        <f>IF(_xlfn.XLOOKUP(Purchases[[#This Row],[Product Name]],Inventory[Product Name],Inventory[Product ID])="","",_xlfn.XLOOKUP(Purchases[[#This Row],[Product Name]],Inventory[Product Name],Inventory[Product ID]))</f>
        <v/>
      </c>
      <c r="H364" t="str">
        <f t="shared" si="5"/>
        <v/>
      </c>
    </row>
    <row r="365" spans="4:8">
      <c r="D365" s="3" t="str">
        <f>IF(_xlfn.XLOOKUP(Purchases[[#This Row],[Product Name]],Inventory[Product Name],Inventory[Product ID])="","",_xlfn.XLOOKUP(Purchases[[#This Row],[Product Name]],Inventory[Product Name],Inventory[Product ID]))</f>
        <v/>
      </c>
      <c r="H365" t="str">
        <f t="shared" si="5"/>
        <v/>
      </c>
    </row>
    <row r="366" spans="4:8">
      <c r="D366" s="3" t="str">
        <f>IF(_xlfn.XLOOKUP(Purchases[[#This Row],[Product Name]],Inventory[Product Name],Inventory[Product ID])="","",_xlfn.XLOOKUP(Purchases[[#This Row],[Product Name]],Inventory[Product Name],Inventory[Product ID]))</f>
        <v/>
      </c>
      <c r="H366" t="str">
        <f t="shared" si="5"/>
        <v/>
      </c>
    </row>
    <row r="367" spans="4:8">
      <c r="D367" s="3" t="str">
        <f>IF(_xlfn.XLOOKUP(Purchases[[#This Row],[Product Name]],Inventory[Product Name],Inventory[Product ID])="","",_xlfn.XLOOKUP(Purchases[[#This Row],[Product Name]],Inventory[Product Name],Inventory[Product ID]))</f>
        <v/>
      </c>
      <c r="H367" t="str">
        <f t="shared" si="5"/>
        <v/>
      </c>
    </row>
    <row r="368" spans="4:8">
      <c r="D368" s="3" t="str">
        <f>IF(_xlfn.XLOOKUP(Purchases[[#This Row],[Product Name]],Inventory[Product Name],Inventory[Product ID])="","",_xlfn.XLOOKUP(Purchases[[#This Row],[Product Name]],Inventory[Product Name],Inventory[Product ID]))</f>
        <v/>
      </c>
      <c r="H368" t="str">
        <f t="shared" si="5"/>
        <v/>
      </c>
    </row>
    <row r="369" spans="4:8">
      <c r="D369" s="3" t="str">
        <f>IF(_xlfn.XLOOKUP(Purchases[[#This Row],[Product Name]],Inventory[Product Name],Inventory[Product ID])="","",_xlfn.XLOOKUP(Purchases[[#This Row],[Product Name]],Inventory[Product Name],Inventory[Product ID]))</f>
        <v/>
      </c>
      <c r="H369" t="str">
        <f t="shared" si="5"/>
        <v/>
      </c>
    </row>
    <row r="370" spans="4:8">
      <c r="D370" s="3" t="str">
        <f>IF(_xlfn.XLOOKUP(Purchases[[#This Row],[Product Name]],Inventory[Product Name],Inventory[Product ID])="","",_xlfn.XLOOKUP(Purchases[[#This Row],[Product Name]],Inventory[Product Name],Inventory[Product ID]))</f>
        <v/>
      </c>
      <c r="H370" t="str">
        <f t="shared" si="5"/>
        <v/>
      </c>
    </row>
    <row r="371" spans="4:8">
      <c r="D371" s="3" t="str">
        <f>IF(_xlfn.XLOOKUP(Purchases[[#This Row],[Product Name]],Inventory[Product Name],Inventory[Product ID])="","",_xlfn.XLOOKUP(Purchases[[#This Row],[Product Name]],Inventory[Product Name],Inventory[Product ID]))</f>
        <v/>
      </c>
      <c r="H371" t="str">
        <f t="shared" si="5"/>
        <v/>
      </c>
    </row>
    <row r="372" spans="4:8">
      <c r="D372" s="3" t="str">
        <f>IF(_xlfn.XLOOKUP(Purchases[[#This Row],[Product Name]],Inventory[Product Name],Inventory[Product ID])="","",_xlfn.XLOOKUP(Purchases[[#This Row],[Product Name]],Inventory[Product Name],Inventory[Product ID]))</f>
        <v/>
      </c>
      <c r="H372" t="str">
        <f t="shared" si="5"/>
        <v/>
      </c>
    </row>
    <row r="373" spans="4:8">
      <c r="D373" s="3" t="str">
        <f>IF(_xlfn.XLOOKUP(Purchases[[#This Row],[Product Name]],Inventory[Product Name],Inventory[Product ID])="","",_xlfn.XLOOKUP(Purchases[[#This Row],[Product Name]],Inventory[Product Name],Inventory[Product ID]))</f>
        <v/>
      </c>
      <c r="H373" t="str">
        <f t="shared" si="5"/>
        <v/>
      </c>
    </row>
    <row r="374" spans="4:8">
      <c r="D374" s="3" t="str">
        <f>IF(_xlfn.XLOOKUP(Purchases[[#This Row],[Product Name]],Inventory[Product Name],Inventory[Product ID])="","",_xlfn.XLOOKUP(Purchases[[#This Row],[Product Name]],Inventory[Product Name],Inventory[Product ID]))</f>
        <v/>
      </c>
      <c r="H374" t="str">
        <f t="shared" si="5"/>
        <v/>
      </c>
    </row>
    <row r="375" spans="4:8">
      <c r="D375" s="3" t="str">
        <f>IF(_xlfn.XLOOKUP(Purchases[[#This Row],[Product Name]],Inventory[Product Name],Inventory[Product ID])="","",_xlfn.XLOOKUP(Purchases[[#This Row],[Product Name]],Inventory[Product Name],Inventory[Product ID]))</f>
        <v/>
      </c>
      <c r="H375" t="str">
        <f t="shared" si="5"/>
        <v/>
      </c>
    </row>
    <row r="376" spans="4:8">
      <c r="D376" s="3" t="str">
        <f>IF(_xlfn.XLOOKUP(Purchases[[#This Row],[Product Name]],Inventory[Product Name],Inventory[Product ID])="","",_xlfn.XLOOKUP(Purchases[[#This Row],[Product Name]],Inventory[Product Name],Inventory[Product ID]))</f>
        <v/>
      </c>
      <c r="H376" t="str">
        <f t="shared" si="5"/>
        <v/>
      </c>
    </row>
    <row r="377" spans="4:8">
      <c r="D377" s="3" t="str">
        <f>IF(_xlfn.XLOOKUP(Purchases[[#This Row],[Product Name]],Inventory[Product Name],Inventory[Product ID])="","",_xlfn.XLOOKUP(Purchases[[#This Row],[Product Name]],Inventory[Product Name],Inventory[Product ID]))</f>
        <v/>
      </c>
      <c r="H377" t="str">
        <f t="shared" si="5"/>
        <v/>
      </c>
    </row>
    <row r="378" spans="4:8">
      <c r="D378" s="3" t="str">
        <f>IF(_xlfn.XLOOKUP(Purchases[[#This Row],[Product Name]],Inventory[Product Name],Inventory[Product ID])="","",_xlfn.XLOOKUP(Purchases[[#This Row],[Product Name]],Inventory[Product Name],Inventory[Product ID]))</f>
        <v/>
      </c>
      <c r="H378" t="str">
        <f t="shared" si="5"/>
        <v/>
      </c>
    </row>
    <row r="379" spans="4:8">
      <c r="D379" s="3" t="str">
        <f>IF(_xlfn.XLOOKUP(Purchases[[#This Row],[Product Name]],Inventory[Product Name],Inventory[Product ID])="","",_xlfn.XLOOKUP(Purchases[[#This Row],[Product Name]],Inventory[Product Name],Inventory[Product ID]))</f>
        <v/>
      </c>
      <c r="H379" t="str">
        <f t="shared" si="5"/>
        <v/>
      </c>
    </row>
    <row r="380" spans="4:8">
      <c r="D380" s="3" t="str">
        <f>IF(_xlfn.XLOOKUP(Purchases[[#This Row],[Product Name]],Inventory[Product Name],Inventory[Product ID])="","",_xlfn.XLOOKUP(Purchases[[#This Row],[Product Name]],Inventory[Product Name],Inventory[Product ID]))</f>
        <v/>
      </c>
      <c r="H380" t="str">
        <f t="shared" si="5"/>
        <v/>
      </c>
    </row>
    <row r="381" spans="4:8">
      <c r="D381" s="3" t="str">
        <f>IF(_xlfn.XLOOKUP(Purchases[[#This Row],[Product Name]],Inventory[Product Name],Inventory[Product ID])="","",_xlfn.XLOOKUP(Purchases[[#This Row],[Product Name]],Inventory[Product Name],Inventory[Product ID]))</f>
        <v/>
      </c>
      <c r="H381" t="str">
        <f t="shared" si="5"/>
        <v/>
      </c>
    </row>
    <row r="382" spans="4:8">
      <c r="D382" s="3" t="str">
        <f>IF(_xlfn.XLOOKUP(Purchases[[#This Row],[Product Name]],Inventory[Product Name],Inventory[Product ID])="","",_xlfn.XLOOKUP(Purchases[[#This Row],[Product Name]],Inventory[Product Name],Inventory[Product ID]))</f>
        <v/>
      </c>
      <c r="H382" t="str">
        <f t="shared" si="5"/>
        <v/>
      </c>
    </row>
    <row r="383" spans="4:8">
      <c r="D383" s="3" t="str">
        <f>IF(_xlfn.XLOOKUP(Purchases[[#This Row],[Product Name]],Inventory[Product Name],Inventory[Product ID])="","",_xlfn.XLOOKUP(Purchases[[#This Row],[Product Name]],Inventory[Product Name],Inventory[Product ID]))</f>
        <v/>
      </c>
      <c r="H383" t="str">
        <f t="shared" si="5"/>
        <v/>
      </c>
    </row>
    <row r="384" spans="4:8">
      <c r="D384" s="3" t="str">
        <f>IF(_xlfn.XLOOKUP(Purchases[[#This Row],[Product Name]],Inventory[Product Name],Inventory[Product ID])="","",_xlfn.XLOOKUP(Purchases[[#This Row],[Product Name]],Inventory[Product Name],Inventory[Product ID]))</f>
        <v/>
      </c>
      <c r="H384" t="str">
        <f t="shared" si="5"/>
        <v/>
      </c>
    </row>
    <row r="385" spans="4:8">
      <c r="D385" s="3" t="str">
        <f>IF(_xlfn.XLOOKUP(Purchases[[#This Row],[Product Name]],Inventory[Product Name],Inventory[Product ID])="","",_xlfn.XLOOKUP(Purchases[[#This Row],[Product Name]],Inventory[Product Name],Inventory[Product ID]))</f>
        <v/>
      </c>
      <c r="H385" t="str">
        <f t="shared" si="5"/>
        <v/>
      </c>
    </row>
    <row r="386" spans="4:8">
      <c r="D386" s="3" t="str">
        <f>IF(_xlfn.XLOOKUP(Purchases[[#This Row],[Product Name]],Inventory[Product Name],Inventory[Product ID])="","",_xlfn.XLOOKUP(Purchases[[#This Row],[Product Name]],Inventory[Product Name],Inventory[Product ID]))</f>
        <v/>
      </c>
      <c r="H386" t="str">
        <f t="shared" ref="H386:H449" si="6">IF((F386*G386)&lt;&gt;0,F386*G386,"")</f>
        <v/>
      </c>
    </row>
    <row r="387" spans="4:8">
      <c r="D387" s="3" t="str">
        <f>IF(_xlfn.XLOOKUP(Purchases[[#This Row],[Product Name]],Inventory[Product Name],Inventory[Product ID])="","",_xlfn.XLOOKUP(Purchases[[#This Row],[Product Name]],Inventory[Product Name],Inventory[Product ID]))</f>
        <v/>
      </c>
      <c r="H387" t="str">
        <f t="shared" si="6"/>
        <v/>
      </c>
    </row>
    <row r="388" spans="4:8">
      <c r="D388" s="3" t="str">
        <f>IF(_xlfn.XLOOKUP(Purchases[[#This Row],[Product Name]],Inventory[Product Name],Inventory[Product ID])="","",_xlfn.XLOOKUP(Purchases[[#This Row],[Product Name]],Inventory[Product Name],Inventory[Product ID]))</f>
        <v/>
      </c>
      <c r="H388" t="str">
        <f t="shared" si="6"/>
        <v/>
      </c>
    </row>
    <row r="389" spans="4:8">
      <c r="D389" s="3" t="str">
        <f>IF(_xlfn.XLOOKUP(Purchases[[#This Row],[Product Name]],Inventory[Product Name],Inventory[Product ID])="","",_xlfn.XLOOKUP(Purchases[[#This Row],[Product Name]],Inventory[Product Name],Inventory[Product ID]))</f>
        <v/>
      </c>
      <c r="H389" t="str">
        <f t="shared" si="6"/>
        <v/>
      </c>
    </row>
    <row r="390" spans="4:8">
      <c r="D390" s="3" t="str">
        <f>IF(_xlfn.XLOOKUP(Purchases[[#This Row],[Product Name]],Inventory[Product Name],Inventory[Product ID])="","",_xlfn.XLOOKUP(Purchases[[#This Row],[Product Name]],Inventory[Product Name],Inventory[Product ID]))</f>
        <v/>
      </c>
      <c r="H390" t="str">
        <f t="shared" si="6"/>
        <v/>
      </c>
    </row>
    <row r="391" spans="4:8">
      <c r="D391" s="3" t="str">
        <f>IF(_xlfn.XLOOKUP(Purchases[[#This Row],[Product Name]],Inventory[Product Name],Inventory[Product ID])="","",_xlfn.XLOOKUP(Purchases[[#This Row],[Product Name]],Inventory[Product Name],Inventory[Product ID]))</f>
        <v/>
      </c>
      <c r="H391" t="str">
        <f t="shared" si="6"/>
        <v/>
      </c>
    </row>
    <row r="392" spans="4:8">
      <c r="D392" s="3" t="str">
        <f>IF(_xlfn.XLOOKUP(Purchases[[#This Row],[Product Name]],Inventory[Product Name],Inventory[Product ID])="","",_xlfn.XLOOKUP(Purchases[[#This Row],[Product Name]],Inventory[Product Name],Inventory[Product ID]))</f>
        <v/>
      </c>
      <c r="H392" t="str">
        <f t="shared" si="6"/>
        <v/>
      </c>
    </row>
    <row r="393" spans="4:8">
      <c r="D393" s="3" t="str">
        <f>IF(_xlfn.XLOOKUP(Purchases[[#This Row],[Product Name]],Inventory[Product Name],Inventory[Product ID])="","",_xlfn.XLOOKUP(Purchases[[#This Row],[Product Name]],Inventory[Product Name],Inventory[Product ID]))</f>
        <v/>
      </c>
      <c r="H393" t="str">
        <f t="shared" si="6"/>
        <v/>
      </c>
    </row>
    <row r="394" spans="4:8">
      <c r="D394" s="3" t="str">
        <f>IF(_xlfn.XLOOKUP(Purchases[[#This Row],[Product Name]],Inventory[Product Name],Inventory[Product ID])="","",_xlfn.XLOOKUP(Purchases[[#This Row],[Product Name]],Inventory[Product Name],Inventory[Product ID]))</f>
        <v/>
      </c>
      <c r="H394" t="str">
        <f t="shared" si="6"/>
        <v/>
      </c>
    </row>
    <row r="395" spans="4:8">
      <c r="D395" s="3" t="str">
        <f>IF(_xlfn.XLOOKUP(Purchases[[#This Row],[Product Name]],Inventory[Product Name],Inventory[Product ID])="","",_xlfn.XLOOKUP(Purchases[[#This Row],[Product Name]],Inventory[Product Name],Inventory[Product ID]))</f>
        <v/>
      </c>
      <c r="H395" t="str">
        <f t="shared" si="6"/>
        <v/>
      </c>
    </row>
    <row r="396" spans="4:8">
      <c r="D396" s="3" t="str">
        <f>IF(_xlfn.XLOOKUP(Purchases[[#This Row],[Product Name]],Inventory[Product Name],Inventory[Product ID])="","",_xlfn.XLOOKUP(Purchases[[#This Row],[Product Name]],Inventory[Product Name],Inventory[Product ID]))</f>
        <v/>
      </c>
      <c r="H396" t="str">
        <f t="shared" si="6"/>
        <v/>
      </c>
    </row>
    <row r="397" spans="4:8">
      <c r="D397" s="3" t="str">
        <f>IF(_xlfn.XLOOKUP(Purchases[[#This Row],[Product Name]],Inventory[Product Name],Inventory[Product ID])="","",_xlfn.XLOOKUP(Purchases[[#This Row],[Product Name]],Inventory[Product Name],Inventory[Product ID]))</f>
        <v/>
      </c>
      <c r="H397" t="str">
        <f t="shared" si="6"/>
        <v/>
      </c>
    </row>
    <row r="398" spans="4:8">
      <c r="D398" s="3" t="str">
        <f>IF(_xlfn.XLOOKUP(Purchases[[#This Row],[Product Name]],Inventory[Product Name],Inventory[Product ID])="","",_xlfn.XLOOKUP(Purchases[[#This Row],[Product Name]],Inventory[Product Name],Inventory[Product ID]))</f>
        <v/>
      </c>
      <c r="H398" t="str">
        <f t="shared" si="6"/>
        <v/>
      </c>
    </row>
    <row r="399" spans="4:8">
      <c r="D399" s="3" t="str">
        <f>IF(_xlfn.XLOOKUP(Purchases[[#This Row],[Product Name]],Inventory[Product Name],Inventory[Product ID])="","",_xlfn.XLOOKUP(Purchases[[#This Row],[Product Name]],Inventory[Product Name],Inventory[Product ID]))</f>
        <v/>
      </c>
      <c r="H399" t="str">
        <f t="shared" si="6"/>
        <v/>
      </c>
    </row>
    <row r="400" spans="4:8">
      <c r="D400" s="3" t="str">
        <f>IF(_xlfn.XLOOKUP(Purchases[[#This Row],[Product Name]],Inventory[Product Name],Inventory[Product ID])="","",_xlfn.XLOOKUP(Purchases[[#This Row],[Product Name]],Inventory[Product Name],Inventory[Product ID]))</f>
        <v/>
      </c>
      <c r="H400" t="str">
        <f t="shared" si="6"/>
        <v/>
      </c>
    </row>
    <row r="401" spans="4:8">
      <c r="D401" s="3" t="str">
        <f>IF(_xlfn.XLOOKUP(Purchases[[#This Row],[Product Name]],Inventory[Product Name],Inventory[Product ID])="","",_xlfn.XLOOKUP(Purchases[[#This Row],[Product Name]],Inventory[Product Name],Inventory[Product ID]))</f>
        <v/>
      </c>
      <c r="H401" t="str">
        <f t="shared" si="6"/>
        <v/>
      </c>
    </row>
    <row r="402" spans="4:8">
      <c r="D402" s="3" t="str">
        <f>IF(_xlfn.XLOOKUP(Purchases[[#This Row],[Product Name]],Inventory[Product Name],Inventory[Product ID])="","",_xlfn.XLOOKUP(Purchases[[#This Row],[Product Name]],Inventory[Product Name],Inventory[Product ID]))</f>
        <v/>
      </c>
      <c r="H402" t="str">
        <f t="shared" si="6"/>
        <v/>
      </c>
    </row>
    <row r="403" spans="4:8">
      <c r="D403" s="3" t="str">
        <f>IF(_xlfn.XLOOKUP(Purchases[[#This Row],[Product Name]],Inventory[Product Name],Inventory[Product ID])="","",_xlfn.XLOOKUP(Purchases[[#This Row],[Product Name]],Inventory[Product Name],Inventory[Product ID]))</f>
        <v/>
      </c>
      <c r="H403" t="str">
        <f t="shared" si="6"/>
        <v/>
      </c>
    </row>
    <row r="404" spans="4:8">
      <c r="D404" s="3" t="str">
        <f>IF(_xlfn.XLOOKUP(Purchases[[#This Row],[Product Name]],Inventory[Product Name],Inventory[Product ID])="","",_xlfn.XLOOKUP(Purchases[[#This Row],[Product Name]],Inventory[Product Name],Inventory[Product ID]))</f>
        <v/>
      </c>
      <c r="H404" t="str">
        <f t="shared" si="6"/>
        <v/>
      </c>
    </row>
    <row r="405" spans="4:8">
      <c r="D405" s="3" t="str">
        <f>IF(_xlfn.XLOOKUP(Purchases[[#This Row],[Product Name]],Inventory[Product Name],Inventory[Product ID])="","",_xlfn.XLOOKUP(Purchases[[#This Row],[Product Name]],Inventory[Product Name],Inventory[Product ID]))</f>
        <v/>
      </c>
      <c r="H405" t="str">
        <f t="shared" si="6"/>
        <v/>
      </c>
    </row>
    <row r="406" spans="4:8">
      <c r="D406" s="3" t="str">
        <f>IF(_xlfn.XLOOKUP(Purchases[[#This Row],[Product Name]],Inventory[Product Name],Inventory[Product ID])="","",_xlfn.XLOOKUP(Purchases[[#This Row],[Product Name]],Inventory[Product Name],Inventory[Product ID]))</f>
        <v/>
      </c>
      <c r="H406" t="str">
        <f t="shared" si="6"/>
        <v/>
      </c>
    </row>
    <row r="407" spans="4:8">
      <c r="D407" s="3" t="str">
        <f>IF(_xlfn.XLOOKUP(Purchases[[#This Row],[Product Name]],Inventory[Product Name],Inventory[Product ID])="","",_xlfn.XLOOKUP(Purchases[[#This Row],[Product Name]],Inventory[Product Name],Inventory[Product ID]))</f>
        <v/>
      </c>
      <c r="H407" t="str">
        <f t="shared" si="6"/>
        <v/>
      </c>
    </row>
    <row r="408" spans="4:8">
      <c r="D408" s="3" t="str">
        <f>IF(_xlfn.XLOOKUP(Purchases[[#This Row],[Product Name]],Inventory[Product Name],Inventory[Product ID])="","",_xlfn.XLOOKUP(Purchases[[#This Row],[Product Name]],Inventory[Product Name],Inventory[Product ID]))</f>
        <v/>
      </c>
      <c r="H408" t="str">
        <f t="shared" si="6"/>
        <v/>
      </c>
    </row>
    <row r="409" spans="4:8">
      <c r="D409" s="3" t="str">
        <f>IF(_xlfn.XLOOKUP(Purchases[[#This Row],[Product Name]],Inventory[Product Name],Inventory[Product ID])="","",_xlfn.XLOOKUP(Purchases[[#This Row],[Product Name]],Inventory[Product Name],Inventory[Product ID]))</f>
        <v/>
      </c>
      <c r="H409" t="str">
        <f t="shared" si="6"/>
        <v/>
      </c>
    </row>
    <row r="410" spans="4:8">
      <c r="D410" s="3" t="str">
        <f>IF(_xlfn.XLOOKUP(Purchases[[#This Row],[Product Name]],Inventory[Product Name],Inventory[Product ID])="","",_xlfn.XLOOKUP(Purchases[[#This Row],[Product Name]],Inventory[Product Name],Inventory[Product ID]))</f>
        <v/>
      </c>
      <c r="H410" t="str">
        <f t="shared" si="6"/>
        <v/>
      </c>
    </row>
    <row r="411" spans="4:8">
      <c r="D411" s="3" t="str">
        <f>IF(_xlfn.XLOOKUP(Purchases[[#This Row],[Product Name]],Inventory[Product Name],Inventory[Product ID])="","",_xlfn.XLOOKUP(Purchases[[#This Row],[Product Name]],Inventory[Product Name],Inventory[Product ID]))</f>
        <v/>
      </c>
      <c r="H411" t="str">
        <f t="shared" si="6"/>
        <v/>
      </c>
    </row>
    <row r="412" spans="4:8">
      <c r="D412" s="3" t="str">
        <f>IF(_xlfn.XLOOKUP(Purchases[[#This Row],[Product Name]],Inventory[Product Name],Inventory[Product ID])="","",_xlfn.XLOOKUP(Purchases[[#This Row],[Product Name]],Inventory[Product Name],Inventory[Product ID]))</f>
        <v/>
      </c>
      <c r="H412" t="str">
        <f t="shared" si="6"/>
        <v/>
      </c>
    </row>
    <row r="413" spans="4:8">
      <c r="D413" s="3" t="str">
        <f>IF(_xlfn.XLOOKUP(Purchases[[#This Row],[Product Name]],Inventory[Product Name],Inventory[Product ID])="","",_xlfn.XLOOKUP(Purchases[[#This Row],[Product Name]],Inventory[Product Name],Inventory[Product ID]))</f>
        <v/>
      </c>
      <c r="H413" t="str">
        <f t="shared" si="6"/>
        <v/>
      </c>
    </row>
    <row r="414" spans="4:8">
      <c r="D414" s="3" t="str">
        <f>IF(_xlfn.XLOOKUP(Purchases[[#This Row],[Product Name]],Inventory[Product Name],Inventory[Product ID])="","",_xlfn.XLOOKUP(Purchases[[#This Row],[Product Name]],Inventory[Product Name],Inventory[Product ID]))</f>
        <v/>
      </c>
      <c r="H414" t="str">
        <f t="shared" si="6"/>
        <v/>
      </c>
    </row>
    <row r="415" spans="4:8">
      <c r="D415" s="3" t="str">
        <f>IF(_xlfn.XLOOKUP(Purchases[[#This Row],[Product Name]],Inventory[Product Name],Inventory[Product ID])="","",_xlfn.XLOOKUP(Purchases[[#This Row],[Product Name]],Inventory[Product Name],Inventory[Product ID]))</f>
        <v/>
      </c>
      <c r="H415" t="str">
        <f t="shared" si="6"/>
        <v/>
      </c>
    </row>
    <row r="416" spans="4:8">
      <c r="D416" s="3" t="str">
        <f>IF(_xlfn.XLOOKUP(Purchases[[#This Row],[Product Name]],Inventory[Product Name],Inventory[Product ID])="","",_xlfn.XLOOKUP(Purchases[[#This Row],[Product Name]],Inventory[Product Name],Inventory[Product ID]))</f>
        <v/>
      </c>
      <c r="H416" t="str">
        <f t="shared" si="6"/>
        <v/>
      </c>
    </row>
    <row r="417" spans="4:8">
      <c r="D417" s="3" t="str">
        <f>IF(_xlfn.XLOOKUP(Purchases[[#This Row],[Product Name]],Inventory[Product Name],Inventory[Product ID])="","",_xlfn.XLOOKUP(Purchases[[#This Row],[Product Name]],Inventory[Product Name],Inventory[Product ID]))</f>
        <v/>
      </c>
      <c r="H417" t="str">
        <f t="shared" si="6"/>
        <v/>
      </c>
    </row>
    <row r="418" spans="4:8">
      <c r="D418" s="3" t="str">
        <f>IF(_xlfn.XLOOKUP(Purchases[[#This Row],[Product Name]],Inventory[Product Name],Inventory[Product ID])="","",_xlfn.XLOOKUP(Purchases[[#This Row],[Product Name]],Inventory[Product Name],Inventory[Product ID]))</f>
        <v/>
      </c>
      <c r="H418" t="str">
        <f t="shared" si="6"/>
        <v/>
      </c>
    </row>
    <row r="419" spans="4:8">
      <c r="D419" s="3" t="str">
        <f>IF(_xlfn.XLOOKUP(Purchases[[#This Row],[Product Name]],Inventory[Product Name],Inventory[Product ID])="","",_xlfn.XLOOKUP(Purchases[[#This Row],[Product Name]],Inventory[Product Name],Inventory[Product ID]))</f>
        <v/>
      </c>
      <c r="H419" t="str">
        <f t="shared" si="6"/>
        <v/>
      </c>
    </row>
    <row r="420" spans="4:8">
      <c r="D420" s="3" t="str">
        <f>IF(_xlfn.XLOOKUP(Purchases[[#This Row],[Product Name]],Inventory[Product Name],Inventory[Product ID])="","",_xlfn.XLOOKUP(Purchases[[#This Row],[Product Name]],Inventory[Product Name],Inventory[Product ID]))</f>
        <v/>
      </c>
      <c r="H420" t="str">
        <f t="shared" si="6"/>
        <v/>
      </c>
    </row>
    <row r="421" spans="4:8">
      <c r="D421" s="3" t="str">
        <f>IF(_xlfn.XLOOKUP(Purchases[[#This Row],[Product Name]],Inventory[Product Name],Inventory[Product ID])="","",_xlfn.XLOOKUP(Purchases[[#This Row],[Product Name]],Inventory[Product Name],Inventory[Product ID]))</f>
        <v/>
      </c>
      <c r="H421" t="str">
        <f t="shared" si="6"/>
        <v/>
      </c>
    </row>
    <row r="422" spans="4:8">
      <c r="D422" s="3" t="str">
        <f>IF(_xlfn.XLOOKUP(Purchases[[#This Row],[Product Name]],Inventory[Product Name],Inventory[Product ID])="","",_xlfn.XLOOKUP(Purchases[[#This Row],[Product Name]],Inventory[Product Name],Inventory[Product ID]))</f>
        <v/>
      </c>
      <c r="H422" t="str">
        <f t="shared" si="6"/>
        <v/>
      </c>
    </row>
    <row r="423" spans="4:8">
      <c r="D423" s="3" t="str">
        <f>IF(_xlfn.XLOOKUP(Purchases[[#This Row],[Product Name]],Inventory[Product Name],Inventory[Product ID])="","",_xlfn.XLOOKUP(Purchases[[#This Row],[Product Name]],Inventory[Product Name],Inventory[Product ID]))</f>
        <v/>
      </c>
      <c r="H423" t="str">
        <f t="shared" si="6"/>
        <v/>
      </c>
    </row>
    <row r="424" spans="4:8">
      <c r="D424" s="3" t="str">
        <f>IF(_xlfn.XLOOKUP(Purchases[[#This Row],[Product Name]],Inventory[Product Name],Inventory[Product ID])="","",_xlfn.XLOOKUP(Purchases[[#This Row],[Product Name]],Inventory[Product Name],Inventory[Product ID]))</f>
        <v/>
      </c>
      <c r="H424" t="str">
        <f t="shared" si="6"/>
        <v/>
      </c>
    </row>
    <row r="425" spans="4:8">
      <c r="D425" s="3" t="str">
        <f>IF(_xlfn.XLOOKUP(Purchases[[#This Row],[Product Name]],Inventory[Product Name],Inventory[Product ID])="","",_xlfn.XLOOKUP(Purchases[[#This Row],[Product Name]],Inventory[Product Name],Inventory[Product ID]))</f>
        <v/>
      </c>
      <c r="H425" t="str">
        <f t="shared" si="6"/>
        <v/>
      </c>
    </row>
    <row r="426" spans="4:8">
      <c r="D426" s="3" t="str">
        <f>IF(_xlfn.XLOOKUP(Purchases[[#This Row],[Product Name]],Inventory[Product Name],Inventory[Product ID])="","",_xlfn.XLOOKUP(Purchases[[#This Row],[Product Name]],Inventory[Product Name],Inventory[Product ID]))</f>
        <v/>
      </c>
      <c r="H426" t="str">
        <f t="shared" si="6"/>
        <v/>
      </c>
    </row>
    <row r="427" spans="4:8">
      <c r="D427" s="3" t="str">
        <f>IF(_xlfn.XLOOKUP(Purchases[[#This Row],[Product Name]],Inventory[Product Name],Inventory[Product ID])="","",_xlfn.XLOOKUP(Purchases[[#This Row],[Product Name]],Inventory[Product Name],Inventory[Product ID]))</f>
        <v/>
      </c>
      <c r="H427" t="str">
        <f t="shared" si="6"/>
        <v/>
      </c>
    </row>
    <row r="428" spans="4:8">
      <c r="D428" s="3" t="str">
        <f>IF(_xlfn.XLOOKUP(Purchases[[#This Row],[Product Name]],Inventory[Product Name],Inventory[Product ID])="","",_xlfn.XLOOKUP(Purchases[[#This Row],[Product Name]],Inventory[Product Name],Inventory[Product ID]))</f>
        <v/>
      </c>
      <c r="H428" t="str">
        <f t="shared" si="6"/>
        <v/>
      </c>
    </row>
    <row r="429" spans="4:8">
      <c r="D429" s="3" t="str">
        <f>IF(_xlfn.XLOOKUP(Purchases[[#This Row],[Product Name]],Inventory[Product Name],Inventory[Product ID])="","",_xlfn.XLOOKUP(Purchases[[#This Row],[Product Name]],Inventory[Product Name],Inventory[Product ID]))</f>
        <v/>
      </c>
      <c r="H429" t="str">
        <f t="shared" si="6"/>
        <v/>
      </c>
    </row>
    <row r="430" spans="4:8">
      <c r="D430" s="3" t="str">
        <f>IF(_xlfn.XLOOKUP(Purchases[[#This Row],[Product Name]],Inventory[Product Name],Inventory[Product ID])="","",_xlfn.XLOOKUP(Purchases[[#This Row],[Product Name]],Inventory[Product Name],Inventory[Product ID]))</f>
        <v/>
      </c>
      <c r="H430" t="str">
        <f t="shared" si="6"/>
        <v/>
      </c>
    </row>
    <row r="431" spans="4:8">
      <c r="D431" s="3" t="str">
        <f>IF(_xlfn.XLOOKUP(Purchases[[#This Row],[Product Name]],Inventory[Product Name],Inventory[Product ID])="","",_xlfn.XLOOKUP(Purchases[[#This Row],[Product Name]],Inventory[Product Name],Inventory[Product ID]))</f>
        <v/>
      </c>
      <c r="H431" t="str">
        <f t="shared" si="6"/>
        <v/>
      </c>
    </row>
    <row r="432" spans="4:8">
      <c r="D432" s="3" t="str">
        <f>IF(_xlfn.XLOOKUP(Purchases[[#This Row],[Product Name]],Inventory[Product Name],Inventory[Product ID])="","",_xlfn.XLOOKUP(Purchases[[#This Row],[Product Name]],Inventory[Product Name],Inventory[Product ID]))</f>
        <v/>
      </c>
      <c r="H432" t="str">
        <f t="shared" si="6"/>
        <v/>
      </c>
    </row>
    <row r="433" spans="4:8">
      <c r="D433" s="3" t="str">
        <f>IF(_xlfn.XLOOKUP(Purchases[[#This Row],[Product Name]],Inventory[Product Name],Inventory[Product ID])="","",_xlfn.XLOOKUP(Purchases[[#This Row],[Product Name]],Inventory[Product Name],Inventory[Product ID]))</f>
        <v/>
      </c>
      <c r="H433" t="str">
        <f t="shared" si="6"/>
        <v/>
      </c>
    </row>
    <row r="434" spans="4:8">
      <c r="D434" s="3" t="str">
        <f>IF(_xlfn.XLOOKUP(Purchases[[#This Row],[Product Name]],Inventory[Product Name],Inventory[Product ID])="","",_xlfn.XLOOKUP(Purchases[[#This Row],[Product Name]],Inventory[Product Name],Inventory[Product ID]))</f>
        <v/>
      </c>
      <c r="H434" t="str">
        <f t="shared" si="6"/>
        <v/>
      </c>
    </row>
    <row r="435" spans="4:8">
      <c r="D435" s="3" t="str">
        <f>IF(_xlfn.XLOOKUP(Purchases[[#This Row],[Product Name]],Inventory[Product Name],Inventory[Product ID])="","",_xlfn.XLOOKUP(Purchases[[#This Row],[Product Name]],Inventory[Product Name],Inventory[Product ID]))</f>
        <v/>
      </c>
      <c r="H435" t="str">
        <f t="shared" si="6"/>
        <v/>
      </c>
    </row>
    <row r="436" spans="4:8">
      <c r="D436" s="3" t="str">
        <f>IF(_xlfn.XLOOKUP(Purchases[[#This Row],[Product Name]],Inventory[Product Name],Inventory[Product ID])="","",_xlfn.XLOOKUP(Purchases[[#This Row],[Product Name]],Inventory[Product Name],Inventory[Product ID]))</f>
        <v/>
      </c>
      <c r="H436" t="str">
        <f t="shared" si="6"/>
        <v/>
      </c>
    </row>
    <row r="437" spans="4:8">
      <c r="D437" s="3" t="str">
        <f>IF(_xlfn.XLOOKUP(Purchases[[#This Row],[Product Name]],Inventory[Product Name],Inventory[Product ID])="","",_xlfn.XLOOKUP(Purchases[[#This Row],[Product Name]],Inventory[Product Name],Inventory[Product ID]))</f>
        <v/>
      </c>
      <c r="H437" t="str">
        <f t="shared" si="6"/>
        <v/>
      </c>
    </row>
    <row r="438" spans="4:8">
      <c r="D438" s="3" t="str">
        <f>IF(_xlfn.XLOOKUP(Purchases[[#This Row],[Product Name]],Inventory[Product Name],Inventory[Product ID])="","",_xlfn.XLOOKUP(Purchases[[#This Row],[Product Name]],Inventory[Product Name],Inventory[Product ID]))</f>
        <v/>
      </c>
      <c r="H438" t="str">
        <f t="shared" si="6"/>
        <v/>
      </c>
    </row>
    <row r="439" spans="4:8">
      <c r="D439" s="3" t="str">
        <f>IF(_xlfn.XLOOKUP(Purchases[[#This Row],[Product Name]],Inventory[Product Name],Inventory[Product ID])="","",_xlfn.XLOOKUP(Purchases[[#This Row],[Product Name]],Inventory[Product Name],Inventory[Product ID]))</f>
        <v/>
      </c>
      <c r="H439" t="str">
        <f t="shared" si="6"/>
        <v/>
      </c>
    </row>
    <row r="440" spans="4:8">
      <c r="D440" s="3" t="str">
        <f>IF(_xlfn.XLOOKUP(Purchases[[#This Row],[Product Name]],Inventory[Product Name],Inventory[Product ID])="","",_xlfn.XLOOKUP(Purchases[[#This Row],[Product Name]],Inventory[Product Name],Inventory[Product ID]))</f>
        <v/>
      </c>
      <c r="H440" t="str">
        <f t="shared" si="6"/>
        <v/>
      </c>
    </row>
    <row r="441" spans="4:8">
      <c r="D441" s="3" t="str">
        <f>IF(_xlfn.XLOOKUP(Purchases[[#This Row],[Product Name]],Inventory[Product Name],Inventory[Product ID])="","",_xlfn.XLOOKUP(Purchases[[#This Row],[Product Name]],Inventory[Product Name],Inventory[Product ID]))</f>
        <v/>
      </c>
      <c r="H441" t="str">
        <f t="shared" si="6"/>
        <v/>
      </c>
    </row>
    <row r="442" spans="4:8">
      <c r="D442" s="3" t="str">
        <f>IF(_xlfn.XLOOKUP(Purchases[[#This Row],[Product Name]],Inventory[Product Name],Inventory[Product ID])="","",_xlfn.XLOOKUP(Purchases[[#This Row],[Product Name]],Inventory[Product Name],Inventory[Product ID]))</f>
        <v/>
      </c>
      <c r="H442" t="str">
        <f t="shared" si="6"/>
        <v/>
      </c>
    </row>
    <row r="443" spans="4:8">
      <c r="D443" s="3" t="str">
        <f>IF(_xlfn.XLOOKUP(Purchases[[#This Row],[Product Name]],Inventory[Product Name],Inventory[Product ID])="","",_xlfn.XLOOKUP(Purchases[[#This Row],[Product Name]],Inventory[Product Name],Inventory[Product ID]))</f>
        <v/>
      </c>
      <c r="H443" t="str">
        <f t="shared" si="6"/>
        <v/>
      </c>
    </row>
    <row r="444" spans="4:8">
      <c r="D444" s="3" t="str">
        <f>IF(_xlfn.XLOOKUP(Purchases[[#This Row],[Product Name]],Inventory[Product Name],Inventory[Product ID])="","",_xlfn.XLOOKUP(Purchases[[#This Row],[Product Name]],Inventory[Product Name],Inventory[Product ID]))</f>
        <v/>
      </c>
      <c r="H444" t="str">
        <f t="shared" si="6"/>
        <v/>
      </c>
    </row>
    <row r="445" spans="4:8">
      <c r="D445" s="3" t="str">
        <f>IF(_xlfn.XLOOKUP(Purchases[[#This Row],[Product Name]],Inventory[Product Name],Inventory[Product ID])="","",_xlfn.XLOOKUP(Purchases[[#This Row],[Product Name]],Inventory[Product Name],Inventory[Product ID]))</f>
        <v/>
      </c>
      <c r="H445" t="str">
        <f t="shared" si="6"/>
        <v/>
      </c>
    </row>
    <row r="446" spans="4:8">
      <c r="D446" s="3" t="str">
        <f>IF(_xlfn.XLOOKUP(Purchases[[#This Row],[Product Name]],Inventory[Product Name],Inventory[Product ID])="","",_xlfn.XLOOKUP(Purchases[[#This Row],[Product Name]],Inventory[Product Name],Inventory[Product ID]))</f>
        <v/>
      </c>
      <c r="H446" t="str">
        <f t="shared" si="6"/>
        <v/>
      </c>
    </row>
    <row r="447" spans="4:8">
      <c r="D447" s="3" t="str">
        <f>IF(_xlfn.XLOOKUP(Purchases[[#This Row],[Product Name]],Inventory[Product Name],Inventory[Product ID])="","",_xlfn.XLOOKUP(Purchases[[#This Row],[Product Name]],Inventory[Product Name],Inventory[Product ID]))</f>
        <v/>
      </c>
      <c r="H447" t="str">
        <f t="shared" si="6"/>
        <v/>
      </c>
    </row>
    <row r="448" spans="4:8">
      <c r="D448" s="3" t="str">
        <f>IF(_xlfn.XLOOKUP(Purchases[[#This Row],[Product Name]],Inventory[Product Name],Inventory[Product ID])="","",_xlfn.XLOOKUP(Purchases[[#This Row],[Product Name]],Inventory[Product Name],Inventory[Product ID]))</f>
        <v/>
      </c>
      <c r="H448" t="str">
        <f t="shared" si="6"/>
        <v/>
      </c>
    </row>
    <row r="449" spans="4:8">
      <c r="D449" s="3" t="str">
        <f>IF(_xlfn.XLOOKUP(Purchases[[#This Row],[Product Name]],Inventory[Product Name],Inventory[Product ID])="","",_xlfn.XLOOKUP(Purchases[[#This Row],[Product Name]],Inventory[Product Name],Inventory[Product ID]))</f>
        <v/>
      </c>
      <c r="H449" t="str">
        <f t="shared" si="6"/>
        <v/>
      </c>
    </row>
    <row r="450" spans="4:8">
      <c r="D450" s="3" t="str">
        <f>IF(_xlfn.XLOOKUP(Purchases[[#This Row],[Product Name]],Inventory[Product Name],Inventory[Product ID])="","",_xlfn.XLOOKUP(Purchases[[#This Row],[Product Name]],Inventory[Product Name],Inventory[Product ID]))</f>
        <v/>
      </c>
      <c r="H450" t="str">
        <f t="shared" ref="H450:H513" si="7">IF((F450*G450)&lt;&gt;0,F450*G450,"")</f>
        <v/>
      </c>
    </row>
    <row r="451" spans="4:8">
      <c r="D451" s="3" t="str">
        <f>IF(_xlfn.XLOOKUP(Purchases[[#This Row],[Product Name]],Inventory[Product Name],Inventory[Product ID])="","",_xlfn.XLOOKUP(Purchases[[#This Row],[Product Name]],Inventory[Product Name],Inventory[Product ID]))</f>
        <v/>
      </c>
      <c r="H451" t="str">
        <f t="shared" si="7"/>
        <v/>
      </c>
    </row>
    <row r="452" spans="4:8">
      <c r="D452" s="3" t="str">
        <f>IF(_xlfn.XLOOKUP(Purchases[[#This Row],[Product Name]],Inventory[Product Name],Inventory[Product ID])="","",_xlfn.XLOOKUP(Purchases[[#This Row],[Product Name]],Inventory[Product Name],Inventory[Product ID]))</f>
        <v/>
      </c>
      <c r="H452" t="str">
        <f t="shared" si="7"/>
        <v/>
      </c>
    </row>
    <row r="453" spans="4:8">
      <c r="D453" s="3" t="str">
        <f>IF(_xlfn.XLOOKUP(Purchases[[#This Row],[Product Name]],Inventory[Product Name],Inventory[Product ID])="","",_xlfn.XLOOKUP(Purchases[[#This Row],[Product Name]],Inventory[Product Name],Inventory[Product ID]))</f>
        <v/>
      </c>
      <c r="H453" t="str">
        <f t="shared" si="7"/>
        <v/>
      </c>
    </row>
    <row r="454" spans="4:8">
      <c r="D454" s="3" t="str">
        <f>IF(_xlfn.XLOOKUP(Purchases[[#This Row],[Product Name]],Inventory[Product Name],Inventory[Product ID])="","",_xlfn.XLOOKUP(Purchases[[#This Row],[Product Name]],Inventory[Product Name],Inventory[Product ID]))</f>
        <v/>
      </c>
      <c r="H454" t="str">
        <f t="shared" si="7"/>
        <v/>
      </c>
    </row>
    <row r="455" spans="4:8">
      <c r="D455" s="3" t="str">
        <f>IF(_xlfn.XLOOKUP(Purchases[[#This Row],[Product Name]],Inventory[Product Name],Inventory[Product ID])="","",_xlfn.XLOOKUP(Purchases[[#This Row],[Product Name]],Inventory[Product Name],Inventory[Product ID]))</f>
        <v/>
      </c>
      <c r="H455" t="str">
        <f t="shared" si="7"/>
        <v/>
      </c>
    </row>
    <row r="456" spans="4:8">
      <c r="D456" s="3" t="str">
        <f>IF(_xlfn.XLOOKUP(Purchases[[#This Row],[Product Name]],Inventory[Product Name],Inventory[Product ID])="","",_xlfn.XLOOKUP(Purchases[[#This Row],[Product Name]],Inventory[Product Name],Inventory[Product ID]))</f>
        <v/>
      </c>
      <c r="H456" t="str">
        <f t="shared" si="7"/>
        <v/>
      </c>
    </row>
    <row r="457" spans="4:8">
      <c r="D457" s="3" t="str">
        <f>IF(_xlfn.XLOOKUP(Purchases[[#This Row],[Product Name]],Inventory[Product Name],Inventory[Product ID])="","",_xlfn.XLOOKUP(Purchases[[#This Row],[Product Name]],Inventory[Product Name],Inventory[Product ID]))</f>
        <v/>
      </c>
      <c r="H457" t="str">
        <f t="shared" si="7"/>
        <v/>
      </c>
    </row>
    <row r="458" spans="4:8">
      <c r="D458" s="3" t="str">
        <f>IF(_xlfn.XLOOKUP(Purchases[[#This Row],[Product Name]],Inventory[Product Name],Inventory[Product ID])="","",_xlfn.XLOOKUP(Purchases[[#This Row],[Product Name]],Inventory[Product Name],Inventory[Product ID]))</f>
        <v/>
      </c>
      <c r="H458" t="str">
        <f t="shared" si="7"/>
        <v/>
      </c>
    </row>
    <row r="459" spans="4:8">
      <c r="D459" s="3" t="str">
        <f>IF(_xlfn.XLOOKUP(Purchases[[#This Row],[Product Name]],Inventory[Product Name],Inventory[Product ID])="","",_xlfn.XLOOKUP(Purchases[[#This Row],[Product Name]],Inventory[Product Name],Inventory[Product ID]))</f>
        <v/>
      </c>
      <c r="H459" t="str">
        <f t="shared" si="7"/>
        <v/>
      </c>
    </row>
    <row r="460" spans="4:8">
      <c r="D460" s="3" t="str">
        <f>IF(_xlfn.XLOOKUP(Purchases[[#This Row],[Product Name]],Inventory[Product Name],Inventory[Product ID])="","",_xlfn.XLOOKUP(Purchases[[#This Row],[Product Name]],Inventory[Product Name],Inventory[Product ID]))</f>
        <v/>
      </c>
      <c r="H460" t="str">
        <f t="shared" si="7"/>
        <v/>
      </c>
    </row>
    <row r="461" spans="4:8">
      <c r="D461" s="3" t="str">
        <f>IF(_xlfn.XLOOKUP(Purchases[[#This Row],[Product Name]],Inventory[Product Name],Inventory[Product ID])="","",_xlfn.XLOOKUP(Purchases[[#This Row],[Product Name]],Inventory[Product Name],Inventory[Product ID]))</f>
        <v/>
      </c>
      <c r="H461" t="str">
        <f t="shared" si="7"/>
        <v/>
      </c>
    </row>
    <row r="462" spans="4:8">
      <c r="D462" s="3" t="str">
        <f>IF(_xlfn.XLOOKUP(Purchases[[#This Row],[Product Name]],Inventory[Product Name],Inventory[Product ID])="","",_xlfn.XLOOKUP(Purchases[[#This Row],[Product Name]],Inventory[Product Name],Inventory[Product ID]))</f>
        <v/>
      </c>
      <c r="H462" t="str">
        <f t="shared" si="7"/>
        <v/>
      </c>
    </row>
    <row r="463" spans="4:8">
      <c r="D463" s="3" t="str">
        <f>IF(_xlfn.XLOOKUP(Purchases[[#This Row],[Product Name]],Inventory[Product Name],Inventory[Product ID])="","",_xlfn.XLOOKUP(Purchases[[#This Row],[Product Name]],Inventory[Product Name],Inventory[Product ID]))</f>
        <v/>
      </c>
      <c r="H463" t="str">
        <f t="shared" si="7"/>
        <v/>
      </c>
    </row>
    <row r="464" spans="4:8">
      <c r="D464" s="3" t="str">
        <f>IF(_xlfn.XLOOKUP(Purchases[[#This Row],[Product Name]],Inventory[Product Name],Inventory[Product ID])="","",_xlfn.XLOOKUP(Purchases[[#This Row],[Product Name]],Inventory[Product Name],Inventory[Product ID]))</f>
        <v/>
      </c>
      <c r="H464" t="str">
        <f t="shared" si="7"/>
        <v/>
      </c>
    </row>
    <row r="465" spans="4:8">
      <c r="D465" s="3" t="str">
        <f>IF(_xlfn.XLOOKUP(Purchases[[#This Row],[Product Name]],Inventory[Product Name],Inventory[Product ID])="","",_xlfn.XLOOKUP(Purchases[[#This Row],[Product Name]],Inventory[Product Name],Inventory[Product ID]))</f>
        <v/>
      </c>
      <c r="H465" t="str">
        <f t="shared" si="7"/>
        <v/>
      </c>
    </row>
    <row r="466" spans="4:8">
      <c r="D466" s="3" t="str">
        <f>IF(_xlfn.XLOOKUP(Purchases[[#This Row],[Product Name]],Inventory[Product Name],Inventory[Product ID])="","",_xlfn.XLOOKUP(Purchases[[#This Row],[Product Name]],Inventory[Product Name],Inventory[Product ID]))</f>
        <v/>
      </c>
      <c r="H466" t="str">
        <f t="shared" si="7"/>
        <v/>
      </c>
    </row>
    <row r="467" spans="4:8">
      <c r="D467" s="3" t="str">
        <f>IF(_xlfn.XLOOKUP(Purchases[[#This Row],[Product Name]],Inventory[Product Name],Inventory[Product ID])="","",_xlfn.XLOOKUP(Purchases[[#This Row],[Product Name]],Inventory[Product Name],Inventory[Product ID]))</f>
        <v/>
      </c>
      <c r="H467" t="str">
        <f t="shared" si="7"/>
        <v/>
      </c>
    </row>
    <row r="468" spans="4:8">
      <c r="D468" s="3" t="str">
        <f>IF(_xlfn.XLOOKUP(Purchases[[#This Row],[Product Name]],Inventory[Product Name],Inventory[Product ID])="","",_xlfn.XLOOKUP(Purchases[[#This Row],[Product Name]],Inventory[Product Name],Inventory[Product ID]))</f>
        <v/>
      </c>
      <c r="H468" t="str">
        <f t="shared" si="7"/>
        <v/>
      </c>
    </row>
    <row r="469" spans="4:8">
      <c r="D469" s="3" t="str">
        <f>IF(_xlfn.XLOOKUP(Purchases[[#This Row],[Product Name]],Inventory[Product Name],Inventory[Product ID])="","",_xlfn.XLOOKUP(Purchases[[#This Row],[Product Name]],Inventory[Product Name],Inventory[Product ID]))</f>
        <v/>
      </c>
      <c r="H469" t="str">
        <f t="shared" si="7"/>
        <v/>
      </c>
    </row>
    <row r="470" spans="4:8">
      <c r="D470" s="3" t="str">
        <f>IF(_xlfn.XLOOKUP(Purchases[[#This Row],[Product Name]],Inventory[Product Name],Inventory[Product ID])="","",_xlfn.XLOOKUP(Purchases[[#This Row],[Product Name]],Inventory[Product Name],Inventory[Product ID]))</f>
        <v/>
      </c>
      <c r="H470" t="str">
        <f t="shared" si="7"/>
        <v/>
      </c>
    </row>
    <row r="471" spans="4:8">
      <c r="D471" s="3" t="str">
        <f>IF(_xlfn.XLOOKUP(Purchases[[#This Row],[Product Name]],Inventory[Product Name],Inventory[Product ID])="","",_xlfn.XLOOKUP(Purchases[[#This Row],[Product Name]],Inventory[Product Name],Inventory[Product ID]))</f>
        <v/>
      </c>
      <c r="H471" t="str">
        <f t="shared" si="7"/>
        <v/>
      </c>
    </row>
    <row r="472" spans="4:8">
      <c r="D472" s="3" t="str">
        <f>IF(_xlfn.XLOOKUP(Purchases[[#This Row],[Product Name]],Inventory[Product Name],Inventory[Product ID])="","",_xlfn.XLOOKUP(Purchases[[#This Row],[Product Name]],Inventory[Product Name],Inventory[Product ID]))</f>
        <v/>
      </c>
      <c r="H472" t="str">
        <f t="shared" si="7"/>
        <v/>
      </c>
    </row>
    <row r="473" spans="4:8">
      <c r="D473" s="3" t="str">
        <f>IF(_xlfn.XLOOKUP(Purchases[[#This Row],[Product Name]],Inventory[Product Name],Inventory[Product ID])="","",_xlfn.XLOOKUP(Purchases[[#This Row],[Product Name]],Inventory[Product Name],Inventory[Product ID]))</f>
        <v/>
      </c>
      <c r="H473" t="str">
        <f t="shared" si="7"/>
        <v/>
      </c>
    </row>
    <row r="474" spans="4:8">
      <c r="D474" s="3" t="str">
        <f>IF(_xlfn.XLOOKUP(Purchases[[#This Row],[Product Name]],Inventory[Product Name],Inventory[Product ID])="","",_xlfn.XLOOKUP(Purchases[[#This Row],[Product Name]],Inventory[Product Name],Inventory[Product ID]))</f>
        <v/>
      </c>
      <c r="H474" t="str">
        <f t="shared" si="7"/>
        <v/>
      </c>
    </row>
    <row r="475" spans="4:8">
      <c r="D475" s="3" t="str">
        <f>IF(_xlfn.XLOOKUP(Purchases[[#This Row],[Product Name]],Inventory[Product Name],Inventory[Product ID])="","",_xlfn.XLOOKUP(Purchases[[#This Row],[Product Name]],Inventory[Product Name],Inventory[Product ID]))</f>
        <v/>
      </c>
      <c r="H475" t="str">
        <f t="shared" si="7"/>
        <v/>
      </c>
    </row>
    <row r="476" spans="4:8">
      <c r="D476" s="3" t="str">
        <f>IF(_xlfn.XLOOKUP(Purchases[[#This Row],[Product Name]],Inventory[Product Name],Inventory[Product ID])="","",_xlfn.XLOOKUP(Purchases[[#This Row],[Product Name]],Inventory[Product Name],Inventory[Product ID]))</f>
        <v/>
      </c>
      <c r="H476" t="str">
        <f t="shared" si="7"/>
        <v/>
      </c>
    </row>
    <row r="477" spans="4:8">
      <c r="D477" s="3" t="str">
        <f>IF(_xlfn.XLOOKUP(Purchases[[#This Row],[Product Name]],Inventory[Product Name],Inventory[Product ID])="","",_xlfn.XLOOKUP(Purchases[[#This Row],[Product Name]],Inventory[Product Name],Inventory[Product ID]))</f>
        <v/>
      </c>
      <c r="H477" t="str">
        <f t="shared" si="7"/>
        <v/>
      </c>
    </row>
    <row r="478" spans="4:8">
      <c r="D478" s="3" t="str">
        <f>IF(_xlfn.XLOOKUP(Purchases[[#This Row],[Product Name]],Inventory[Product Name],Inventory[Product ID])="","",_xlfn.XLOOKUP(Purchases[[#This Row],[Product Name]],Inventory[Product Name],Inventory[Product ID]))</f>
        <v/>
      </c>
      <c r="H478" t="str">
        <f t="shared" si="7"/>
        <v/>
      </c>
    </row>
    <row r="479" spans="4:8">
      <c r="D479" s="3" t="str">
        <f>IF(_xlfn.XLOOKUP(Purchases[[#This Row],[Product Name]],Inventory[Product Name],Inventory[Product ID])="","",_xlfn.XLOOKUP(Purchases[[#This Row],[Product Name]],Inventory[Product Name],Inventory[Product ID]))</f>
        <v/>
      </c>
      <c r="H479" t="str">
        <f t="shared" si="7"/>
        <v/>
      </c>
    </row>
    <row r="480" spans="4:8">
      <c r="D480" s="3" t="str">
        <f>IF(_xlfn.XLOOKUP(Purchases[[#This Row],[Product Name]],Inventory[Product Name],Inventory[Product ID])="","",_xlfn.XLOOKUP(Purchases[[#This Row],[Product Name]],Inventory[Product Name],Inventory[Product ID]))</f>
        <v/>
      </c>
      <c r="H480" t="str">
        <f t="shared" si="7"/>
        <v/>
      </c>
    </row>
    <row r="481" spans="4:8">
      <c r="D481" s="3" t="str">
        <f>IF(_xlfn.XLOOKUP(Purchases[[#This Row],[Product Name]],Inventory[Product Name],Inventory[Product ID])="","",_xlfn.XLOOKUP(Purchases[[#This Row],[Product Name]],Inventory[Product Name],Inventory[Product ID]))</f>
        <v/>
      </c>
      <c r="H481" t="str">
        <f t="shared" si="7"/>
        <v/>
      </c>
    </row>
    <row r="482" spans="4:8">
      <c r="D482" s="3" t="str">
        <f>IF(_xlfn.XLOOKUP(Purchases[[#This Row],[Product Name]],Inventory[Product Name],Inventory[Product ID])="","",_xlfn.XLOOKUP(Purchases[[#This Row],[Product Name]],Inventory[Product Name],Inventory[Product ID]))</f>
        <v/>
      </c>
      <c r="H482" t="str">
        <f t="shared" si="7"/>
        <v/>
      </c>
    </row>
    <row r="483" spans="4:8">
      <c r="D483" s="3" t="str">
        <f>IF(_xlfn.XLOOKUP(Purchases[[#This Row],[Product Name]],Inventory[Product Name],Inventory[Product ID])="","",_xlfn.XLOOKUP(Purchases[[#This Row],[Product Name]],Inventory[Product Name],Inventory[Product ID]))</f>
        <v/>
      </c>
      <c r="H483" t="str">
        <f t="shared" si="7"/>
        <v/>
      </c>
    </row>
    <row r="484" spans="4:8">
      <c r="D484" s="3" t="str">
        <f>IF(_xlfn.XLOOKUP(Purchases[[#This Row],[Product Name]],Inventory[Product Name],Inventory[Product ID])="","",_xlfn.XLOOKUP(Purchases[[#This Row],[Product Name]],Inventory[Product Name],Inventory[Product ID]))</f>
        <v/>
      </c>
      <c r="H484" t="str">
        <f t="shared" si="7"/>
        <v/>
      </c>
    </row>
    <row r="485" spans="4:8">
      <c r="D485" s="3" t="str">
        <f>IF(_xlfn.XLOOKUP(Purchases[[#This Row],[Product Name]],Inventory[Product Name],Inventory[Product ID])="","",_xlfn.XLOOKUP(Purchases[[#This Row],[Product Name]],Inventory[Product Name],Inventory[Product ID]))</f>
        <v/>
      </c>
      <c r="H485" t="str">
        <f t="shared" si="7"/>
        <v/>
      </c>
    </row>
    <row r="486" spans="4:8">
      <c r="D486" s="3" t="str">
        <f>IF(_xlfn.XLOOKUP(Purchases[[#This Row],[Product Name]],Inventory[Product Name],Inventory[Product ID])="","",_xlfn.XLOOKUP(Purchases[[#This Row],[Product Name]],Inventory[Product Name],Inventory[Product ID]))</f>
        <v/>
      </c>
      <c r="H486" t="str">
        <f t="shared" si="7"/>
        <v/>
      </c>
    </row>
    <row r="487" spans="4:8">
      <c r="D487" s="3" t="str">
        <f>IF(_xlfn.XLOOKUP(Purchases[[#This Row],[Product Name]],Inventory[Product Name],Inventory[Product ID])="","",_xlfn.XLOOKUP(Purchases[[#This Row],[Product Name]],Inventory[Product Name],Inventory[Product ID]))</f>
        <v/>
      </c>
      <c r="H487" t="str">
        <f t="shared" si="7"/>
        <v/>
      </c>
    </row>
    <row r="488" spans="4:8">
      <c r="D488" s="3" t="str">
        <f>IF(_xlfn.XLOOKUP(Purchases[[#This Row],[Product Name]],Inventory[Product Name],Inventory[Product ID])="","",_xlfn.XLOOKUP(Purchases[[#This Row],[Product Name]],Inventory[Product Name],Inventory[Product ID]))</f>
        <v/>
      </c>
      <c r="H488" t="str">
        <f t="shared" si="7"/>
        <v/>
      </c>
    </row>
    <row r="489" spans="4:8">
      <c r="D489" s="3" t="str">
        <f>IF(_xlfn.XLOOKUP(Purchases[[#This Row],[Product Name]],Inventory[Product Name],Inventory[Product ID])="","",_xlfn.XLOOKUP(Purchases[[#This Row],[Product Name]],Inventory[Product Name],Inventory[Product ID]))</f>
        <v/>
      </c>
      <c r="H489" t="str">
        <f t="shared" si="7"/>
        <v/>
      </c>
    </row>
    <row r="490" spans="4:8">
      <c r="D490" s="3" t="str">
        <f>IF(_xlfn.XLOOKUP(Purchases[[#This Row],[Product Name]],Inventory[Product Name],Inventory[Product ID])="","",_xlfn.XLOOKUP(Purchases[[#This Row],[Product Name]],Inventory[Product Name],Inventory[Product ID]))</f>
        <v/>
      </c>
      <c r="H490" t="str">
        <f t="shared" si="7"/>
        <v/>
      </c>
    </row>
    <row r="491" spans="4:8">
      <c r="D491" s="3" t="str">
        <f>IF(_xlfn.XLOOKUP(Purchases[[#This Row],[Product Name]],Inventory[Product Name],Inventory[Product ID])="","",_xlfn.XLOOKUP(Purchases[[#This Row],[Product Name]],Inventory[Product Name],Inventory[Product ID]))</f>
        <v/>
      </c>
      <c r="H491" t="str">
        <f t="shared" si="7"/>
        <v/>
      </c>
    </row>
    <row r="492" spans="4:8">
      <c r="D492" s="3" t="str">
        <f>IF(_xlfn.XLOOKUP(Purchases[[#This Row],[Product Name]],Inventory[Product Name],Inventory[Product ID])="","",_xlfn.XLOOKUP(Purchases[[#This Row],[Product Name]],Inventory[Product Name],Inventory[Product ID]))</f>
        <v/>
      </c>
      <c r="H492" t="str">
        <f t="shared" si="7"/>
        <v/>
      </c>
    </row>
    <row r="493" spans="4:8">
      <c r="D493" s="3" t="str">
        <f>IF(_xlfn.XLOOKUP(Purchases[[#This Row],[Product Name]],Inventory[Product Name],Inventory[Product ID])="","",_xlfn.XLOOKUP(Purchases[[#This Row],[Product Name]],Inventory[Product Name],Inventory[Product ID]))</f>
        <v/>
      </c>
      <c r="H493" t="str">
        <f t="shared" si="7"/>
        <v/>
      </c>
    </row>
    <row r="494" spans="4:8">
      <c r="D494" s="3" t="str">
        <f>IF(_xlfn.XLOOKUP(Purchases[[#This Row],[Product Name]],Inventory[Product Name],Inventory[Product ID])="","",_xlfn.XLOOKUP(Purchases[[#This Row],[Product Name]],Inventory[Product Name],Inventory[Product ID]))</f>
        <v/>
      </c>
      <c r="H494" t="str">
        <f t="shared" si="7"/>
        <v/>
      </c>
    </row>
    <row r="495" spans="4:8">
      <c r="D495" s="3" t="str">
        <f>IF(_xlfn.XLOOKUP(Purchases[[#This Row],[Product Name]],Inventory[Product Name],Inventory[Product ID])="","",_xlfn.XLOOKUP(Purchases[[#This Row],[Product Name]],Inventory[Product Name],Inventory[Product ID]))</f>
        <v/>
      </c>
      <c r="H495" t="str">
        <f t="shared" si="7"/>
        <v/>
      </c>
    </row>
    <row r="496" spans="4:8">
      <c r="D496" s="3" t="str">
        <f>IF(_xlfn.XLOOKUP(Purchases[[#This Row],[Product Name]],Inventory[Product Name],Inventory[Product ID])="","",_xlfn.XLOOKUP(Purchases[[#This Row],[Product Name]],Inventory[Product Name],Inventory[Product ID]))</f>
        <v/>
      </c>
      <c r="H496" t="str">
        <f t="shared" si="7"/>
        <v/>
      </c>
    </row>
    <row r="497" spans="4:8">
      <c r="D497" s="3" t="str">
        <f>IF(_xlfn.XLOOKUP(Purchases[[#This Row],[Product Name]],Inventory[Product Name],Inventory[Product ID])="","",_xlfn.XLOOKUP(Purchases[[#This Row],[Product Name]],Inventory[Product Name],Inventory[Product ID]))</f>
        <v/>
      </c>
      <c r="H497" t="str">
        <f t="shared" si="7"/>
        <v/>
      </c>
    </row>
    <row r="498" spans="4:8">
      <c r="D498" s="3" t="str">
        <f>IF(_xlfn.XLOOKUP(Purchases[[#This Row],[Product Name]],Inventory[Product Name],Inventory[Product ID])="","",_xlfn.XLOOKUP(Purchases[[#This Row],[Product Name]],Inventory[Product Name],Inventory[Product ID]))</f>
        <v/>
      </c>
      <c r="H498" t="str">
        <f t="shared" si="7"/>
        <v/>
      </c>
    </row>
    <row r="499" spans="4:8">
      <c r="D499" s="3" t="str">
        <f>IF(_xlfn.XLOOKUP(Purchases[[#This Row],[Product Name]],Inventory[Product Name],Inventory[Product ID])="","",_xlfn.XLOOKUP(Purchases[[#This Row],[Product Name]],Inventory[Product Name],Inventory[Product ID]))</f>
        <v/>
      </c>
      <c r="H499" t="str">
        <f t="shared" si="7"/>
        <v/>
      </c>
    </row>
    <row r="500" spans="4:8">
      <c r="D500" s="3" t="str">
        <f>IF(_xlfn.XLOOKUP(Purchases[[#This Row],[Product Name]],Inventory[Product Name],Inventory[Product ID])="","",_xlfn.XLOOKUP(Purchases[[#This Row],[Product Name]],Inventory[Product Name],Inventory[Product ID]))</f>
        <v/>
      </c>
      <c r="H500" t="str">
        <f t="shared" si="7"/>
        <v/>
      </c>
    </row>
    <row r="501" spans="4:8">
      <c r="D501" s="3" t="str">
        <f>IF(_xlfn.XLOOKUP(Purchases[[#This Row],[Product Name]],Inventory[Product Name],Inventory[Product ID])="","",_xlfn.XLOOKUP(Purchases[[#This Row],[Product Name]],Inventory[Product Name],Inventory[Product ID]))</f>
        <v/>
      </c>
      <c r="H501" t="str">
        <f t="shared" si="7"/>
        <v/>
      </c>
    </row>
    <row r="502" spans="4:8">
      <c r="D502" s="3" t="str">
        <f>IF(_xlfn.XLOOKUP(Purchases[[#This Row],[Product Name]],Inventory[Product Name],Inventory[Product ID])="","",_xlfn.XLOOKUP(Purchases[[#This Row],[Product Name]],Inventory[Product Name],Inventory[Product ID]))</f>
        <v/>
      </c>
      <c r="H502" t="str">
        <f t="shared" si="7"/>
        <v/>
      </c>
    </row>
    <row r="503" spans="4:8">
      <c r="D503" s="3" t="str">
        <f>IF(_xlfn.XLOOKUP(Purchases[[#This Row],[Product Name]],Inventory[Product Name],Inventory[Product ID])="","",_xlfn.XLOOKUP(Purchases[[#This Row],[Product Name]],Inventory[Product Name],Inventory[Product ID]))</f>
        <v/>
      </c>
      <c r="H503" t="str">
        <f t="shared" si="7"/>
        <v/>
      </c>
    </row>
    <row r="504" spans="4:8">
      <c r="D504" s="3" t="str">
        <f>IF(_xlfn.XLOOKUP(Purchases[[#This Row],[Product Name]],Inventory[Product Name],Inventory[Product ID])="","",_xlfn.XLOOKUP(Purchases[[#This Row],[Product Name]],Inventory[Product Name],Inventory[Product ID]))</f>
        <v/>
      </c>
      <c r="H504" t="str">
        <f t="shared" si="7"/>
        <v/>
      </c>
    </row>
    <row r="505" spans="4:8">
      <c r="D505" s="3" t="str">
        <f>IF(_xlfn.XLOOKUP(Purchases[[#This Row],[Product Name]],Inventory[Product Name],Inventory[Product ID])="","",_xlfn.XLOOKUP(Purchases[[#This Row],[Product Name]],Inventory[Product Name],Inventory[Product ID]))</f>
        <v/>
      </c>
      <c r="H505" t="str">
        <f t="shared" si="7"/>
        <v/>
      </c>
    </row>
    <row r="506" spans="4:8">
      <c r="D506" s="3" t="str">
        <f>IF(_xlfn.XLOOKUP(Purchases[[#This Row],[Product Name]],Inventory[Product Name],Inventory[Product ID])="","",_xlfn.XLOOKUP(Purchases[[#This Row],[Product Name]],Inventory[Product Name],Inventory[Product ID]))</f>
        <v/>
      </c>
      <c r="H506" t="str">
        <f t="shared" si="7"/>
        <v/>
      </c>
    </row>
    <row r="507" spans="4:8">
      <c r="D507" s="3" t="str">
        <f>IF(_xlfn.XLOOKUP(Purchases[[#This Row],[Product Name]],Inventory[Product Name],Inventory[Product ID])="","",_xlfn.XLOOKUP(Purchases[[#This Row],[Product Name]],Inventory[Product Name],Inventory[Product ID]))</f>
        <v/>
      </c>
      <c r="H507" t="str">
        <f t="shared" si="7"/>
        <v/>
      </c>
    </row>
    <row r="508" spans="4:8">
      <c r="D508" s="3" t="str">
        <f>IF(_xlfn.XLOOKUP(Purchases[[#This Row],[Product Name]],Inventory[Product Name],Inventory[Product ID])="","",_xlfn.XLOOKUP(Purchases[[#This Row],[Product Name]],Inventory[Product Name],Inventory[Product ID]))</f>
        <v/>
      </c>
      <c r="H508" t="str">
        <f t="shared" si="7"/>
        <v/>
      </c>
    </row>
    <row r="509" spans="4:8">
      <c r="D509" s="3" t="str">
        <f>IF(_xlfn.XLOOKUP(Purchases[[#This Row],[Product Name]],Inventory[Product Name],Inventory[Product ID])="","",_xlfn.XLOOKUP(Purchases[[#This Row],[Product Name]],Inventory[Product Name],Inventory[Product ID]))</f>
        <v/>
      </c>
      <c r="H509" t="str">
        <f t="shared" si="7"/>
        <v/>
      </c>
    </row>
    <row r="510" spans="4:8">
      <c r="D510" s="3" t="str">
        <f>IF(_xlfn.XLOOKUP(Purchases[[#This Row],[Product Name]],Inventory[Product Name],Inventory[Product ID])="","",_xlfn.XLOOKUP(Purchases[[#This Row],[Product Name]],Inventory[Product Name],Inventory[Product ID]))</f>
        <v/>
      </c>
      <c r="H510" t="str">
        <f t="shared" si="7"/>
        <v/>
      </c>
    </row>
    <row r="511" spans="4:8">
      <c r="D511" s="3" t="str">
        <f>IF(_xlfn.XLOOKUP(Purchases[[#This Row],[Product Name]],Inventory[Product Name],Inventory[Product ID])="","",_xlfn.XLOOKUP(Purchases[[#This Row],[Product Name]],Inventory[Product Name],Inventory[Product ID]))</f>
        <v/>
      </c>
      <c r="H511" t="str">
        <f t="shared" si="7"/>
        <v/>
      </c>
    </row>
    <row r="512" spans="4:8">
      <c r="D512" s="3" t="str">
        <f>IF(_xlfn.XLOOKUP(Purchases[[#This Row],[Product Name]],Inventory[Product Name],Inventory[Product ID])="","",_xlfn.XLOOKUP(Purchases[[#This Row],[Product Name]],Inventory[Product Name],Inventory[Product ID]))</f>
        <v/>
      </c>
      <c r="H512" t="str">
        <f t="shared" si="7"/>
        <v/>
      </c>
    </row>
    <row r="513" spans="4:8">
      <c r="D513" s="3" t="str">
        <f>IF(_xlfn.XLOOKUP(Purchases[[#This Row],[Product Name]],Inventory[Product Name],Inventory[Product ID])="","",_xlfn.XLOOKUP(Purchases[[#This Row],[Product Name]],Inventory[Product Name],Inventory[Product ID]))</f>
        <v/>
      </c>
      <c r="H513" t="str">
        <f t="shared" si="7"/>
        <v/>
      </c>
    </row>
    <row r="514" spans="4:8">
      <c r="D514" s="3" t="str">
        <f>IF(_xlfn.XLOOKUP(Purchases[[#This Row],[Product Name]],Inventory[Product Name],Inventory[Product ID])="","",_xlfn.XLOOKUP(Purchases[[#This Row],[Product Name]],Inventory[Product Name],Inventory[Product ID]))</f>
        <v/>
      </c>
      <c r="H514" t="str">
        <f t="shared" ref="H514:H577" si="8">IF((F514*G514)&lt;&gt;0,F514*G514,"")</f>
        <v/>
      </c>
    </row>
    <row r="515" spans="4:8">
      <c r="D515" s="3" t="str">
        <f>IF(_xlfn.XLOOKUP(Purchases[[#This Row],[Product Name]],Inventory[Product Name],Inventory[Product ID])="","",_xlfn.XLOOKUP(Purchases[[#This Row],[Product Name]],Inventory[Product Name],Inventory[Product ID]))</f>
        <v/>
      </c>
      <c r="H515" t="str">
        <f t="shared" si="8"/>
        <v/>
      </c>
    </row>
    <row r="516" spans="4:8">
      <c r="D516" s="3" t="str">
        <f>IF(_xlfn.XLOOKUP(Purchases[[#This Row],[Product Name]],Inventory[Product Name],Inventory[Product ID])="","",_xlfn.XLOOKUP(Purchases[[#This Row],[Product Name]],Inventory[Product Name],Inventory[Product ID]))</f>
        <v/>
      </c>
      <c r="H516" t="str">
        <f t="shared" si="8"/>
        <v/>
      </c>
    </row>
    <row r="517" spans="4:8">
      <c r="D517" s="3" t="str">
        <f>IF(_xlfn.XLOOKUP(Purchases[[#This Row],[Product Name]],Inventory[Product Name],Inventory[Product ID])="","",_xlfn.XLOOKUP(Purchases[[#This Row],[Product Name]],Inventory[Product Name],Inventory[Product ID]))</f>
        <v/>
      </c>
      <c r="H517" t="str">
        <f t="shared" si="8"/>
        <v/>
      </c>
    </row>
    <row r="518" spans="4:8">
      <c r="D518" s="3" t="str">
        <f>IF(_xlfn.XLOOKUP(Purchases[[#This Row],[Product Name]],Inventory[Product Name],Inventory[Product ID])="","",_xlfn.XLOOKUP(Purchases[[#This Row],[Product Name]],Inventory[Product Name],Inventory[Product ID]))</f>
        <v/>
      </c>
      <c r="H518" t="str">
        <f t="shared" si="8"/>
        <v/>
      </c>
    </row>
    <row r="519" spans="4:8">
      <c r="D519" s="3" t="str">
        <f>IF(_xlfn.XLOOKUP(Purchases[[#This Row],[Product Name]],Inventory[Product Name],Inventory[Product ID])="","",_xlfn.XLOOKUP(Purchases[[#This Row],[Product Name]],Inventory[Product Name],Inventory[Product ID]))</f>
        <v/>
      </c>
      <c r="H519" t="str">
        <f t="shared" si="8"/>
        <v/>
      </c>
    </row>
    <row r="520" spans="4:8">
      <c r="D520" s="3" t="str">
        <f>IF(_xlfn.XLOOKUP(Purchases[[#This Row],[Product Name]],Inventory[Product Name],Inventory[Product ID])="","",_xlfn.XLOOKUP(Purchases[[#This Row],[Product Name]],Inventory[Product Name],Inventory[Product ID]))</f>
        <v/>
      </c>
      <c r="H520" t="str">
        <f t="shared" si="8"/>
        <v/>
      </c>
    </row>
    <row r="521" spans="4:8">
      <c r="D521" s="3" t="str">
        <f>IF(_xlfn.XLOOKUP(Purchases[[#This Row],[Product Name]],Inventory[Product Name],Inventory[Product ID])="","",_xlfn.XLOOKUP(Purchases[[#This Row],[Product Name]],Inventory[Product Name],Inventory[Product ID]))</f>
        <v/>
      </c>
      <c r="H521" t="str">
        <f t="shared" si="8"/>
        <v/>
      </c>
    </row>
    <row r="522" spans="4:8">
      <c r="D522" s="3" t="str">
        <f>IF(_xlfn.XLOOKUP(Purchases[[#This Row],[Product Name]],Inventory[Product Name],Inventory[Product ID])="","",_xlfn.XLOOKUP(Purchases[[#This Row],[Product Name]],Inventory[Product Name],Inventory[Product ID]))</f>
        <v/>
      </c>
      <c r="H522" t="str">
        <f t="shared" si="8"/>
        <v/>
      </c>
    </row>
    <row r="523" spans="4:8">
      <c r="D523" s="3" t="str">
        <f>IF(_xlfn.XLOOKUP(Purchases[[#This Row],[Product Name]],Inventory[Product Name],Inventory[Product ID])="","",_xlfn.XLOOKUP(Purchases[[#This Row],[Product Name]],Inventory[Product Name],Inventory[Product ID]))</f>
        <v/>
      </c>
      <c r="H523" t="str">
        <f t="shared" si="8"/>
        <v/>
      </c>
    </row>
    <row r="524" spans="4:8">
      <c r="D524" s="3" t="str">
        <f>IF(_xlfn.XLOOKUP(Purchases[[#This Row],[Product Name]],Inventory[Product Name],Inventory[Product ID])="","",_xlfn.XLOOKUP(Purchases[[#This Row],[Product Name]],Inventory[Product Name],Inventory[Product ID]))</f>
        <v/>
      </c>
      <c r="H524" t="str">
        <f t="shared" si="8"/>
        <v/>
      </c>
    </row>
    <row r="525" spans="4:8">
      <c r="D525" s="3" t="str">
        <f>IF(_xlfn.XLOOKUP(Purchases[[#This Row],[Product Name]],Inventory[Product Name],Inventory[Product ID])="","",_xlfn.XLOOKUP(Purchases[[#This Row],[Product Name]],Inventory[Product Name],Inventory[Product ID]))</f>
        <v/>
      </c>
      <c r="H525" t="str">
        <f t="shared" si="8"/>
        <v/>
      </c>
    </row>
    <row r="526" spans="4:8">
      <c r="D526" s="3" t="str">
        <f>IF(_xlfn.XLOOKUP(Purchases[[#This Row],[Product Name]],Inventory[Product Name],Inventory[Product ID])="","",_xlfn.XLOOKUP(Purchases[[#This Row],[Product Name]],Inventory[Product Name],Inventory[Product ID]))</f>
        <v/>
      </c>
      <c r="H526" t="str">
        <f t="shared" si="8"/>
        <v/>
      </c>
    </row>
    <row r="527" spans="4:8">
      <c r="D527" s="3" t="str">
        <f>IF(_xlfn.XLOOKUP(Purchases[[#This Row],[Product Name]],Inventory[Product Name],Inventory[Product ID])="","",_xlfn.XLOOKUP(Purchases[[#This Row],[Product Name]],Inventory[Product Name],Inventory[Product ID]))</f>
        <v/>
      </c>
      <c r="H527" t="str">
        <f t="shared" si="8"/>
        <v/>
      </c>
    </row>
    <row r="528" spans="4:8">
      <c r="D528" s="3" t="str">
        <f>IF(_xlfn.XLOOKUP(Purchases[[#This Row],[Product Name]],Inventory[Product Name],Inventory[Product ID])="","",_xlfn.XLOOKUP(Purchases[[#This Row],[Product Name]],Inventory[Product Name],Inventory[Product ID]))</f>
        <v/>
      </c>
      <c r="H528" t="str">
        <f t="shared" si="8"/>
        <v/>
      </c>
    </row>
    <row r="529" spans="4:8">
      <c r="D529" s="3" t="str">
        <f>IF(_xlfn.XLOOKUP(Purchases[[#This Row],[Product Name]],Inventory[Product Name],Inventory[Product ID])="","",_xlfn.XLOOKUP(Purchases[[#This Row],[Product Name]],Inventory[Product Name],Inventory[Product ID]))</f>
        <v/>
      </c>
      <c r="H529" t="str">
        <f t="shared" si="8"/>
        <v/>
      </c>
    </row>
    <row r="530" spans="4:8">
      <c r="D530" s="3" t="str">
        <f>IF(_xlfn.XLOOKUP(Purchases[[#This Row],[Product Name]],Inventory[Product Name],Inventory[Product ID])="","",_xlfn.XLOOKUP(Purchases[[#This Row],[Product Name]],Inventory[Product Name],Inventory[Product ID]))</f>
        <v/>
      </c>
      <c r="H530" t="str">
        <f t="shared" si="8"/>
        <v/>
      </c>
    </row>
    <row r="531" spans="4:8">
      <c r="D531" s="3" t="str">
        <f>IF(_xlfn.XLOOKUP(Purchases[[#This Row],[Product Name]],Inventory[Product Name],Inventory[Product ID])="","",_xlfn.XLOOKUP(Purchases[[#This Row],[Product Name]],Inventory[Product Name],Inventory[Product ID]))</f>
        <v/>
      </c>
      <c r="H531" t="str">
        <f t="shared" si="8"/>
        <v/>
      </c>
    </row>
    <row r="532" spans="4:8">
      <c r="D532" s="3" t="str">
        <f>IF(_xlfn.XLOOKUP(Purchases[[#This Row],[Product Name]],Inventory[Product Name],Inventory[Product ID])="","",_xlfn.XLOOKUP(Purchases[[#This Row],[Product Name]],Inventory[Product Name],Inventory[Product ID]))</f>
        <v/>
      </c>
      <c r="H532" t="str">
        <f t="shared" si="8"/>
        <v/>
      </c>
    </row>
    <row r="533" spans="4:8">
      <c r="D533" s="3" t="str">
        <f>IF(_xlfn.XLOOKUP(Purchases[[#This Row],[Product Name]],Inventory[Product Name],Inventory[Product ID])="","",_xlfn.XLOOKUP(Purchases[[#This Row],[Product Name]],Inventory[Product Name],Inventory[Product ID]))</f>
        <v/>
      </c>
      <c r="H533" t="str">
        <f t="shared" si="8"/>
        <v/>
      </c>
    </row>
    <row r="534" spans="4:8">
      <c r="D534" s="3" t="str">
        <f>IF(_xlfn.XLOOKUP(Purchases[[#This Row],[Product Name]],Inventory[Product Name],Inventory[Product ID])="","",_xlfn.XLOOKUP(Purchases[[#This Row],[Product Name]],Inventory[Product Name],Inventory[Product ID]))</f>
        <v/>
      </c>
      <c r="H534" t="str">
        <f t="shared" si="8"/>
        <v/>
      </c>
    </row>
    <row r="535" spans="4:8">
      <c r="D535" s="3" t="str">
        <f>IF(_xlfn.XLOOKUP(Purchases[[#This Row],[Product Name]],Inventory[Product Name],Inventory[Product ID])="","",_xlfn.XLOOKUP(Purchases[[#This Row],[Product Name]],Inventory[Product Name],Inventory[Product ID]))</f>
        <v/>
      </c>
      <c r="H535" t="str">
        <f t="shared" si="8"/>
        <v/>
      </c>
    </row>
    <row r="536" spans="4:8">
      <c r="D536" s="3" t="str">
        <f>IF(_xlfn.XLOOKUP(Purchases[[#This Row],[Product Name]],Inventory[Product Name],Inventory[Product ID])="","",_xlfn.XLOOKUP(Purchases[[#This Row],[Product Name]],Inventory[Product Name],Inventory[Product ID]))</f>
        <v/>
      </c>
      <c r="H536" t="str">
        <f t="shared" si="8"/>
        <v/>
      </c>
    </row>
    <row r="537" spans="4:8">
      <c r="D537" s="3" t="str">
        <f>IF(_xlfn.XLOOKUP(Purchases[[#This Row],[Product Name]],Inventory[Product Name],Inventory[Product ID])="","",_xlfn.XLOOKUP(Purchases[[#This Row],[Product Name]],Inventory[Product Name],Inventory[Product ID]))</f>
        <v/>
      </c>
      <c r="H537" t="str">
        <f t="shared" si="8"/>
        <v/>
      </c>
    </row>
    <row r="538" spans="4:8">
      <c r="D538" s="3" t="str">
        <f>IF(_xlfn.XLOOKUP(Purchases[[#This Row],[Product Name]],Inventory[Product Name],Inventory[Product ID])="","",_xlfn.XLOOKUP(Purchases[[#This Row],[Product Name]],Inventory[Product Name],Inventory[Product ID]))</f>
        <v/>
      </c>
      <c r="H538" t="str">
        <f t="shared" si="8"/>
        <v/>
      </c>
    </row>
    <row r="539" spans="4:8">
      <c r="D539" s="3" t="str">
        <f>IF(_xlfn.XLOOKUP(Purchases[[#This Row],[Product Name]],Inventory[Product Name],Inventory[Product ID])="","",_xlfn.XLOOKUP(Purchases[[#This Row],[Product Name]],Inventory[Product Name],Inventory[Product ID]))</f>
        <v/>
      </c>
      <c r="H539" t="str">
        <f t="shared" si="8"/>
        <v/>
      </c>
    </row>
    <row r="540" spans="4:8">
      <c r="D540" s="3" t="str">
        <f>IF(_xlfn.XLOOKUP(Purchases[[#This Row],[Product Name]],Inventory[Product Name],Inventory[Product ID])="","",_xlfn.XLOOKUP(Purchases[[#This Row],[Product Name]],Inventory[Product Name],Inventory[Product ID]))</f>
        <v/>
      </c>
      <c r="H540" t="str">
        <f t="shared" si="8"/>
        <v/>
      </c>
    </row>
    <row r="541" spans="4:8">
      <c r="D541" s="3" t="str">
        <f>IF(_xlfn.XLOOKUP(Purchases[[#This Row],[Product Name]],Inventory[Product Name],Inventory[Product ID])="","",_xlfn.XLOOKUP(Purchases[[#This Row],[Product Name]],Inventory[Product Name],Inventory[Product ID]))</f>
        <v/>
      </c>
      <c r="H541" t="str">
        <f t="shared" si="8"/>
        <v/>
      </c>
    </row>
    <row r="542" spans="4:8">
      <c r="D542" s="3" t="str">
        <f>IF(_xlfn.XLOOKUP(Purchases[[#This Row],[Product Name]],Inventory[Product Name],Inventory[Product ID])="","",_xlfn.XLOOKUP(Purchases[[#This Row],[Product Name]],Inventory[Product Name],Inventory[Product ID]))</f>
        <v/>
      </c>
      <c r="H542" t="str">
        <f t="shared" si="8"/>
        <v/>
      </c>
    </row>
    <row r="543" spans="4:8">
      <c r="D543" s="3" t="str">
        <f>IF(_xlfn.XLOOKUP(Purchases[[#This Row],[Product Name]],Inventory[Product Name],Inventory[Product ID])="","",_xlfn.XLOOKUP(Purchases[[#This Row],[Product Name]],Inventory[Product Name],Inventory[Product ID]))</f>
        <v/>
      </c>
      <c r="H543" t="str">
        <f t="shared" si="8"/>
        <v/>
      </c>
    </row>
    <row r="544" spans="4:8">
      <c r="D544" s="3" t="str">
        <f>IF(_xlfn.XLOOKUP(Purchases[[#This Row],[Product Name]],Inventory[Product Name],Inventory[Product ID])="","",_xlfn.XLOOKUP(Purchases[[#This Row],[Product Name]],Inventory[Product Name],Inventory[Product ID]))</f>
        <v/>
      </c>
      <c r="H544" t="str">
        <f t="shared" si="8"/>
        <v/>
      </c>
    </row>
    <row r="545" spans="4:8">
      <c r="D545" s="3" t="str">
        <f>IF(_xlfn.XLOOKUP(Purchases[[#This Row],[Product Name]],Inventory[Product Name],Inventory[Product ID])="","",_xlfn.XLOOKUP(Purchases[[#This Row],[Product Name]],Inventory[Product Name],Inventory[Product ID]))</f>
        <v/>
      </c>
      <c r="H545" t="str">
        <f t="shared" si="8"/>
        <v/>
      </c>
    </row>
    <row r="546" spans="4:8">
      <c r="D546" s="3" t="str">
        <f>IF(_xlfn.XLOOKUP(Purchases[[#This Row],[Product Name]],Inventory[Product Name],Inventory[Product ID])="","",_xlfn.XLOOKUP(Purchases[[#This Row],[Product Name]],Inventory[Product Name],Inventory[Product ID]))</f>
        <v/>
      </c>
      <c r="H546" t="str">
        <f t="shared" si="8"/>
        <v/>
      </c>
    </row>
    <row r="547" spans="4:8">
      <c r="D547" s="3" t="str">
        <f>IF(_xlfn.XLOOKUP(Purchases[[#This Row],[Product Name]],Inventory[Product Name],Inventory[Product ID])="","",_xlfn.XLOOKUP(Purchases[[#This Row],[Product Name]],Inventory[Product Name],Inventory[Product ID]))</f>
        <v/>
      </c>
      <c r="H547" t="str">
        <f t="shared" si="8"/>
        <v/>
      </c>
    </row>
    <row r="548" spans="4:8">
      <c r="D548" s="3" t="str">
        <f>IF(_xlfn.XLOOKUP(Purchases[[#This Row],[Product Name]],Inventory[Product Name],Inventory[Product ID])="","",_xlfn.XLOOKUP(Purchases[[#This Row],[Product Name]],Inventory[Product Name],Inventory[Product ID]))</f>
        <v/>
      </c>
      <c r="H548" t="str">
        <f t="shared" si="8"/>
        <v/>
      </c>
    </row>
    <row r="549" spans="4:8">
      <c r="D549" s="3" t="str">
        <f>IF(_xlfn.XLOOKUP(Purchases[[#This Row],[Product Name]],Inventory[Product Name],Inventory[Product ID])="","",_xlfn.XLOOKUP(Purchases[[#This Row],[Product Name]],Inventory[Product Name],Inventory[Product ID]))</f>
        <v/>
      </c>
      <c r="H549" t="str">
        <f t="shared" si="8"/>
        <v/>
      </c>
    </row>
    <row r="550" spans="4:8">
      <c r="D550" s="3" t="str">
        <f>IF(_xlfn.XLOOKUP(Purchases[[#This Row],[Product Name]],Inventory[Product Name],Inventory[Product ID])="","",_xlfn.XLOOKUP(Purchases[[#This Row],[Product Name]],Inventory[Product Name],Inventory[Product ID]))</f>
        <v/>
      </c>
      <c r="H550" t="str">
        <f t="shared" si="8"/>
        <v/>
      </c>
    </row>
    <row r="551" spans="4:8">
      <c r="D551" s="3" t="str">
        <f>IF(_xlfn.XLOOKUP(Purchases[[#This Row],[Product Name]],Inventory[Product Name],Inventory[Product ID])="","",_xlfn.XLOOKUP(Purchases[[#This Row],[Product Name]],Inventory[Product Name],Inventory[Product ID]))</f>
        <v/>
      </c>
      <c r="H551" t="str">
        <f t="shared" si="8"/>
        <v/>
      </c>
    </row>
    <row r="552" spans="4:8">
      <c r="D552" s="3" t="str">
        <f>IF(_xlfn.XLOOKUP(Purchases[[#This Row],[Product Name]],Inventory[Product Name],Inventory[Product ID])="","",_xlfn.XLOOKUP(Purchases[[#This Row],[Product Name]],Inventory[Product Name],Inventory[Product ID]))</f>
        <v/>
      </c>
      <c r="H552" t="str">
        <f t="shared" si="8"/>
        <v/>
      </c>
    </row>
    <row r="553" spans="4:8">
      <c r="D553" s="3" t="str">
        <f>IF(_xlfn.XLOOKUP(Purchases[[#This Row],[Product Name]],Inventory[Product Name],Inventory[Product ID])="","",_xlfn.XLOOKUP(Purchases[[#This Row],[Product Name]],Inventory[Product Name],Inventory[Product ID]))</f>
        <v/>
      </c>
      <c r="H553" t="str">
        <f t="shared" si="8"/>
        <v/>
      </c>
    </row>
    <row r="554" spans="4:8">
      <c r="D554" s="3" t="str">
        <f>IF(_xlfn.XLOOKUP(Purchases[[#This Row],[Product Name]],Inventory[Product Name],Inventory[Product ID])="","",_xlfn.XLOOKUP(Purchases[[#This Row],[Product Name]],Inventory[Product Name],Inventory[Product ID]))</f>
        <v/>
      </c>
      <c r="H554" t="str">
        <f t="shared" si="8"/>
        <v/>
      </c>
    </row>
    <row r="555" spans="4:8">
      <c r="D555" s="3" t="str">
        <f>IF(_xlfn.XLOOKUP(Purchases[[#This Row],[Product Name]],Inventory[Product Name],Inventory[Product ID])="","",_xlfn.XLOOKUP(Purchases[[#This Row],[Product Name]],Inventory[Product Name],Inventory[Product ID]))</f>
        <v/>
      </c>
      <c r="H555" t="str">
        <f t="shared" si="8"/>
        <v/>
      </c>
    </row>
    <row r="556" spans="4:8">
      <c r="D556" s="3" t="str">
        <f>IF(_xlfn.XLOOKUP(Purchases[[#This Row],[Product Name]],Inventory[Product Name],Inventory[Product ID])="","",_xlfn.XLOOKUP(Purchases[[#This Row],[Product Name]],Inventory[Product Name],Inventory[Product ID]))</f>
        <v/>
      </c>
      <c r="H556" t="str">
        <f t="shared" si="8"/>
        <v/>
      </c>
    </row>
    <row r="557" spans="4:8">
      <c r="D557" s="3" t="str">
        <f>IF(_xlfn.XLOOKUP(Purchases[[#This Row],[Product Name]],Inventory[Product Name],Inventory[Product ID])="","",_xlfn.XLOOKUP(Purchases[[#This Row],[Product Name]],Inventory[Product Name],Inventory[Product ID]))</f>
        <v/>
      </c>
      <c r="H557" t="str">
        <f t="shared" si="8"/>
        <v/>
      </c>
    </row>
    <row r="558" spans="4:8">
      <c r="D558" s="3" t="str">
        <f>IF(_xlfn.XLOOKUP(Purchases[[#This Row],[Product Name]],Inventory[Product Name],Inventory[Product ID])="","",_xlfn.XLOOKUP(Purchases[[#This Row],[Product Name]],Inventory[Product Name],Inventory[Product ID]))</f>
        <v/>
      </c>
      <c r="H558" t="str">
        <f t="shared" si="8"/>
        <v/>
      </c>
    </row>
    <row r="559" spans="4:8">
      <c r="D559" s="3" t="str">
        <f>IF(_xlfn.XLOOKUP(Purchases[[#This Row],[Product Name]],Inventory[Product Name],Inventory[Product ID])="","",_xlfn.XLOOKUP(Purchases[[#This Row],[Product Name]],Inventory[Product Name],Inventory[Product ID]))</f>
        <v/>
      </c>
      <c r="H559" t="str">
        <f t="shared" si="8"/>
        <v/>
      </c>
    </row>
    <row r="560" spans="4:8">
      <c r="D560" s="3" t="str">
        <f>IF(_xlfn.XLOOKUP(Purchases[[#This Row],[Product Name]],Inventory[Product Name],Inventory[Product ID])="","",_xlfn.XLOOKUP(Purchases[[#This Row],[Product Name]],Inventory[Product Name],Inventory[Product ID]))</f>
        <v/>
      </c>
      <c r="H560" t="str">
        <f t="shared" si="8"/>
        <v/>
      </c>
    </row>
    <row r="561" spans="4:8">
      <c r="D561" s="3" t="str">
        <f>IF(_xlfn.XLOOKUP(Purchases[[#This Row],[Product Name]],Inventory[Product Name],Inventory[Product ID])="","",_xlfn.XLOOKUP(Purchases[[#This Row],[Product Name]],Inventory[Product Name],Inventory[Product ID]))</f>
        <v/>
      </c>
      <c r="H561" t="str">
        <f t="shared" si="8"/>
        <v/>
      </c>
    </row>
    <row r="562" spans="4:8">
      <c r="D562" s="3" t="str">
        <f>IF(_xlfn.XLOOKUP(Purchases[[#This Row],[Product Name]],Inventory[Product Name],Inventory[Product ID])="","",_xlfn.XLOOKUP(Purchases[[#This Row],[Product Name]],Inventory[Product Name],Inventory[Product ID]))</f>
        <v/>
      </c>
      <c r="H562" t="str">
        <f t="shared" si="8"/>
        <v/>
      </c>
    </row>
    <row r="563" spans="4:8">
      <c r="D563" s="3" t="str">
        <f>IF(_xlfn.XLOOKUP(Purchases[[#This Row],[Product Name]],Inventory[Product Name],Inventory[Product ID])="","",_xlfn.XLOOKUP(Purchases[[#This Row],[Product Name]],Inventory[Product Name],Inventory[Product ID]))</f>
        <v/>
      </c>
      <c r="H563" t="str">
        <f t="shared" si="8"/>
        <v/>
      </c>
    </row>
    <row r="564" spans="4:8">
      <c r="D564" s="3" t="str">
        <f>IF(_xlfn.XLOOKUP(Purchases[[#This Row],[Product Name]],Inventory[Product Name],Inventory[Product ID])="","",_xlfn.XLOOKUP(Purchases[[#This Row],[Product Name]],Inventory[Product Name],Inventory[Product ID]))</f>
        <v/>
      </c>
      <c r="H564" t="str">
        <f t="shared" si="8"/>
        <v/>
      </c>
    </row>
    <row r="565" spans="4:8">
      <c r="D565" s="3" t="str">
        <f>IF(_xlfn.XLOOKUP(Purchases[[#This Row],[Product Name]],Inventory[Product Name],Inventory[Product ID])="","",_xlfn.XLOOKUP(Purchases[[#This Row],[Product Name]],Inventory[Product Name],Inventory[Product ID]))</f>
        <v/>
      </c>
      <c r="H565" t="str">
        <f t="shared" si="8"/>
        <v/>
      </c>
    </row>
    <row r="566" spans="4:8">
      <c r="D566" s="3" t="str">
        <f>IF(_xlfn.XLOOKUP(Purchases[[#This Row],[Product Name]],Inventory[Product Name],Inventory[Product ID])="","",_xlfn.XLOOKUP(Purchases[[#This Row],[Product Name]],Inventory[Product Name],Inventory[Product ID]))</f>
        <v/>
      </c>
      <c r="H566" t="str">
        <f t="shared" si="8"/>
        <v/>
      </c>
    </row>
    <row r="567" spans="4:8">
      <c r="D567" s="3" t="str">
        <f>IF(_xlfn.XLOOKUP(Purchases[[#This Row],[Product Name]],Inventory[Product Name],Inventory[Product ID])="","",_xlfn.XLOOKUP(Purchases[[#This Row],[Product Name]],Inventory[Product Name],Inventory[Product ID]))</f>
        <v/>
      </c>
      <c r="H567" t="str">
        <f t="shared" si="8"/>
        <v/>
      </c>
    </row>
    <row r="568" spans="4:8">
      <c r="D568" s="3" t="str">
        <f>IF(_xlfn.XLOOKUP(Purchases[[#This Row],[Product Name]],Inventory[Product Name],Inventory[Product ID])="","",_xlfn.XLOOKUP(Purchases[[#This Row],[Product Name]],Inventory[Product Name],Inventory[Product ID]))</f>
        <v/>
      </c>
      <c r="H568" t="str">
        <f t="shared" si="8"/>
        <v/>
      </c>
    </row>
    <row r="569" spans="4:8">
      <c r="D569" s="3" t="str">
        <f>IF(_xlfn.XLOOKUP(Purchases[[#This Row],[Product Name]],Inventory[Product Name],Inventory[Product ID])="","",_xlfn.XLOOKUP(Purchases[[#This Row],[Product Name]],Inventory[Product Name],Inventory[Product ID]))</f>
        <v/>
      </c>
      <c r="H569" t="str">
        <f t="shared" si="8"/>
        <v/>
      </c>
    </row>
    <row r="570" spans="4:8">
      <c r="D570" s="3" t="str">
        <f>IF(_xlfn.XLOOKUP(Purchases[[#This Row],[Product Name]],Inventory[Product Name],Inventory[Product ID])="","",_xlfn.XLOOKUP(Purchases[[#This Row],[Product Name]],Inventory[Product Name],Inventory[Product ID]))</f>
        <v/>
      </c>
      <c r="H570" t="str">
        <f t="shared" si="8"/>
        <v/>
      </c>
    </row>
    <row r="571" spans="4:8">
      <c r="D571" s="3" t="str">
        <f>IF(_xlfn.XLOOKUP(Purchases[[#This Row],[Product Name]],Inventory[Product Name],Inventory[Product ID])="","",_xlfn.XLOOKUP(Purchases[[#This Row],[Product Name]],Inventory[Product Name],Inventory[Product ID]))</f>
        <v/>
      </c>
      <c r="H571" t="str">
        <f t="shared" si="8"/>
        <v/>
      </c>
    </row>
    <row r="572" spans="4:8">
      <c r="D572" s="3" t="str">
        <f>IF(_xlfn.XLOOKUP(Purchases[[#This Row],[Product Name]],Inventory[Product Name],Inventory[Product ID])="","",_xlfn.XLOOKUP(Purchases[[#This Row],[Product Name]],Inventory[Product Name],Inventory[Product ID]))</f>
        <v/>
      </c>
      <c r="H572" t="str">
        <f t="shared" si="8"/>
        <v/>
      </c>
    </row>
    <row r="573" spans="4:8">
      <c r="D573" s="3" t="str">
        <f>IF(_xlfn.XLOOKUP(Purchases[[#This Row],[Product Name]],Inventory[Product Name],Inventory[Product ID])="","",_xlfn.XLOOKUP(Purchases[[#This Row],[Product Name]],Inventory[Product Name],Inventory[Product ID]))</f>
        <v/>
      </c>
      <c r="H573" t="str">
        <f t="shared" si="8"/>
        <v/>
      </c>
    </row>
    <row r="574" spans="4:8">
      <c r="D574" s="3" t="str">
        <f>IF(_xlfn.XLOOKUP(Purchases[[#This Row],[Product Name]],Inventory[Product Name],Inventory[Product ID])="","",_xlfn.XLOOKUP(Purchases[[#This Row],[Product Name]],Inventory[Product Name],Inventory[Product ID]))</f>
        <v/>
      </c>
      <c r="H574" t="str">
        <f t="shared" si="8"/>
        <v/>
      </c>
    </row>
    <row r="575" spans="4:8">
      <c r="D575" s="3" t="str">
        <f>IF(_xlfn.XLOOKUP(Purchases[[#This Row],[Product Name]],Inventory[Product Name],Inventory[Product ID])="","",_xlfn.XLOOKUP(Purchases[[#This Row],[Product Name]],Inventory[Product Name],Inventory[Product ID]))</f>
        <v/>
      </c>
      <c r="H575" t="str">
        <f t="shared" si="8"/>
        <v/>
      </c>
    </row>
    <row r="576" spans="4:8">
      <c r="D576" s="3" t="str">
        <f>IF(_xlfn.XLOOKUP(Purchases[[#This Row],[Product Name]],Inventory[Product Name],Inventory[Product ID])="","",_xlfn.XLOOKUP(Purchases[[#This Row],[Product Name]],Inventory[Product Name],Inventory[Product ID]))</f>
        <v/>
      </c>
      <c r="H576" t="str">
        <f t="shared" si="8"/>
        <v/>
      </c>
    </row>
    <row r="577" spans="4:8">
      <c r="D577" s="3" t="str">
        <f>IF(_xlfn.XLOOKUP(Purchases[[#This Row],[Product Name]],Inventory[Product Name],Inventory[Product ID])="","",_xlfn.XLOOKUP(Purchases[[#This Row],[Product Name]],Inventory[Product Name],Inventory[Product ID]))</f>
        <v/>
      </c>
      <c r="H577" t="str">
        <f t="shared" si="8"/>
        <v/>
      </c>
    </row>
    <row r="578" spans="4:8">
      <c r="D578" s="3" t="str">
        <f>IF(_xlfn.XLOOKUP(Purchases[[#This Row],[Product Name]],Inventory[Product Name],Inventory[Product ID])="","",_xlfn.XLOOKUP(Purchases[[#This Row],[Product Name]],Inventory[Product Name],Inventory[Product ID]))</f>
        <v/>
      </c>
      <c r="H578" t="str">
        <f t="shared" ref="H578:H641" si="9">IF((F578*G578)&lt;&gt;0,F578*G578,"")</f>
        <v/>
      </c>
    </row>
    <row r="579" spans="4:8">
      <c r="D579" s="3" t="str">
        <f>IF(_xlfn.XLOOKUP(Purchases[[#This Row],[Product Name]],Inventory[Product Name],Inventory[Product ID])="","",_xlfn.XLOOKUP(Purchases[[#This Row],[Product Name]],Inventory[Product Name],Inventory[Product ID]))</f>
        <v/>
      </c>
      <c r="H579" t="str">
        <f t="shared" si="9"/>
        <v/>
      </c>
    </row>
    <row r="580" spans="4:8">
      <c r="D580" s="3" t="str">
        <f>IF(_xlfn.XLOOKUP(Purchases[[#This Row],[Product Name]],Inventory[Product Name],Inventory[Product ID])="","",_xlfn.XLOOKUP(Purchases[[#This Row],[Product Name]],Inventory[Product Name],Inventory[Product ID]))</f>
        <v/>
      </c>
      <c r="H580" t="str">
        <f t="shared" si="9"/>
        <v/>
      </c>
    </row>
    <row r="581" spans="4:8">
      <c r="D581" s="3" t="str">
        <f>IF(_xlfn.XLOOKUP(Purchases[[#This Row],[Product Name]],Inventory[Product Name],Inventory[Product ID])="","",_xlfn.XLOOKUP(Purchases[[#This Row],[Product Name]],Inventory[Product Name],Inventory[Product ID]))</f>
        <v/>
      </c>
      <c r="H581" t="str">
        <f t="shared" si="9"/>
        <v/>
      </c>
    </row>
    <row r="582" spans="4:8">
      <c r="D582" s="3" t="str">
        <f>IF(_xlfn.XLOOKUP(Purchases[[#This Row],[Product Name]],Inventory[Product Name],Inventory[Product ID])="","",_xlfn.XLOOKUP(Purchases[[#This Row],[Product Name]],Inventory[Product Name],Inventory[Product ID]))</f>
        <v/>
      </c>
      <c r="H582" t="str">
        <f t="shared" si="9"/>
        <v/>
      </c>
    </row>
    <row r="583" spans="4:8">
      <c r="D583" s="3" t="str">
        <f>IF(_xlfn.XLOOKUP(Purchases[[#This Row],[Product Name]],Inventory[Product Name],Inventory[Product ID])="","",_xlfn.XLOOKUP(Purchases[[#This Row],[Product Name]],Inventory[Product Name],Inventory[Product ID]))</f>
        <v/>
      </c>
      <c r="H583" t="str">
        <f t="shared" si="9"/>
        <v/>
      </c>
    </row>
    <row r="584" spans="4:8">
      <c r="D584" s="3" t="str">
        <f>IF(_xlfn.XLOOKUP(Purchases[[#This Row],[Product Name]],Inventory[Product Name],Inventory[Product ID])="","",_xlfn.XLOOKUP(Purchases[[#This Row],[Product Name]],Inventory[Product Name],Inventory[Product ID]))</f>
        <v/>
      </c>
      <c r="H584" t="str">
        <f t="shared" si="9"/>
        <v/>
      </c>
    </row>
    <row r="585" spans="4:8">
      <c r="D585" s="3" t="str">
        <f>IF(_xlfn.XLOOKUP(Purchases[[#This Row],[Product Name]],Inventory[Product Name],Inventory[Product ID])="","",_xlfn.XLOOKUP(Purchases[[#This Row],[Product Name]],Inventory[Product Name],Inventory[Product ID]))</f>
        <v/>
      </c>
      <c r="H585" t="str">
        <f t="shared" si="9"/>
        <v/>
      </c>
    </row>
    <row r="586" spans="4:8">
      <c r="D586" s="3" t="str">
        <f>IF(_xlfn.XLOOKUP(Purchases[[#This Row],[Product Name]],Inventory[Product Name],Inventory[Product ID])="","",_xlfn.XLOOKUP(Purchases[[#This Row],[Product Name]],Inventory[Product Name],Inventory[Product ID]))</f>
        <v/>
      </c>
      <c r="H586" t="str">
        <f t="shared" si="9"/>
        <v/>
      </c>
    </row>
    <row r="587" spans="4:8">
      <c r="D587" s="3" t="str">
        <f>IF(_xlfn.XLOOKUP(Purchases[[#This Row],[Product Name]],Inventory[Product Name],Inventory[Product ID])="","",_xlfn.XLOOKUP(Purchases[[#This Row],[Product Name]],Inventory[Product Name],Inventory[Product ID]))</f>
        <v/>
      </c>
      <c r="H587" t="str">
        <f t="shared" si="9"/>
        <v/>
      </c>
    </row>
    <row r="588" spans="4:8">
      <c r="D588" s="3" t="str">
        <f>IF(_xlfn.XLOOKUP(Purchases[[#This Row],[Product Name]],Inventory[Product Name],Inventory[Product ID])="","",_xlfn.XLOOKUP(Purchases[[#This Row],[Product Name]],Inventory[Product Name],Inventory[Product ID]))</f>
        <v/>
      </c>
      <c r="H588" t="str">
        <f t="shared" si="9"/>
        <v/>
      </c>
    </row>
    <row r="589" spans="4:8">
      <c r="D589" s="3" t="str">
        <f>IF(_xlfn.XLOOKUP(Purchases[[#This Row],[Product Name]],Inventory[Product Name],Inventory[Product ID])="","",_xlfn.XLOOKUP(Purchases[[#This Row],[Product Name]],Inventory[Product Name],Inventory[Product ID]))</f>
        <v/>
      </c>
      <c r="H589" t="str">
        <f t="shared" si="9"/>
        <v/>
      </c>
    </row>
    <row r="590" spans="4:8">
      <c r="D590" s="3" t="str">
        <f>IF(_xlfn.XLOOKUP(Purchases[[#This Row],[Product Name]],Inventory[Product Name],Inventory[Product ID])="","",_xlfn.XLOOKUP(Purchases[[#This Row],[Product Name]],Inventory[Product Name],Inventory[Product ID]))</f>
        <v/>
      </c>
      <c r="H590" t="str">
        <f t="shared" si="9"/>
        <v/>
      </c>
    </row>
    <row r="591" spans="4:8">
      <c r="D591" s="3" t="str">
        <f>IF(_xlfn.XLOOKUP(Purchases[[#This Row],[Product Name]],Inventory[Product Name],Inventory[Product ID])="","",_xlfn.XLOOKUP(Purchases[[#This Row],[Product Name]],Inventory[Product Name],Inventory[Product ID]))</f>
        <v/>
      </c>
      <c r="H591" t="str">
        <f t="shared" si="9"/>
        <v/>
      </c>
    </row>
    <row r="592" spans="4:8">
      <c r="D592" s="3" t="str">
        <f>IF(_xlfn.XLOOKUP(Purchases[[#This Row],[Product Name]],Inventory[Product Name],Inventory[Product ID])="","",_xlfn.XLOOKUP(Purchases[[#This Row],[Product Name]],Inventory[Product Name],Inventory[Product ID]))</f>
        <v/>
      </c>
      <c r="H592" t="str">
        <f t="shared" si="9"/>
        <v/>
      </c>
    </row>
    <row r="593" spans="4:8">
      <c r="D593" s="3" t="str">
        <f>IF(_xlfn.XLOOKUP(Purchases[[#This Row],[Product Name]],Inventory[Product Name],Inventory[Product ID])="","",_xlfn.XLOOKUP(Purchases[[#This Row],[Product Name]],Inventory[Product Name],Inventory[Product ID]))</f>
        <v/>
      </c>
      <c r="H593" t="str">
        <f t="shared" si="9"/>
        <v/>
      </c>
    </row>
    <row r="594" spans="4:8">
      <c r="D594" s="3" t="str">
        <f>IF(_xlfn.XLOOKUP(Purchases[[#This Row],[Product Name]],Inventory[Product Name],Inventory[Product ID])="","",_xlfn.XLOOKUP(Purchases[[#This Row],[Product Name]],Inventory[Product Name],Inventory[Product ID]))</f>
        <v/>
      </c>
      <c r="H594" t="str">
        <f t="shared" si="9"/>
        <v/>
      </c>
    </row>
    <row r="595" spans="4:8">
      <c r="D595" s="3" t="str">
        <f>IF(_xlfn.XLOOKUP(Purchases[[#This Row],[Product Name]],Inventory[Product Name],Inventory[Product ID])="","",_xlfn.XLOOKUP(Purchases[[#This Row],[Product Name]],Inventory[Product Name],Inventory[Product ID]))</f>
        <v/>
      </c>
      <c r="H595" t="str">
        <f t="shared" si="9"/>
        <v/>
      </c>
    </row>
    <row r="596" spans="4:8">
      <c r="D596" s="3" t="str">
        <f>IF(_xlfn.XLOOKUP(Purchases[[#This Row],[Product Name]],Inventory[Product Name],Inventory[Product ID])="","",_xlfn.XLOOKUP(Purchases[[#This Row],[Product Name]],Inventory[Product Name],Inventory[Product ID]))</f>
        <v/>
      </c>
      <c r="H596" t="str">
        <f t="shared" si="9"/>
        <v/>
      </c>
    </row>
    <row r="597" spans="4:8">
      <c r="D597" s="3" t="str">
        <f>IF(_xlfn.XLOOKUP(Purchases[[#This Row],[Product Name]],Inventory[Product Name],Inventory[Product ID])="","",_xlfn.XLOOKUP(Purchases[[#This Row],[Product Name]],Inventory[Product Name],Inventory[Product ID]))</f>
        <v/>
      </c>
      <c r="H597" t="str">
        <f t="shared" si="9"/>
        <v/>
      </c>
    </row>
    <row r="598" spans="4:8">
      <c r="D598" s="3" t="str">
        <f>IF(_xlfn.XLOOKUP(Purchases[[#This Row],[Product Name]],Inventory[Product Name],Inventory[Product ID])="","",_xlfn.XLOOKUP(Purchases[[#This Row],[Product Name]],Inventory[Product Name],Inventory[Product ID]))</f>
        <v/>
      </c>
      <c r="H598" t="str">
        <f t="shared" si="9"/>
        <v/>
      </c>
    </row>
    <row r="599" spans="4:8">
      <c r="D599" s="3" t="str">
        <f>IF(_xlfn.XLOOKUP(Purchases[[#This Row],[Product Name]],Inventory[Product Name],Inventory[Product ID])="","",_xlfn.XLOOKUP(Purchases[[#This Row],[Product Name]],Inventory[Product Name],Inventory[Product ID]))</f>
        <v/>
      </c>
      <c r="H599" t="str">
        <f t="shared" si="9"/>
        <v/>
      </c>
    </row>
    <row r="600" spans="4:8">
      <c r="D600" s="3" t="str">
        <f>IF(_xlfn.XLOOKUP(Purchases[[#This Row],[Product Name]],Inventory[Product Name],Inventory[Product ID])="","",_xlfn.XLOOKUP(Purchases[[#This Row],[Product Name]],Inventory[Product Name],Inventory[Product ID]))</f>
        <v/>
      </c>
      <c r="H600" t="str">
        <f t="shared" si="9"/>
        <v/>
      </c>
    </row>
    <row r="601" spans="4:8">
      <c r="D601" s="3" t="str">
        <f>IF(_xlfn.XLOOKUP(Purchases[[#This Row],[Product Name]],Inventory[Product Name],Inventory[Product ID])="","",_xlfn.XLOOKUP(Purchases[[#This Row],[Product Name]],Inventory[Product Name],Inventory[Product ID]))</f>
        <v/>
      </c>
      <c r="H601" t="str">
        <f t="shared" si="9"/>
        <v/>
      </c>
    </row>
    <row r="602" spans="4:8">
      <c r="D602" s="3" t="str">
        <f>IF(_xlfn.XLOOKUP(Purchases[[#This Row],[Product Name]],Inventory[Product Name],Inventory[Product ID])="","",_xlfn.XLOOKUP(Purchases[[#This Row],[Product Name]],Inventory[Product Name],Inventory[Product ID]))</f>
        <v/>
      </c>
      <c r="H602" t="str">
        <f t="shared" si="9"/>
        <v/>
      </c>
    </row>
    <row r="603" spans="4:8">
      <c r="D603" s="3" t="str">
        <f>IF(_xlfn.XLOOKUP(Purchases[[#This Row],[Product Name]],Inventory[Product Name],Inventory[Product ID])="","",_xlfn.XLOOKUP(Purchases[[#This Row],[Product Name]],Inventory[Product Name],Inventory[Product ID]))</f>
        <v/>
      </c>
      <c r="H603" t="str">
        <f t="shared" si="9"/>
        <v/>
      </c>
    </row>
    <row r="604" spans="4:8">
      <c r="D604" s="3" t="str">
        <f>IF(_xlfn.XLOOKUP(Purchases[[#This Row],[Product Name]],Inventory[Product Name],Inventory[Product ID])="","",_xlfn.XLOOKUP(Purchases[[#This Row],[Product Name]],Inventory[Product Name],Inventory[Product ID]))</f>
        <v/>
      </c>
      <c r="H604" t="str">
        <f t="shared" si="9"/>
        <v/>
      </c>
    </row>
    <row r="605" spans="4:8">
      <c r="D605" s="3" t="str">
        <f>IF(_xlfn.XLOOKUP(Purchases[[#This Row],[Product Name]],Inventory[Product Name],Inventory[Product ID])="","",_xlfn.XLOOKUP(Purchases[[#This Row],[Product Name]],Inventory[Product Name],Inventory[Product ID]))</f>
        <v/>
      </c>
      <c r="H605" t="str">
        <f t="shared" si="9"/>
        <v/>
      </c>
    </row>
    <row r="606" spans="4:8">
      <c r="D606" s="3" t="str">
        <f>IF(_xlfn.XLOOKUP(Purchases[[#This Row],[Product Name]],Inventory[Product Name],Inventory[Product ID])="","",_xlfn.XLOOKUP(Purchases[[#This Row],[Product Name]],Inventory[Product Name],Inventory[Product ID]))</f>
        <v/>
      </c>
      <c r="H606" t="str">
        <f t="shared" si="9"/>
        <v/>
      </c>
    </row>
    <row r="607" spans="4:8">
      <c r="D607" s="3" t="str">
        <f>IF(_xlfn.XLOOKUP(Purchases[[#This Row],[Product Name]],Inventory[Product Name],Inventory[Product ID])="","",_xlfn.XLOOKUP(Purchases[[#This Row],[Product Name]],Inventory[Product Name],Inventory[Product ID]))</f>
        <v/>
      </c>
      <c r="H607" t="str">
        <f t="shared" si="9"/>
        <v/>
      </c>
    </row>
    <row r="608" spans="4:8">
      <c r="D608" s="3" t="str">
        <f>IF(_xlfn.XLOOKUP(Purchases[[#This Row],[Product Name]],Inventory[Product Name],Inventory[Product ID])="","",_xlfn.XLOOKUP(Purchases[[#This Row],[Product Name]],Inventory[Product Name],Inventory[Product ID]))</f>
        <v/>
      </c>
      <c r="H608" t="str">
        <f t="shared" si="9"/>
        <v/>
      </c>
    </row>
    <row r="609" spans="4:8">
      <c r="D609" s="3" t="str">
        <f>IF(_xlfn.XLOOKUP(Purchases[[#This Row],[Product Name]],Inventory[Product Name],Inventory[Product ID])="","",_xlfn.XLOOKUP(Purchases[[#This Row],[Product Name]],Inventory[Product Name],Inventory[Product ID]))</f>
        <v/>
      </c>
      <c r="H609" t="str">
        <f t="shared" si="9"/>
        <v/>
      </c>
    </row>
    <row r="610" spans="4:8">
      <c r="D610" s="3" t="str">
        <f>IF(_xlfn.XLOOKUP(Purchases[[#This Row],[Product Name]],Inventory[Product Name],Inventory[Product ID])="","",_xlfn.XLOOKUP(Purchases[[#This Row],[Product Name]],Inventory[Product Name],Inventory[Product ID]))</f>
        <v/>
      </c>
      <c r="H610" t="str">
        <f t="shared" si="9"/>
        <v/>
      </c>
    </row>
    <row r="611" spans="4:8">
      <c r="D611" s="3" t="str">
        <f>IF(_xlfn.XLOOKUP(Purchases[[#This Row],[Product Name]],Inventory[Product Name],Inventory[Product ID])="","",_xlfn.XLOOKUP(Purchases[[#This Row],[Product Name]],Inventory[Product Name],Inventory[Product ID]))</f>
        <v/>
      </c>
      <c r="H611" t="str">
        <f t="shared" si="9"/>
        <v/>
      </c>
    </row>
    <row r="612" spans="4:8">
      <c r="D612" s="3" t="str">
        <f>IF(_xlfn.XLOOKUP(Purchases[[#This Row],[Product Name]],Inventory[Product Name],Inventory[Product ID])="","",_xlfn.XLOOKUP(Purchases[[#This Row],[Product Name]],Inventory[Product Name],Inventory[Product ID]))</f>
        <v/>
      </c>
      <c r="H612" t="str">
        <f t="shared" si="9"/>
        <v/>
      </c>
    </row>
    <row r="613" spans="4:8">
      <c r="D613" s="3" t="str">
        <f>IF(_xlfn.XLOOKUP(Purchases[[#This Row],[Product Name]],Inventory[Product Name],Inventory[Product ID])="","",_xlfn.XLOOKUP(Purchases[[#This Row],[Product Name]],Inventory[Product Name],Inventory[Product ID]))</f>
        <v/>
      </c>
      <c r="H613" t="str">
        <f t="shared" si="9"/>
        <v/>
      </c>
    </row>
    <row r="614" spans="4:8">
      <c r="D614" s="3" t="str">
        <f>IF(_xlfn.XLOOKUP(Purchases[[#This Row],[Product Name]],Inventory[Product Name],Inventory[Product ID])="","",_xlfn.XLOOKUP(Purchases[[#This Row],[Product Name]],Inventory[Product Name],Inventory[Product ID]))</f>
        <v/>
      </c>
      <c r="H614" t="str">
        <f t="shared" si="9"/>
        <v/>
      </c>
    </row>
    <row r="615" spans="4:8">
      <c r="D615" s="3" t="str">
        <f>IF(_xlfn.XLOOKUP(Purchases[[#This Row],[Product Name]],Inventory[Product Name],Inventory[Product ID])="","",_xlfn.XLOOKUP(Purchases[[#This Row],[Product Name]],Inventory[Product Name],Inventory[Product ID]))</f>
        <v/>
      </c>
      <c r="H615" t="str">
        <f t="shared" si="9"/>
        <v/>
      </c>
    </row>
    <row r="616" spans="4:8">
      <c r="D616" s="3" t="str">
        <f>IF(_xlfn.XLOOKUP(Purchases[[#This Row],[Product Name]],Inventory[Product Name],Inventory[Product ID])="","",_xlfn.XLOOKUP(Purchases[[#This Row],[Product Name]],Inventory[Product Name],Inventory[Product ID]))</f>
        <v/>
      </c>
      <c r="H616" t="str">
        <f t="shared" si="9"/>
        <v/>
      </c>
    </row>
    <row r="617" spans="4:8">
      <c r="D617" s="3" t="str">
        <f>IF(_xlfn.XLOOKUP(Purchases[[#This Row],[Product Name]],Inventory[Product Name],Inventory[Product ID])="","",_xlfn.XLOOKUP(Purchases[[#This Row],[Product Name]],Inventory[Product Name],Inventory[Product ID]))</f>
        <v/>
      </c>
      <c r="H617" t="str">
        <f t="shared" si="9"/>
        <v/>
      </c>
    </row>
    <row r="618" spans="4:8">
      <c r="D618" s="3" t="str">
        <f>IF(_xlfn.XLOOKUP(Purchases[[#This Row],[Product Name]],Inventory[Product Name],Inventory[Product ID])="","",_xlfn.XLOOKUP(Purchases[[#This Row],[Product Name]],Inventory[Product Name],Inventory[Product ID]))</f>
        <v/>
      </c>
      <c r="H618" t="str">
        <f t="shared" si="9"/>
        <v/>
      </c>
    </row>
    <row r="619" spans="4:8">
      <c r="D619" s="3" t="str">
        <f>IF(_xlfn.XLOOKUP(Purchases[[#This Row],[Product Name]],Inventory[Product Name],Inventory[Product ID])="","",_xlfn.XLOOKUP(Purchases[[#This Row],[Product Name]],Inventory[Product Name],Inventory[Product ID]))</f>
        <v/>
      </c>
      <c r="H619" t="str">
        <f t="shared" si="9"/>
        <v/>
      </c>
    </row>
    <row r="620" spans="4:8">
      <c r="D620" s="3" t="str">
        <f>IF(_xlfn.XLOOKUP(Purchases[[#This Row],[Product Name]],Inventory[Product Name],Inventory[Product ID])="","",_xlfn.XLOOKUP(Purchases[[#This Row],[Product Name]],Inventory[Product Name],Inventory[Product ID]))</f>
        <v/>
      </c>
      <c r="H620" t="str">
        <f t="shared" si="9"/>
        <v/>
      </c>
    </row>
    <row r="621" spans="4:8">
      <c r="D621" s="3" t="str">
        <f>IF(_xlfn.XLOOKUP(Purchases[[#This Row],[Product Name]],Inventory[Product Name],Inventory[Product ID])="","",_xlfn.XLOOKUP(Purchases[[#This Row],[Product Name]],Inventory[Product Name],Inventory[Product ID]))</f>
        <v/>
      </c>
      <c r="H621" t="str">
        <f t="shared" si="9"/>
        <v/>
      </c>
    </row>
    <row r="622" spans="4:8">
      <c r="D622" s="3" t="str">
        <f>IF(_xlfn.XLOOKUP(Purchases[[#This Row],[Product Name]],Inventory[Product Name],Inventory[Product ID])="","",_xlfn.XLOOKUP(Purchases[[#This Row],[Product Name]],Inventory[Product Name],Inventory[Product ID]))</f>
        <v/>
      </c>
      <c r="H622" t="str">
        <f t="shared" si="9"/>
        <v/>
      </c>
    </row>
    <row r="623" spans="4:8">
      <c r="D623" s="3" t="str">
        <f>IF(_xlfn.XLOOKUP(Purchases[[#This Row],[Product Name]],Inventory[Product Name],Inventory[Product ID])="","",_xlfn.XLOOKUP(Purchases[[#This Row],[Product Name]],Inventory[Product Name],Inventory[Product ID]))</f>
        <v/>
      </c>
      <c r="H623" t="str">
        <f t="shared" si="9"/>
        <v/>
      </c>
    </row>
    <row r="624" spans="4:8">
      <c r="D624" s="3" t="str">
        <f>IF(_xlfn.XLOOKUP(Purchases[[#This Row],[Product Name]],Inventory[Product Name],Inventory[Product ID])="","",_xlfn.XLOOKUP(Purchases[[#This Row],[Product Name]],Inventory[Product Name],Inventory[Product ID]))</f>
        <v/>
      </c>
      <c r="H624" t="str">
        <f t="shared" si="9"/>
        <v/>
      </c>
    </row>
    <row r="625" spans="4:8">
      <c r="D625" s="3" t="str">
        <f>IF(_xlfn.XLOOKUP(Purchases[[#This Row],[Product Name]],Inventory[Product Name],Inventory[Product ID])="","",_xlfn.XLOOKUP(Purchases[[#This Row],[Product Name]],Inventory[Product Name],Inventory[Product ID]))</f>
        <v/>
      </c>
      <c r="H625" t="str">
        <f t="shared" si="9"/>
        <v/>
      </c>
    </row>
    <row r="626" spans="4:8">
      <c r="D626" s="3" t="str">
        <f>IF(_xlfn.XLOOKUP(Purchases[[#This Row],[Product Name]],Inventory[Product Name],Inventory[Product ID])="","",_xlfn.XLOOKUP(Purchases[[#This Row],[Product Name]],Inventory[Product Name],Inventory[Product ID]))</f>
        <v/>
      </c>
      <c r="H626" t="str">
        <f t="shared" si="9"/>
        <v/>
      </c>
    </row>
    <row r="627" spans="4:8">
      <c r="D627" s="3" t="str">
        <f>IF(_xlfn.XLOOKUP(Purchases[[#This Row],[Product Name]],Inventory[Product Name],Inventory[Product ID])="","",_xlfn.XLOOKUP(Purchases[[#This Row],[Product Name]],Inventory[Product Name],Inventory[Product ID]))</f>
        <v/>
      </c>
      <c r="H627" t="str">
        <f t="shared" si="9"/>
        <v/>
      </c>
    </row>
    <row r="628" spans="4:8">
      <c r="D628" s="3" t="str">
        <f>IF(_xlfn.XLOOKUP(Purchases[[#This Row],[Product Name]],Inventory[Product Name],Inventory[Product ID])="","",_xlfn.XLOOKUP(Purchases[[#This Row],[Product Name]],Inventory[Product Name],Inventory[Product ID]))</f>
        <v/>
      </c>
      <c r="H628" t="str">
        <f t="shared" si="9"/>
        <v/>
      </c>
    </row>
    <row r="629" spans="4:8">
      <c r="D629" s="3" t="str">
        <f>IF(_xlfn.XLOOKUP(Purchases[[#This Row],[Product Name]],Inventory[Product Name],Inventory[Product ID])="","",_xlfn.XLOOKUP(Purchases[[#This Row],[Product Name]],Inventory[Product Name],Inventory[Product ID]))</f>
        <v/>
      </c>
      <c r="H629" t="str">
        <f t="shared" si="9"/>
        <v/>
      </c>
    </row>
    <row r="630" spans="4:8">
      <c r="D630" s="3" t="str">
        <f>IF(_xlfn.XLOOKUP(Purchases[[#This Row],[Product Name]],Inventory[Product Name],Inventory[Product ID])="","",_xlfn.XLOOKUP(Purchases[[#This Row],[Product Name]],Inventory[Product Name],Inventory[Product ID]))</f>
        <v/>
      </c>
      <c r="H630" t="str">
        <f t="shared" si="9"/>
        <v/>
      </c>
    </row>
    <row r="631" spans="4:8">
      <c r="D631" s="3" t="str">
        <f>IF(_xlfn.XLOOKUP(Purchases[[#This Row],[Product Name]],Inventory[Product Name],Inventory[Product ID])="","",_xlfn.XLOOKUP(Purchases[[#This Row],[Product Name]],Inventory[Product Name],Inventory[Product ID]))</f>
        <v/>
      </c>
      <c r="H631" t="str">
        <f t="shared" si="9"/>
        <v/>
      </c>
    </row>
    <row r="632" spans="4:8">
      <c r="D632" s="3" t="str">
        <f>IF(_xlfn.XLOOKUP(Purchases[[#This Row],[Product Name]],Inventory[Product Name],Inventory[Product ID])="","",_xlfn.XLOOKUP(Purchases[[#This Row],[Product Name]],Inventory[Product Name],Inventory[Product ID]))</f>
        <v/>
      </c>
      <c r="H632" t="str">
        <f t="shared" si="9"/>
        <v/>
      </c>
    </row>
    <row r="633" spans="4:8">
      <c r="D633" s="3" t="str">
        <f>IF(_xlfn.XLOOKUP(Purchases[[#This Row],[Product Name]],Inventory[Product Name],Inventory[Product ID])="","",_xlfn.XLOOKUP(Purchases[[#This Row],[Product Name]],Inventory[Product Name],Inventory[Product ID]))</f>
        <v/>
      </c>
      <c r="H633" t="str">
        <f t="shared" si="9"/>
        <v/>
      </c>
    </row>
    <row r="634" spans="4:8">
      <c r="D634" s="3" t="str">
        <f>IF(_xlfn.XLOOKUP(Purchases[[#This Row],[Product Name]],Inventory[Product Name],Inventory[Product ID])="","",_xlfn.XLOOKUP(Purchases[[#This Row],[Product Name]],Inventory[Product Name],Inventory[Product ID]))</f>
        <v/>
      </c>
      <c r="H634" t="str">
        <f t="shared" si="9"/>
        <v/>
      </c>
    </row>
    <row r="635" spans="4:8">
      <c r="D635" s="3" t="str">
        <f>IF(_xlfn.XLOOKUP(Purchases[[#This Row],[Product Name]],Inventory[Product Name],Inventory[Product ID])="","",_xlfn.XLOOKUP(Purchases[[#This Row],[Product Name]],Inventory[Product Name],Inventory[Product ID]))</f>
        <v/>
      </c>
      <c r="H635" t="str">
        <f t="shared" si="9"/>
        <v/>
      </c>
    </row>
    <row r="636" spans="4:8">
      <c r="D636" s="3" t="str">
        <f>IF(_xlfn.XLOOKUP(Purchases[[#This Row],[Product Name]],Inventory[Product Name],Inventory[Product ID])="","",_xlfn.XLOOKUP(Purchases[[#This Row],[Product Name]],Inventory[Product Name],Inventory[Product ID]))</f>
        <v/>
      </c>
      <c r="H636" t="str">
        <f t="shared" si="9"/>
        <v/>
      </c>
    </row>
    <row r="637" spans="4:8">
      <c r="D637" s="3" t="str">
        <f>IF(_xlfn.XLOOKUP(Purchases[[#This Row],[Product Name]],Inventory[Product Name],Inventory[Product ID])="","",_xlfn.XLOOKUP(Purchases[[#This Row],[Product Name]],Inventory[Product Name],Inventory[Product ID]))</f>
        <v/>
      </c>
      <c r="H637" t="str">
        <f t="shared" si="9"/>
        <v/>
      </c>
    </row>
    <row r="638" spans="4:8">
      <c r="D638" s="3" t="str">
        <f>IF(_xlfn.XLOOKUP(Purchases[[#This Row],[Product Name]],Inventory[Product Name],Inventory[Product ID])="","",_xlfn.XLOOKUP(Purchases[[#This Row],[Product Name]],Inventory[Product Name],Inventory[Product ID]))</f>
        <v/>
      </c>
      <c r="H638" t="str">
        <f t="shared" si="9"/>
        <v/>
      </c>
    </row>
    <row r="639" spans="4:8">
      <c r="D639" s="3" t="str">
        <f>IF(_xlfn.XLOOKUP(Purchases[[#This Row],[Product Name]],Inventory[Product Name],Inventory[Product ID])="","",_xlfn.XLOOKUP(Purchases[[#This Row],[Product Name]],Inventory[Product Name],Inventory[Product ID]))</f>
        <v/>
      </c>
      <c r="H639" t="str">
        <f t="shared" si="9"/>
        <v/>
      </c>
    </row>
    <row r="640" spans="4:8">
      <c r="D640" s="3" t="str">
        <f>IF(_xlfn.XLOOKUP(Purchases[[#This Row],[Product Name]],Inventory[Product Name],Inventory[Product ID])="","",_xlfn.XLOOKUP(Purchases[[#This Row],[Product Name]],Inventory[Product Name],Inventory[Product ID]))</f>
        <v/>
      </c>
      <c r="H640" t="str">
        <f t="shared" si="9"/>
        <v/>
      </c>
    </row>
    <row r="641" spans="4:8">
      <c r="D641" s="3" t="str">
        <f>IF(_xlfn.XLOOKUP(Purchases[[#This Row],[Product Name]],Inventory[Product Name],Inventory[Product ID])="","",_xlfn.XLOOKUP(Purchases[[#This Row],[Product Name]],Inventory[Product Name],Inventory[Product ID]))</f>
        <v/>
      </c>
      <c r="H641" t="str">
        <f t="shared" si="9"/>
        <v/>
      </c>
    </row>
    <row r="642" spans="4:8">
      <c r="D642" s="3" t="str">
        <f>IF(_xlfn.XLOOKUP(Purchases[[#This Row],[Product Name]],Inventory[Product Name],Inventory[Product ID])="","",_xlfn.XLOOKUP(Purchases[[#This Row],[Product Name]],Inventory[Product Name],Inventory[Product ID]))</f>
        <v/>
      </c>
      <c r="H642" t="str">
        <f t="shared" ref="H642:H705" si="10">IF((F642*G642)&lt;&gt;0,F642*G642,"")</f>
        <v/>
      </c>
    </row>
    <row r="643" spans="4:8">
      <c r="D643" s="3" t="str">
        <f>IF(_xlfn.XLOOKUP(Purchases[[#This Row],[Product Name]],Inventory[Product Name],Inventory[Product ID])="","",_xlfn.XLOOKUP(Purchases[[#This Row],[Product Name]],Inventory[Product Name],Inventory[Product ID]))</f>
        <v/>
      </c>
      <c r="H643" t="str">
        <f t="shared" si="10"/>
        <v/>
      </c>
    </row>
    <row r="644" spans="4:8">
      <c r="D644" s="3" t="str">
        <f>IF(_xlfn.XLOOKUP(Purchases[[#This Row],[Product Name]],Inventory[Product Name],Inventory[Product ID])="","",_xlfn.XLOOKUP(Purchases[[#This Row],[Product Name]],Inventory[Product Name],Inventory[Product ID]))</f>
        <v/>
      </c>
      <c r="H644" t="str">
        <f t="shared" si="10"/>
        <v/>
      </c>
    </row>
    <row r="645" spans="4:8">
      <c r="D645" s="3" t="str">
        <f>IF(_xlfn.XLOOKUP(Purchases[[#This Row],[Product Name]],Inventory[Product Name],Inventory[Product ID])="","",_xlfn.XLOOKUP(Purchases[[#This Row],[Product Name]],Inventory[Product Name],Inventory[Product ID]))</f>
        <v/>
      </c>
      <c r="H645" t="str">
        <f t="shared" si="10"/>
        <v/>
      </c>
    </row>
    <row r="646" spans="4:8">
      <c r="D646" s="3" t="str">
        <f>IF(_xlfn.XLOOKUP(Purchases[[#This Row],[Product Name]],Inventory[Product Name],Inventory[Product ID])="","",_xlfn.XLOOKUP(Purchases[[#This Row],[Product Name]],Inventory[Product Name],Inventory[Product ID]))</f>
        <v/>
      </c>
      <c r="H646" t="str">
        <f t="shared" si="10"/>
        <v/>
      </c>
    </row>
    <row r="647" spans="4:8">
      <c r="D647" s="3" t="str">
        <f>IF(_xlfn.XLOOKUP(Purchases[[#This Row],[Product Name]],Inventory[Product Name],Inventory[Product ID])="","",_xlfn.XLOOKUP(Purchases[[#This Row],[Product Name]],Inventory[Product Name],Inventory[Product ID]))</f>
        <v/>
      </c>
      <c r="H647" t="str">
        <f t="shared" si="10"/>
        <v/>
      </c>
    </row>
    <row r="648" spans="4:8">
      <c r="D648" s="3" t="str">
        <f>IF(_xlfn.XLOOKUP(Purchases[[#This Row],[Product Name]],Inventory[Product Name],Inventory[Product ID])="","",_xlfn.XLOOKUP(Purchases[[#This Row],[Product Name]],Inventory[Product Name],Inventory[Product ID]))</f>
        <v/>
      </c>
      <c r="H648" t="str">
        <f t="shared" si="10"/>
        <v/>
      </c>
    </row>
    <row r="649" spans="4:8">
      <c r="D649" s="3" t="str">
        <f>IF(_xlfn.XLOOKUP(Purchases[[#This Row],[Product Name]],Inventory[Product Name],Inventory[Product ID])="","",_xlfn.XLOOKUP(Purchases[[#This Row],[Product Name]],Inventory[Product Name],Inventory[Product ID]))</f>
        <v/>
      </c>
      <c r="H649" t="str">
        <f t="shared" si="10"/>
        <v/>
      </c>
    </row>
    <row r="650" spans="4:8">
      <c r="D650" s="3" t="str">
        <f>IF(_xlfn.XLOOKUP(Purchases[[#This Row],[Product Name]],Inventory[Product Name],Inventory[Product ID])="","",_xlfn.XLOOKUP(Purchases[[#This Row],[Product Name]],Inventory[Product Name],Inventory[Product ID]))</f>
        <v/>
      </c>
      <c r="H650" t="str">
        <f t="shared" si="10"/>
        <v/>
      </c>
    </row>
    <row r="651" spans="4:8">
      <c r="D651" s="3" t="str">
        <f>IF(_xlfn.XLOOKUP(Purchases[[#This Row],[Product Name]],Inventory[Product Name],Inventory[Product ID])="","",_xlfn.XLOOKUP(Purchases[[#This Row],[Product Name]],Inventory[Product Name],Inventory[Product ID]))</f>
        <v/>
      </c>
      <c r="H651" t="str">
        <f t="shared" si="10"/>
        <v/>
      </c>
    </row>
    <row r="652" spans="4:8">
      <c r="D652" s="3" t="str">
        <f>IF(_xlfn.XLOOKUP(Purchases[[#This Row],[Product Name]],Inventory[Product Name],Inventory[Product ID])="","",_xlfn.XLOOKUP(Purchases[[#This Row],[Product Name]],Inventory[Product Name],Inventory[Product ID]))</f>
        <v/>
      </c>
      <c r="H652" t="str">
        <f t="shared" si="10"/>
        <v/>
      </c>
    </row>
    <row r="653" spans="4:8">
      <c r="D653" s="3" t="str">
        <f>IF(_xlfn.XLOOKUP(Purchases[[#This Row],[Product Name]],Inventory[Product Name],Inventory[Product ID])="","",_xlfn.XLOOKUP(Purchases[[#This Row],[Product Name]],Inventory[Product Name],Inventory[Product ID]))</f>
        <v/>
      </c>
      <c r="H653" t="str">
        <f t="shared" si="10"/>
        <v/>
      </c>
    </row>
    <row r="654" spans="4:8">
      <c r="D654" s="3" t="str">
        <f>IF(_xlfn.XLOOKUP(Purchases[[#This Row],[Product Name]],Inventory[Product Name],Inventory[Product ID])="","",_xlfn.XLOOKUP(Purchases[[#This Row],[Product Name]],Inventory[Product Name],Inventory[Product ID]))</f>
        <v/>
      </c>
      <c r="H654" t="str">
        <f t="shared" si="10"/>
        <v/>
      </c>
    </row>
    <row r="655" spans="4:8">
      <c r="D655" s="3" t="str">
        <f>IF(_xlfn.XLOOKUP(Purchases[[#This Row],[Product Name]],Inventory[Product Name],Inventory[Product ID])="","",_xlfn.XLOOKUP(Purchases[[#This Row],[Product Name]],Inventory[Product Name],Inventory[Product ID]))</f>
        <v/>
      </c>
      <c r="H655" t="str">
        <f t="shared" si="10"/>
        <v/>
      </c>
    </row>
    <row r="656" spans="4:8">
      <c r="D656" s="3" t="str">
        <f>IF(_xlfn.XLOOKUP(Purchases[[#This Row],[Product Name]],Inventory[Product Name],Inventory[Product ID])="","",_xlfn.XLOOKUP(Purchases[[#This Row],[Product Name]],Inventory[Product Name],Inventory[Product ID]))</f>
        <v/>
      </c>
      <c r="H656" t="str">
        <f t="shared" si="10"/>
        <v/>
      </c>
    </row>
    <row r="657" spans="4:8">
      <c r="D657" s="3" t="str">
        <f>IF(_xlfn.XLOOKUP(Purchases[[#This Row],[Product Name]],Inventory[Product Name],Inventory[Product ID])="","",_xlfn.XLOOKUP(Purchases[[#This Row],[Product Name]],Inventory[Product Name],Inventory[Product ID]))</f>
        <v/>
      </c>
      <c r="H657" t="str">
        <f t="shared" si="10"/>
        <v/>
      </c>
    </row>
    <row r="658" spans="4:8">
      <c r="D658" s="3" t="str">
        <f>IF(_xlfn.XLOOKUP(Purchases[[#This Row],[Product Name]],Inventory[Product Name],Inventory[Product ID])="","",_xlfn.XLOOKUP(Purchases[[#This Row],[Product Name]],Inventory[Product Name],Inventory[Product ID]))</f>
        <v/>
      </c>
      <c r="H658" t="str">
        <f t="shared" si="10"/>
        <v/>
      </c>
    </row>
    <row r="659" spans="4:8">
      <c r="D659" s="3" t="str">
        <f>IF(_xlfn.XLOOKUP(Purchases[[#This Row],[Product Name]],Inventory[Product Name],Inventory[Product ID])="","",_xlfn.XLOOKUP(Purchases[[#This Row],[Product Name]],Inventory[Product Name],Inventory[Product ID]))</f>
        <v/>
      </c>
      <c r="H659" t="str">
        <f t="shared" si="10"/>
        <v/>
      </c>
    </row>
    <row r="660" spans="4:8">
      <c r="D660" s="3" t="str">
        <f>IF(_xlfn.XLOOKUP(Purchases[[#This Row],[Product Name]],Inventory[Product Name],Inventory[Product ID])="","",_xlfn.XLOOKUP(Purchases[[#This Row],[Product Name]],Inventory[Product Name],Inventory[Product ID]))</f>
        <v/>
      </c>
      <c r="H660" t="str">
        <f t="shared" si="10"/>
        <v/>
      </c>
    </row>
    <row r="661" spans="4:8">
      <c r="D661" s="3" t="str">
        <f>IF(_xlfn.XLOOKUP(Purchases[[#This Row],[Product Name]],Inventory[Product Name],Inventory[Product ID])="","",_xlfn.XLOOKUP(Purchases[[#This Row],[Product Name]],Inventory[Product Name],Inventory[Product ID]))</f>
        <v/>
      </c>
      <c r="H661" t="str">
        <f t="shared" si="10"/>
        <v/>
      </c>
    </row>
    <row r="662" spans="4:8">
      <c r="D662" s="3" t="str">
        <f>IF(_xlfn.XLOOKUP(Purchases[[#This Row],[Product Name]],Inventory[Product Name],Inventory[Product ID])="","",_xlfn.XLOOKUP(Purchases[[#This Row],[Product Name]],Inventory[Product Name],Inventory[Product ID]))</f>
        <v/>
      </c>
      <c r="H662" t="str">
        <f t="shared" si="10"/>
        <v/>
      </c>
    </row>
    <row r="663" spans="4:8">
      <c r="D663" s="3" t="str">
        <f>IF(_xlfn.XLOOKUP(Purchases[[#This Row],[Product Name]],Inventory[Product Name],Inventory[Product ID])="","",_xlfn.XLOOKUP(Purchases[[#This Row],[Product Name]],Inventory[Product Name],Inventory[Product ID]))</f>
        <v/>
      </c>
      <c r="H663" t="str">
        <f t="shared" si="10"/>
        <v/>
      </c>
    </row>
    <row r="664" spans="4:8">
      <c r="D664" s="3" t="str">
        <f>IF(_xlfn.XLOOKUP(Purchases[[#This Row],[Product Name]],Inventory[Product Name],Inventory[Product ID])="","",_xlfn.XLOOKUP(Purchases[[#This Row],[Product Name]],Inventory[Product Name],Inventory[Product ID]))</f>
        <v/>
      </c>
      <c r="H664" t="str">
        <f t="shared" si="10"/>
        <v/>
      </c>
    </row>
    <row r="665" spans="4:8">
      <c r="D665" s="3" t="str">
        <f>IF(_xlfn.XLOOKUP(Purchases[[#This Row],[Product Name]],Inventory[Product Name],Inventory[Product ID])="","",_xlfn.XLOOKUP(Purchases[[#This Row],[Product Name]],Inventory[Product Name],Inventory[Product ID]))</f>
        <v/>
      </c>
      <c r="H665" t="str">
        <f t="shared" si="10"/>
        <v/>
      </c>
    </row>
    <row r="666" spans="4:8">
      <c r="D666" s="3" t="str">
        <f>IF(_xlfn.XLOOKUP(Purchases[[#This Row],[Product Name]],Inventory[Product Name],Inventory[Product ID])="","",_xlfn.XLOOKUP(Purchases[[#This Row],[Product Name]],Inventory[Product Name],Inventory[Product ID]))</f>
        <v/>
      </c>
      <c r="H666" t="str">
        <f t="shared" si="10"/>
        <v/>
      </c>
    </row>
    <row r="667" spans="4:8">
      <c r="D667" s="3" t="str">
        <f>IF(_xlfn.XLOOKUP(Purchases[[#This Row],[Product Name]],Inventory[Product Name],Inventory[Product ID])="","",_xlfn.XLOOKUP(Purchases[[#This Row],[Product Name]],Inventory[Product Name],Inventory[Product ID]))</f>
        <v/>
      </c>
      <c r="H667" t="str">
        <f t="shared" si="10"/>
        <v/>
      </c>
    </row>
    <row r="668" spans="4:8">
      <c r="D668" s="3" t="str">
        <f>IF(_xlfn.XLOOKUP(Purchases[[#This Row],[Product Name]],Inventory[Product Name],Inventory[Product ID])="","",_xlfn.XLOOKUP(Purchases[[#This Row],[Product Name]],Inventory[Product Name],Inventory[Product ID]))</f>
        <v/>
      </c>
      <c r="H668" t="str">
        <f t="shared" si="10"/>
        <v/>
      </c>
    </row>
    <row r="669" spans="4:8">
      <c r="D669" s="3" t="str">
        <f>IF(_xlfn.XLOOKUP(Purchases[[#This Row],[Product Name]],Inventory[Product Name],Inventory[Product ID])="","",_xlfn.XLOOKUP(Purchases[[#This Row],[Product Name]],Inventory[Product Name],Inventory[Product ID]))</f>
        <v/>
      </c>
      <c r="H669" t="str">
        <f t="shared" si="10"/>
        <v/>
      </c>
    </row>
    <row r="670" spans="4:8">
      <c r="D670" s="3" t="str">
        <f>IF(_xlfn.XLOOKUP(Purchases[[#This Row],[Product Name]],Inventory[Product Name],Inventory[Product ID])="","",_xlfn.XLOOKUP(Purchases[[#This Row],[Product Name]],Inventory[Product Name],Inventory[Product ID]))</f>
        <v/>
      </c>
      <c r="H670" t="str">
        <f t="shared" si="10"/>
        <v/>
      </c>
    </row>
    <row r="671" spans="4:8">
      <c r="D671" s="3" t="str">
        <f>IF(_xlfn.XLOOKUP(Purchases[[#This Row],[Product Name]],Inventory[Product Name],Inventory[Product ID])="","",_xlfn.XLOOKUP(Purchases[[#This Row],[Product Name]],Inventory[Product Name],Inventory[Product ID]))</f>
        <v/>
      </c>
      <c r="H671" t="str">
        <f t="shared" si="10"/>
        <v/>
      </c>
    </row>
    <row r="672" spans="4:8">
      <c r="D672" s="3" t="str">
        <f>IF(_xlfn.XLOOKUP(Purchases[[#This Row],[Product Name]],Inventory[Product Name],Inventory[Product ID])="","",_xlfn.XLOOKUP(Purchases[[#This Row],[Product Name]],Inventory[Product Name],Inventory[Product ID]))</f>
        <v/>
      </c>
      <c r="H672" t="str">
        <f t="shared" si="10"/>
        <v/>
      </c>
    </row>
    <row r="673" spans="4:8">
      <c r="D673" s="3" t="str">
        <f>IF(_xlfn.XLOOKUP(Purchases[[#This Row],[Product Name]],Inventory[Product Name],Inventory[Product ID])="","",_xlfn.XLOOKUP(Purchases[[#This Row],[Product Name]],Inventory[Product Name],Inventory[Product ID]))</f>
        <v/>
      </c>
      <c r="H673" t="str">
        <f t="shared" si="10"/>
        <v/>
      </c>
    </row>
    <row r="674" spans="4:8">
      <c r="D674" s="3" t="str">
        <f>IF(_xlfn.XLOOKUP(Purchases[[#This Row],[Product Name]],Inventory[Product Name],Inventory[Product ID])="","",_xlfn.XLOOKUP(Purchases[[#This Row],[Product Name]],Inventory[Product Name],Inventory[Product ID]))</f>
        <v/>
      </c>
      <c r="H674" t="str">
        <f t="shared" si="10"/>
        <v/>
      </c>
    </row>
    <row r="675" spans="4:8">
      <c r="D675" s="3" t="str">
        <f>IF(_xlfn.XLOOKUP(Purchases[[#This Row],[Product Name]],Inventory[Product Name],Inventory[Product ID])="","",_xlfn.XLOOKUP(Purchases[[#This Row],[Product Name]],Inventory[Product Name],Inventory[Product ID]))</f>
        <v/>
      </c>
      <c r="H675" t="str">
        <f t="shared" si="10"/>
        <v/>
      </c>
    </row>
    <row r="676" spans="4:8">
      <c r="D676" s="3" t="str">
        <f>IF(_xlfn.XLOOKUP(Purchases[[#This Row],[Product Name]],Inventory[Product Name],Inventory[Product ID])="","",_xlfn.XLOOKUP(Purchases[[#This Row],[Product Name]],Inventory[Product Name],Inventory[Product ID]))</f>
        <v/>
      </c>
      <c r="H676" t="str">
        <f t="shared" si="10"/>
        <v/>
      </c>
    </row>
    <row r="677" spans="4:8">
      <c r="D677" s="3" t="str">
        <f>IF(_xlfn.XLOOKUP(Purchases[[#This Row],[Product Name]],Inventory[Product Name],Inventory[Product ID])="","",_xlfn.XLOOKUP(Purchases[[#This Row],[Product Name]],Inventory[Product Name],Inventory[Product ID]))</f>
        <v/>
      </c>
      <c r="H677" t="str">
        <f t="shared" si="10"/>
        <v/>
      </c>
    </row>
    <row r="678" spans="4:8">
      <c r="D678" s="3" t="str">
        <f>IF(_xlfn.XLOOKUP(Purchases[[#This Row],[Product Name]],Inventory[Product Name],Inventory[Product ID])="","",_xlfn.XLOOKUP(Purchases[[#This Row],[Product Name]],Inventory[Product Name],Inventory[Product ID]))</f>
        <v/>
      </c>
      <c r="H678" t="str">
        <f t="shared" si="10"/>
        <v/>
      </c>
    </row>
    <row r="679" spans="4:8">
      <c r="D679" s="3" t="str">
        <f>IF(_xlfn.XLOOKUP(Purchases[[#This Row],[Product Name]],Inventory[Product Name],Inventory[Product ID])="","",_xlfn.XLOOKUP(Purchases[[#This Row],[Product Name]],Inventory[Product Name],Inventory[Product ID]))</f>
        <v/>
      </c>
      <c r="H679" t="str">
        <f t="shared" si="10"/>
        <v/>
      </c>
    </row>
    <row r="680" spans="4:8">
      <c r="D680" s="3" t="str">
        <f>IF(_xlfn.XLOOKUP(Purchases[[#This Row],[Product Name]],Inventory[Product Name],Inventory[Product ID])="","",_xlfn.XLOOKUP(Purchases[[#This Row],[Product Name]],Inventory[Product Name],Inventory[Product ID]))</f>
        <v/>
      </c>
      <c r="H680" t="str">
        <f t="shared" si="10"/>
        <v/>
      </c>
    </row>
    <row r="681" spans="4:8">
      <c r="D681" s="3" t="str">
        <f>IF(_xlfn.XLOOKUP(Purchases[[#This Row],[Product Name]],Inventory[Product Name],Inventory[Product ID])="","",_xlfn.XLOOKUP(Purchases[[#This Row],[Product Name]],Inventory[Product Name],Inventory[Product ID]))</f>
        <v/>
      </c>
      <c r="H681" t="str">
        <f t="shared" si="10"/>
        <v/>
      </c>
    </row>
    <row r="682" spans="4:8">
      <c r="D682" s="3" t="str">
        <f>IF(_xlfn.XLOOKUP(Purchases[[#This Row],[Product Name]],Inventory[Product Name],Inventory[Product ID])="","",_xlfn.XLOOKUP(Purchases[[#This Row],[Product Name]],Inventory[Product Name],Inventory[Product ID]))</f>
        <v/>
      </c>
      <c r="H682" t="str">
        <f t="shared" si="10"/>
        <v/>
      </c>
    </row>
    <row r="683" spans="4:8">
      <c r="D683" s="3" t="str">
        <f>IF(_xlfn.XLOOKUP(Purchases[[#This Row],[Product Name]],Inventory[Product Name],Inventory[Product ID])="","",_xlfn.XLOOKUP(Purchases[[#This Row],[Product Name]],Inventory[Product Name],Inventory[Product ID]))</f>
        <v/>
      </c>
      <c r="H683" t="str">
        <f t="shared" si="10"/>
        <v/>
      </c>
    </row>
    <row r="684" spans="4:8">
      <c r="D684" s="3" t="str">
        <f>IF(_xlfn.XLOOKUP(Purchases[[#This Row],[Product Name]],Inventory[Product Name],Inventory[Product ID])="","",_xlfn.XLOOKUP(Purchases[[#This Row],[Product Name]],Inventory[Product Name],Inventory[Product ID]))</f>
        <v/>
      </c>
      <c r="H684" t="str">
        <f t="shared" si="10"/>
        <v/>
      </c>
    </row>
    <row r="685" spans="4:8">
      <c r="D685" s="3" t="str">
        <f>IF(_xlfn.XLOOKUP(Purchases[[#This Row],[Product Name]],Inventory[Product Name],Inventory[Product ID])="","",_xlfn.XLOOKUP(Purchases[[#This Row],[Product Name]],Inventory[Product Name],Inventory[Product ID]))</f>
        <v/>
      </c>
      <c r="H685" t="str">
        <f t="shared" si="10"/>
        <v/>
      </c>
    </row>
    <row r="686" spans="4:8">
      <c r="D686" s="3" t="str">
        <f>IF(_xlfn.XLOOKUP(Purchases[[#This Row],[Product Name]],Inventory[Product Name],Inventory[Product ID])="","",_xlfn.XLOOKUP(Purchases[[#This Row],[Product Name]],Inventory[Product Name],Inventory[Product ID]))</f>
        <v/>
      </c>
      <c r="H686" t="str">
        <f t="shared" si="10"/>
        <v/>
      </c>
    </row>
    <row r="687" spans="4:8">
      <c r="D687" s="3" t="str">
        <f>IF(_xlfn.XLOOKUP(Purchases[[#This Row],[Product Name]],Inventory[Product Name],Inventory[Product ID])="","",_xlfn.XLOOKUP(Purchases[[#This Row],[Product Name]],Inventory[Product Name],Inventory[Product ID]))</f>
        <v/>
      </c>
      <c r="H687" t="str">
        <f t="shared" si="10"/>
        <v/>
      </c>
    </row>
    <row r="688" spans="4:8">
      <c r="D688" s="3" t="str">
        <f>IF(_xlfn.XLOOKUP(Purchases[[#This Row],[Product Name]],Inventory[Product Name],Inventory[Product ID])="","",_xlfn.XLOOKUP(Purchases[[#This Row],[Product Name]],Inventory[Product Name],Inventory[Product ID]))</f>
        <v/>
      </c>
      <c r="H688" t="str">
        <f t="shared" si="10"/>
        <v/>
      </c>
    </row>
    <row r="689" spans="4:8">
      <c r="D689" s="3" t="str">
        <f>IF(_xlfn.XLOOKUP(Purchases[[#This Row],[Product Name]],Inventory[Product Name],Inventory[Product ID])="","",_xlfn.XLOOKUP(Purchases[[#This Row],[Product Name]],Inventory[Product Name],Inventory[Product ID]))</f>
        <v/>
      </c>
      <c r="H689" t="str">
        <f t="shared" si="10"/>
        <v/>
      </c>
    </row>
    <row r="690" spans="4:8">
      <c r="D690" s="3" t="str">
        <f>IF(_xlfn.XLOOKUP(Purchases[[#This Row],[Product Name]],Inventory[Product Name],Inventory[Product ID])="","",_xlfn.XLOOKUP(Purchases[[#This Row],[Product Name]],Inventory[Product Name],Inventory[Product ID]))</f>
        <v/>
      </c>
      <c r="H690" t="str">
        <f t="shared" si="10"/>
        <v/>
      </c>
    </row>
    <row r="691" spans="4:8">
      <c r="D691" s="3" t="str">
        <f>IF(_xlfn.XLOOKUP(Purchases[[#This Row],[Product Name]],Inventory[Product Name],Inventory[Product ID])="","",_xlfn.XLOOKUP(Purchases[[#This Row],[Product Name]],Inventory[Product Name],Inventory[Product ID]))</f>
        <v/>
      </c>
      <c r="H691" t="str">
        <f t="shared" si="10"/>
        <v/>
      </c>
    </row>
    <row r="692" spans="4:8">
      <c r="D692" s="3" t="str">
        <f>IF(_xlfn.XLOOKUP(Purchases[[#This Row],[Product Name]],Inventory[Product Name],Inventory[Product ID])="","",_xlfn.XLOOKUP(Purchases[[#This Row],[Product Name]],Inventory[Product Name],Inventory[Product ID]))</f>
        <v/>
      </c>
      <c r="H692" t="str">
        <f t="shared" si="10"/>
        <v/>
      </c>
    </row>
    <row r="693" spans="4:8">
      <c r="D693" s="3" t="str">
        <f>IF(_xlfn.XLOOKUP(Purchases[[#This Row],[Product Name]],Inventory[Product Name],Inventory[Product ID])="","",_xlfn.XLOOKUP(Purchases[[#This Row],[Product Name]],Inventory[Product Name],Inventory[Product ID]))</f>
        <v/>
      </c>
      <c r="H693" t="str">
        <f t="shared" si="10"/>
        <v/>
      </c>
    </row>
    <row r="694" spans="4:8">
      <c r="D694" s="3" t="str">
        <f>IF(_xlfn.XLOOKUP(Purchases[[#This Row],[Product Name]],Inventory[Product Name],Inventory[Product ID])="","",_xlfn.XLOOKUP(Purchases[[#This Row],[Product Name]],Inventory[Product Name],Inventory[Product ID]))</f>
        <v/>
      </c>
      <c r="H694" t="str">
        <f t="shared" si="10"/>
        <v/>
      </c>
    </row>
    <row r="695" spans="4:8">
      <c r="D695" s="3" t="str">
        <f>IF(_xlfn.XLOOKUP(Purchases[[#This Row],[Product Name]],Inventory[Product Name],Inventory[Product ID])="","",_xlfn.XLOOKUP(Purchases[[#This Row],[Product Name]],Inventory[Product Name],Inventory[Product ID]))</f>
        <v/>
      </c>
      <c r="H695" t="str">
        <f t="shared" si="10"/>
        <v/>
      </c>
    </row>
    <row r="696" spans="4:8">
      <c r="D696" s="3" t="str">
        <f>IF(_xlfn.XLOOKUP(Purchases[[#This Row],[Product Name]],Inventory[Product Name],Inventory[Product ID])="","",_xlfn.XLOOKUP(Purchases[[#This Row],[Product Name]],Inventory[Product Name],Inventory[Product ID]))</f>
        <v/>
      </c>
      <c r="H696" t="str">
        <f t="shared" si="10"/>
        <v/>
      </c>
    </row>
    <row r="697" spans="4:8">
      <c r="D697" s="3" t="str">
        <f>IF(_xlfn.XLOOKUP(Purchases[[#This Row],[Product Name]],Inventory[Product Name],Inventory[Product ID])="","",_xlfn.XLOOKUP(Purchases[[#This Row],[Product Name]],Inventory[Product Name],Inventory[Product ID]))</f>
        <v/>
      </c>
      <c r="H697" t="str">
        <f t="shared" si="10"/>
        <v/>
      </c>
    </row>
    <row r="698" spans="4:8">
      <c r="D698" s="3" t="str">
        <f>IF(_xlfn.XLOOKUP(Purchases[[#This Row],[Product Name]],Inventory[Product Name],Inventory[Product ID])="","",_xlfn.XLOOKUP(Purchases[[#This Row],[Product Name]],Inventory[Product Name],Inventory[Product ID]))</f>
        <v/>
      </c>
      <c r="H698" t="str">
        <f t="shared" si="10"/>
        <v/>
      </c>
    </row>
    <row r="699" spans="4:8">
      <c r="D699" s="3" t="str">
        <f>IF(_xlfn.XLOOKUP(Purchases[[#This Row],[Product Name]],Inventory[Product Name],Inventory[Product ID])="","",_xlfn.XLOOKUP(Purchases[[#This Row],[Product Name]],Inventory[Product Name],Inventory[Product ID]))</f>
        <v/>
      </c>
      <c r="H699" t="str">
        <f t="shared" si="10"/>
        <v/>
      </c>
    </row>
    <row r="700" spans="4:8">
      <c r="D700" s="3" t="str">
        <f>IF(_xlfn.XLOOKUP(Purchases[[#This Row],[Product Name]],Inventory[Product Name],Inventory[Product ID])="","",_xlfn.XLOOKUP(Purchases[[#This Row],[Product Name]],Inventory[Product Name],Inventory[Product ID]))</f>
        <v/>
      </c>
      <c r="H700" t="str">
        <f t="shared" si="10"/>
        <v/>
      </c>
    </row>
    <row r="701" spans="4:8">
      <c r="D701" s="3" t="str">
        <f>IF(_xlfn.XLOOKUP(Purchases[[#This Row],[Product Name]],Inventory[Product Name],Inventory[Product ID])="","",_xlfn.XLOOKUP(Purchases[[#This Row],[Product Name]],Inventory[Product Name],Inventory[Product ID]))</f>
        <v/>
      </c>
      <c r="H701" t="str">
        <f t="shared" si="10"/>
        <v/>
      </c>
    </row>
    <row r="702" spans="4:8">
      <c r="D702" s="3" t="str">
        <f>IF(_xlfn.XLOOKUP(Purchases[[#This Row],[Product Name]],Inventory[Product Name],Inventory[Product ID])="","",_xlfn.XLOOKUP(Purchases[[#This Row],[Product Name]],Inventory[Product Name],Inventory[Product ID]))</f>
        <v/>
      </c>
      <c r="H702" t="str">
        <f t="shared" si="10"/>
        <v/>
      </c>
    </row>
    <row r="703" spans="4:8">
      <c r="D703" s="3" t="str">
        <f>IF(_xlfn.XLOOKUP(Purchases[[#This Row],[Product Name]],Inventory[Product Name],Inventory[Product ID])="","",_xlfn.XLOOKUP(Purchases[[#This Row],[Product Name]],Inventory[Product Name],Inventory[Product ID]))</f>
        <v/>
      </c>
      <c r="H703" t="str">
        <f t="shared" si="10"/>
        <v/>
      </c>
    </row>
    <row r="704" spans="4:8">
      <c r="D704" s="3" t="str">
        <f>IF(_xlfn.XLOOKUP(Purchases[[#This Row],[Product Name]],Inventory[Product Name],Inventory[Product ID])="","",_xlfn.XLOOKUP(Purchases[[#This Row],[Product Name]],Inventory[Product Name],Inventory[Product ID]))</f>
        <v/>
      </c>
      <c r="H704" t="str">
        <f t="shared" si="10"/>
        <v/>
      </c>
    </row>
    <row r="705" spans="4:8">
      <c r="D705" s="3" t="str">
        <f>IF(_xlfn.XLOOKUP(Purchases[[#This Row],[Product Name]],Inventory[Product Name],Inventory[Product ID])="","",_xlfn.XLOOKUP(Purchases[[#This Row],[Product Name]],Inventory[Product Name],Inventory[Product ID]))</f>
        <v/>
      </c>
      <c r="H705" t="str">
        <f t="shared" si="10"/>
        <v/>
      </c>
    </row>
    <row r="706" spans="4:8">
      <c r="D706" s="3" t="str">
        <f>IF(_xlfn.XLOOKUP(Purchases[[#This Row],[Product Name]],Inventory[Product Name],Inventory[Product ID])="","",_xlfn.XLOOKUP(Purchases[[#This Row],[Product Name]],Inventory[Product Name],Inventory[Product ID]))</f>
        <v/>
      </c>
      <c r="H706" t="str">
        <f t="shared" ref="H706:H769" si="11">IF((F706*G706)&lt;&gt;0,F706*G706,"")</f>
        <v/>
      </c>
    </row>
    <row r="707" spans="4:8">
      <c r="D707" s="3" t="str">
        <f>IF(_xlfn.XLOOKUP(Purchases[[#This Row],[Product Name]],Inventory[Product Name],Inventory[Product ID])="","",_xlfn.XLOOKUP(Purchases[[#This Row],[Product Name]],Inventory[Product Name],Inventory[Product ID]))</f>
        <v/>
      </c>
      <c r="H707" t="str">
        <f t="shared" si="11"/>
        <v/>
      </c>
    </row>
    <row r="708" spans="4:8">
      <c r="D708" s="3" t="str">
        <f>IF(_xlfn.XLOOKUP(Purchases[[#This Row],[Product Name]],Inventory[Product Name],Inventory[Product ID])="","",_xlfn.XLOOKUP(Purchases[[#This Row],[Product Name]],Inventory[Product Name],Inventory[Product ID]))</f>
        <v/>
      </c>
      <c r="H708" t="str">
        <f t="shared" si="11"/>
        <v/>
      </c>
    </row>
    <row r="709" spans="4:8">
      <c r="D709" s="3" t="str">
        <f>IF(_xlfn.XLOOKUP(Purchases[[#This Row],[Product Name]],Inventory[Product Name],Inventory[Product ID])="","",_xlfn.XLOOKUP(Purchases[[#This Row],[Product Name]],Inventory[Product Name],Inventory[Product ID]))</f>
        <v/>
      </c>
      <c r="H709" t="str">
        <f t="shared" si="11"/>
        <v/>
      </c>
    </row>
    <row r="710" spans="4:8">
      <c r="D710" s="3" t="str">
        <f>IF(_xlfn.XLOOKUP(Purchases[[#This Row],[Product Name]],Inventory[Product Name],Inventory[Product ID])="","",_xlfn.XLOOKUP(Purchases[[#This Row],[Product Name]],Inventory[Product Name],Inventory[Product ID]))</f>
        <v/>
      </c>
      <c r="H710" t="str">
        <f t="shared" si="11"/>
        <v/>
      </c>
    </row>
    <row r="711" spans="4:8">
      <c r="D711" s="3" t="str">
        <f>IF(_xlfn.XLOOKUP(Purchases[[#This Row],[Product Name]],Inventory[Product Name],Inventory[Product ID])="","",_xlfn.XLOOKUP(Purchases[[#This Row],[Product Name]],Inventory[Product Name],Inventory[Product ID]))</f>
        <v/>
      </c>
      <c r="H711" t="str">
        <f t="shared" si="11"/>
        <v/>
      </c>
    </row>
    <row r="712" spans="4:8">
      <c r="D712" s="3" t="str">
        <f>IF(_xlfn.XLOOKUP(Purchases[[#This Row],[Product Name]],Inventory[Product Name],Inventory[Product ID])="","",_xlfn.XLOOKUP(Purchases[[#This Row],[Product Name]],Inventory[Product Name],Inventory[Product ID]))</f>
        <v/>
      </c>
      <c r="H712" t="str">
        <f t="shared" si="11"/>
        <v/>
      </c>
    </row>
    <row r="713" spans="4:8">
      <c r="D713" s="3" t="str">
        <f>IF(_xlfn.XLOOKUP(Purchases[[#This Row],[Product Name]],Inventory[Product Name],Inventory[Product ID])="","",_xlfn.XLOOKUP(Purchases[[#This Row],[Product Name]],Inventory[Product Name],Inventory[Product ID]))</f>
        <v/>
      </c>
      <c r="H713" t="str">
        <f t="shared" si="11"/>
        <v/>
      </c>
    </row>
    <row r="714" spans="4:8">
      <c r="D714" s="3" t="str">
        <f>IF(_xlfn.XLOOKUP(Purchases[[#This Row],[Product Name]],Inventory[Product Name],Inventory[Product ID])="","",_xlfn.XLOOKUP(Purchases[[#This Row],[Product Name]],Inventory[Product Name],Inventory[Product ID]))</f>
        <v/>
      </c>
      <c r="H714" t="str">
        <f t="shared" si="11"/>
        <v/>
      </c>
    </row>
    <row r="715" spans="4:8">
      <c r="D715" s="3" t="str">
        <f>IF(_xlfn.XLOOKUP(Purchases[[#This Row],[Product Name]],Inventory[Product Name],Inventory[Product ID])="","",_xlfn.XLOOKUP(Purchases[[#This Row],[Product Name]],Inventory[Product Name],Inventory[Product ID]))</f>
        <v/>
      </c>
      <c r="H715" t="str">
        <f t="shared" si="11"/>
        <v/>
      </c>
    </row>
    <row r="716" spans="4:8">
      <c r="D716" s="3" t="str">
        <f>IF(_xlfn.XLOOKUP(Purchases[[#This Row],[Product Name]],Inventory[Product Name],Inventory[Product ID])="","",_xlfn.XLOOKUP(Purchases[[#This Row],[Product Name]],Inventory[Product Name],Inventory[Product ID]))</f>
        <v/>
      </c>
      <c r="H716" t="str">
        <f t="shared" si="11"/>
        <v/>
      </c>
    </row>
    <row r="717" spans="4:8">
      <c r="D717" s="3" t="str">
        <f>IF(_xlfn.XLOOKUP(Purchases[[#This Row],[Product Name]],Inventory[Product Name],Inventory[Product ID])="","",_xlfn.XLOOKUP(Purchases[[#This Row],[Product Name]],Inventory[Product Name],Inventory[Product ID]))</f>
        <v/>
      </c>
      <c r="H717" t="str">
        <f t="shared" si="11"/>
        <v/>
      </c>
    </row>
    <row r="718" spans="4:8">
      <c r="D718" s="3" t="str">
        <f>IF(_xlfn.XLOOKUP(Purchases[[#This Row],[Product Name]],Inventory[Product Name],Inventory[Product ID])="","",_xlfn.XLOOKUP(Purchases[[#This Row],[Product Name]],Inventory[Product Name],Inventory[Product ID]))</f>
        <v/>
      </c>
      <c r="H718" t="str">
        <f t="shared" si="11"/>
        <v/>
      </c>
    </row>
    <row r="719" spans="4:8">
      <c r="D719" s="3" t="str">
        <f>IF(_xlfn.XLOOKUP(Purchases[[#This Row],[Product Name]],Inventory[Product Name],Inventory[Product ID])="","",_xlfn.XLOOKUP(Purchases[[#This Row],[Product Name]],Inventory[Product Name],Inventory[Product ID]))</f>
        <v/>
      </c>
      <c r="H719" t="str">
        <f t="shared" si="11"/>
        <v/>
      </c>
    </row>
    <row r="720" spans="4:8">
      <c r="D720" s="3" t="str">
        <f>IF(_xlfn.XLOOKUP(Purchases[[#This Row],[Product Name]],Inventory[Product Name],Inventory[Product ID])="","",_xlfn.XLOOKUP(Purchases[[#This Row],[Product Name]],Inventory[Product Name],Inventory[Product ID]))</f>
        <v/>
      </c>
      <c r="H720" t="str">
        <f t="shared" si="11"/>
        <v/>
      </c>
    </row>
    <row r="721" spans="4:8">
      <c r="D721" s="3" t="str">
        <f>IF(_xlfn.XLOOKUP(Purchases[[#This Row],[Product Name]],Inventory[Product Name],Inventory[Product ID])="","",_xlfn.XLOOKUP(Purchases[[#This Row],[Product Name]],Inventory[Product Name],Inventory[Product ID]))</f>
        <v/>
      </c>
      <c r="H721" t="str">
        <f t="shared" si="11"/>
        <v/>
      </c>
    </row>
    <row r="722" spans="4:8">
      <c r="D722" s="3" t="str">
        <f>IF(_xlfn.XLOOKUP(Purchases[[#This Row],[Product Name]],Inventory[Product Name],Inventory[Product ID])="","",_xlfn.XLOOKUP(Purchases[[#This Row],[Product Name]],Inventory[Product Name],Inventory[Product ID]))</f>
        <v/>
      </c>
      <c r="H722" t="str">
        <f t="shared" si="11"/>
        <v/>
      </c>
    </row>
    <row r="723" spans="4:8">
      <c r="D723" s="3" t="str">
        <f>IF(_xlfn.XLOOKUP(Purchases[[#This Row],[Product Name]],Inventory[Product Name],Inventory[Product ID])="","",_xlfn.XLOOKUP(Purchases[[#This Row],[Product Name]],Inventory[Product Name],Inventory[Product ID]))</f>
        <v/>
      </c>
      <c r="H723" t="str">
        <f t="shared" si="11"/>
        <v/>
      </c>
    </row>
    <row r="724" spans="4:8">
      <c r="D724" s="3" t="str">
        <f>IF(_xlfn.XLOOKUP(Purchases[[#This Row],[Product Name]],Inventory[Product Name],Inventory[Product ID])="","",_xlfn.XLOOKUP(Purchases[[#This Row],[Product Name]],Inventory[Product Name],Inventory[Product ID]))</f>
        <v/>
      </c>
      <c r="H724" t="str">
        <f t="shared" si="11"/>
        <v/>
      </c>
    </row>
    <row r="725" spans="4:8">
      <c r="D725" s="3" t="str">
        <f>IF(_xlfn.XLOOKUP(Purchases[[#This Row],[Product Name]],Inventory[Product Name],Inventory[Product ID])="","",_xlfn.XLOOKUP(Purchases[[#This Row],[Product Name]],Inventory[Product Name],Inventory[Product ID]))</f>
        <v/>
      </c>
      <c r="H725" t="str">
        <f t="shared" si="11"/>
        <v/>
      </c>
    </row>
    <row r="726" spans="4:8">
      <c r="D726" s="3" t="str">
        <f>IF(_xlfn.XLOOKUP(Purchases[[#This Row],[Product Name]],Inventory[Product Name],Inventory[Product ID])="","",_xlfn.XLOOKUP(Purchases[[#This Row],[Product Name]],Inventory[Product Name],Inventory[Product ID]))</f>
        <v/>
      </c>
      <c r="H726" t="str">
        <f t="shared" si="11"/>
        <v/>
      </c>
    </row>
    <row r="727" spans="4:8">
      <c r="D727" s="3" t="str">
        <f>IF(_xlfn.XLOOKUP(Purchases[[#This Row],[Product Name]],Inventory[Product Name],Inventory[Product ID])="","",_xlfn.XLOOKUP(Purchases[[#This Row],[Product Name]],Inventory[Product Name],Inventory[Product ID]))</f>
        <v/>
      </c>
      <c r="H727" t="str">
        <f t="shared" si="11"/>
        <v/>
      </c>
    </row>
    <row r="728" spans="4:8">
      <c r="D728" s="3" t="str">
        <f>IF(_xlfn.XLOOKUP(Purchases[[#This Row],[Product Name]],Inventory[Product Name],Inventory[Product ID])="","",_xlfn.XLOOKUP(Purchases[[#This Row],[Product Name]],Inventory[Product Name],Inventory[Product ID]))</f>
        <v/>
      </c>
      <c r="H728" t="str">
        <f t="shared" si="11"/>
        <v/>
      </c>
    </row>
    <row r="729" spans="4:8">
      <c r="D729" s="3" t="str">
        <f>IF(_xlfn.XLOOKUP(Purchases[[#This Row],[Product Name]],Inventory[Product Name],Inventory[Product ID])="","",_xlfn.XLOOKUP(Purchases[[#This Row],[Product Name]],Inventory[Product Name],Inventory[Product ID]))</f>
        <v/>
      </c>
      <c r="H729" t="str">
        <f t="shared" si="11"/>
        <v/>
      </c>
    </row>
    <row r="730" spans="4:8">
      <c r="D730" s="3" t="str">
        <f>IF(_xlfn.XLOOKUP(Purchases[[#This Row],[Product Name]],Inventory[Product Name],Inventory[Product ID])="","",_xlfn.XLOOKUP(Purchases[[#This Row],[Product Name]],Inventory[Product Name],Inventory[Product ID]))</f>
        <v/>
      </c>
      <c r="H730" t="str">
        <f t="shared" si="11"/>
        <v/>
      </c>
    </row>
    <row r="731" spans="4:8">
      <c r="D731" s="3" t="str">
        <f>IF(_xlfn.XLOOKUP(Purchases[[#This Row],[Product Name]],Inventory[Product Name],Inventory[Product ID])="","",_xlfn.XLOOKUP(Purchases[[#This Row],[Product Name]],Inventory[Product Name],Inventory[Product ID]))</f>
        <v/>
      </c>
      <c r="H731" t="str">
        <f t="shared" si="11"/>
        <v/>
      </c>
    </row>
    <row r="732" spans="4:8">
      <c r="D732" s="3" t="str">
        <f>IF(_xlfn.XLOOKUP(Purchases[[#This Row],[Product Name]],Inventory[Product Name],Inventory[Product ID])="","",_xlfn.XLOOKUP(Purchases[[#This Row],[Product Name]],Inventory[Product Name],Inventory[Product ID]))</f>
        <v/>
      </c>
      <c r="H732" t="str">
        <f t="shared" si="11"/>
        <v/>
      </c>
    </row>
    <row r="733" spans="4:8">
      <c r="D733" s="3" t="str">
        <f>IF(_xlfn.XLOOKUP(Purchases[[#This Row],[Product Name]],Inventory[Product Name],Inventory[Product ID])="","",_xlfn.XLOOKUP(Purchases[[#This Row],[Product Name]],Inventory[Product Name],Inventory[Product ID]))</f>
        <v/>
      </c>
      <c r="H733" t="str">
        <f t="shared" si="11"/>
        <v/>
      </c>
    </row>
    <row r="734" spans="4:8">
      <c r="D734" s="3" t="str">
        <f>IF(_xlfn.XLOOKUP(Purchases[[#This Row],[Product Name]],Inventory[Product Name],Inventory[Product ID])="","",_xlfn.XLOOKUP(Purchases[[#This Row],[Product Name]],Inventory[Product Name],Inventory[Product ID]))</f>
        <v/>
      </c>
      <c r="H734" t="str">
        <f t="shared" si="11"/>
        <v/>
      </c>
    </row>
    <row r="735" spans="4:8">
      <c r="D735" s="3" t="str">
        <f>IF(_xlfn.XLOOKUP(Purchases[[#This Row],[Product Name]],Inventory[Product Name],Inventory[Product ID])="","",_xlfn.XLOOKUP(Purchases[[#This Row],[Product Name]],Inventory[Product Name],Inventory[Product ID]))</f>
        <v/>
      </c>
      <c r="H735" t="str">
        <f t="shared" si="11"/>
        <v/>
      </c>
    </row>
    <row r="736" spans="4:8">
      <c r="D736" s="3" t="str">
        <f>IF(_xlfn.XLOOKUP(Purchases[[#This Row],[Product Name]],Inventory[Product Name],Inventory[Product ID])="","",_xlfn.XLOOKUP(Purchases[[#This Row],[Product Name]],Inventory[Product Name],Inventory[Product ID]))</f>
        <v/>
      </c>
      <c r="H736" t="str">
        <f t="shared" si="11"/>
        <v/>
      </c>
    </row>
    <row r="737" spans="4:8">
      <c r="D737" s="3" t="str">
        <f>IF(_xlfn.XLOOKUP(Purchases[[#This Row],[Product Name]],Inventory[Product Name],Inventory[Product ID])="","",_xlfn.XLOOKUP(Purchases[[#This Row],[Product Name]],Inventory[Product Name],Inventory[Product ID]))</f>
        <v/>
      </c>
      <c r="H737" t="str">
        <f t="shared" si="11"/>
        <v/>
      </c>
    </row>
    <row r="738" spans="4:8">
      <c r="D738" s="3" t="str">
        <f>IF(_xlfn.XLOOKUP(Purchases[[#This Row],[Product Name]],Inventory[Product Name],Inventory[Product ID])="","",_xlfn.XLOOKUP(Purchases[[#This Row],[Product Name]],Inventory[Product Name],Inventory[Product ID]))</f>
        <v/>
      </c>
      <c r="H738" t="str">
        <f t="shared" si="11"/>
        <v/>
      </c>
    </row>
    <row r="739" spans="4:8">
      <c r="D739" s="3" t="str">
        <f>IF(_xlfn.XLOOKUP(Purchases[[#This Row],[Product Name]],Inventory[Product Name],Inventory[Product ID])="","",_xlfn.XLOOKUP(Purchases[[#This Row],[Product Name]],Inventory[Product Name],Inventory[Product ID]))</f>
        <v/>
      </c>
      <c r="H739" t="str">
        <f t="shared" si="11"/>
        <v/>
      </c>
    </row>
    <row r="740" spans="4:8">
      <c r="D740" s="3" t="str">
        <f>IF(_xlfn.XLOOKUP(Purchases[[#This Row],[Product Name]],Inventory[Product Name],Inventory[Product ID])="","",_xlfn.XLOOKUP(Purchases[[#This Row],[Product Name]],Inventory[Product Name],Inventory[Product ID]))</f>
        <v/>
      </c>
      <c r="H740" t="str">
        <f t="shared" si="11"/>
        <v/>
      </c>
    </row>
    <row r="741" spans="4:8">
      <c r="D741" s="3" t="str">
        <f>IF(_xlfn.XLOOKUP(Purchases[[#This Row],[Product Name]],Inventory[Product Name],Inventory[Product ID])="","",_xlfn.XLOOKUP(Purchases[[#This Row],[Product Name]],Inventory[Product Name],Inventory[Product ID]))</f>
        <v/>
      </c>
      <c r="H741" t="str">
        <f t="shared" si="11"/>
        <v/>
      </c>
    </row>
    <row r="742" spans="4:8">
      <c r="D742" s="3" t="str">
        <f>IF(_xlfn.XLOOKUP(Purchases[[#This Row],[Product Name]],Inventory[Product Name],Inventory[Product ID])="","",_xlfn.XLOOKUP(Purchases[[#This Row],[Product Name]],Inventory[Product Name],Inventory[Product ID]))</f>
        <v/>
      </c>
      <c r="H742" t="str">
        <f t="shared" si="11"/>
        <v/>
      </c>
    </row>
    <row r="743" spans="4:8">
      <c r="D743" s="3" t="str">
        <f>IF(_xlfn.XLOOKUP(Purchases[[#This Row],[Product Name]],Inventory[Product Name],Inventory[Product ID])="","",_xlfn.XLOOKUP(Purchases[[#This Row],[Product Name]],Inventory[Product Name],Inventory[Product ID]))</f>
        <v/>
      </c>
      <c r="H743" t="str">
        <f t="shared" si="11"/>
        <v/>
      </c>
    </row>
    <row r="744" spans="4:8">
      <c r="D744" s="3" t="str">
        <f>IF(_xlfn.XLOOKUP(Purchases[[#This Row],[Product Name]],Inventory[Product Name],Inventory[Product ID])="","",_xlfn.XLOOKUP(Purchases[[#This Row],[Product Name]],Inventory[Product Name],Inventory[Product ID]))</f>
        <v/>
      </c>
      <c r="H744" t="str">
        <f t="shared" si="11"/>
        <v/>
      </c>
    </row>
    <row r="745" spans="4:8">
      <c r="D745" s="3" t="str">
        <f>IF(_xlfn.XLOOKUP(Purchases[[#This Row],[Product Name]],Inventory[Product Name],Inventory[Product ID])="","",_xlfn.XLOOKUP(Purchases[[#This Row],[Product Name]],Inventory[Product Name],Inventory[Product ID]))</f>
        <v/>
      </c>
      <c r="H745" t="str">
        <f t="shared" si="11"/>
        <v/>
      </c>
    </row>
    <row r="746" spans="4:8">
      <c r="D746" s="3" t="str">
        <f>IF(_xlfn.XLOOKUP(Purchases[[#This Row],[Product Name]],Inventory[Product Name],Inventory[Product ID])="","",_xlfn.XLOOKUP(Purchases[[#This Row],[Product Name]],Inventory[Product Name],Inventory[Product ID]))</f>
        <v/>
      </c>
      <c r="H746" t="str">
        <f t="shared" si="11"/>
        <v/>
      </c>
    </row>
    <row r="747" spans="4:8">
      <c r="D747" s="3" t="str">
        <f>IF(_xlfn.XLOOKUP(Purchases[[#This Row],[Product Name]],Inventory[Product Name],Inventory[Product ID])="","",_xlfn.XLOOKUP(Purchases[[#This Row],[Product Name]],Inventory[Product Name],Inventory[Product ID]))</f>
        <v/>
      </c>
      <c r="H747" t="str">
        <f t="shared" si="11"/>
        <v/>
      </c>
    </row>
    <row r="748" spans="4:8">
      <c r="D748" s="3" t="str">
        <f>IF(_xlfn.XLOOKUP(Purchases[[#This Row],[Product Name]],Inventory[Product Name],Inventory[Product ID])="","",_xlfn.XLOOKUP(Purchases[[#This Row],[Product Name]],Inventory[Product Name],Inventory[Product ID]))</f>
        <v/>
      </c>
      <c r="H748" t="str">
        <f t="shared" si="11"/>
        <v/>
      </c>
    </row>
    <row r="749" spans="4:8">
      <c r="D749" s="3" t="str">
        <f>IF(_xlfn.XLOOKUP(Purchases[[#This Row],[Product Name]],Inventory[Product Name],Inventory[Product ID])="","",_xlfn.XLOOKUP(Purchases[[#This Row],[Product Name]],Inventory[Product Name],Inventory[Product ID]))</f>
        <v/>
      </c>
      <c r="H749" t="str">
        <f t="shared" si="11"/>
        <v/>
      </c>
    </row>
    <row r="750" spans="4:8">
      <c r="D750" s="3" t="str">
        <f>IF(_xlfn.XLOOKUP(Purchases[[#This Row],[Product Name]],Inventory[Product Name],Inventory[Product ID])="","",_xlfn.XLOOKUP(Purchases[[#This Row],[Product Name]],Inventory[Product Name],Inventory[Product ID]))</f>
        <v/>
      </c>
      <c r="H750" t="str">
        <f t="shared" si="11"/>
        <v/>
      </c>
    </row>
    <row r="751" spans="4:8">
      <c r="D751" s="3" t="str">
        <f>IF(_xlfn.XLOOKUP(Purchases[[#This Row],[Product Name]],Inventory[Product Name],Inventory[Product ID])="","",_xlfn.XLOOKUP(Purchases[[#This Row],[Product Name]],Inventory[Product Name],Inventory[Product ID]))</f>
        <v/>
      </c>
      <c r="H751" t="str">
        <f t="shared" si="11"/>
        <v/>
      </c>
    </row>
    <row r="752" spans="4:8">
      <c r="D752" s="3" t="str">
        <f>IF(_xlfn.XLOOKUP(Purchases[[#This Row],[Product Name]],Inventory[Product Name],Inventory[Product ID])="","",_xlfn.XLOOKUP(Purchases[[#This Row],[Product Name]],Inventory[Product Name],Inventory[Product ID]))</f>
        <v/>
      </c>
      <c r="H752" t="str">
        <f t="shared" si="11"/>
        <v/>
      </c>
    </row>
    <row r="753" spans="4:8">
      <c r="D753" s="3" t="str">
        <f>IF(_xlfn.XLOOKUP(Purchases[[#This Row],[Product Name]],Inventory[Product Name],Inventory[Product ID])="","",_xlfn.XLOOKUP(Purchases[[#This Row],[Product Name]],Inventory[Product Name],Inventory[Product ID]))</f>
        <v/>
      </c>
      <c r="H753" t="str">
        <f t="shared" si="11"/>
        <v/>
      </c>
    </row>
    <row r="754" spans="4:8">
      <c r="D754" s="3" t="str">
        <f>IF(_xlfn.XLOOKUP(Purchases[[#This Row],[Product Name]],Inventory[Product Name],Inventory[Product ID])="","",_xlfn.XLOOKUP(Purchases[[#This Row],[Product Name]],Inventory[Product Name],Inventory[Product ID]))</f>
        <v/>
      </c>
      <c r="H754" t="str">
        <f t="shared" si="11"/>
        <v/>
      </c>
    </row>
    <row r="755" spans="4:8">
      <c r="D755" s="3" t="str">
        <f>IF(_xlfn.XLOOKUP(Purchases[[#This Row],[Product Name]],Inventory[Product Name],Inventory[Product ID])="","",_xlfn.XLOOKUP(Purchases[[#This Row],[Product Name]],Inventory[Product Name],Inventory[Product ID]))</f>
        <v/>
      </c>
      <c r="H755" t="str">
        <f t="shared" si="11"/>
        <v/>
      </c>
    </row>
    <row r="756" spans="4:8">
      <c r="D756" s="3" t="str">
        <f>IF(_xlfn.XLOOKUP(Purchases[[#This Row],[Product Name]],Inventory[Product Name],Inventory[Product ID])="","",_xlfn.XLOOKUP(Purchases[[#This Row],[Product Name]],Inventory[Product Name],Inventory[Product ID]))</f>
        <v/>
      </c>
      <c r="H756" t="str">
        <f t="shared" si="11"/>
        <v/>
      </c>
    </row>
    <row r="757" spans="4:8">
      <c r="D757" s="3" t="str">
        <f>IF(_xlfn.XLOOKUP(Purchases[[#This Row],[Product Name]],Inventory[Product Name],Inventory[Product ID])="","",_xlfn.XLOOKUP(Purchases[[#This Row],[Product Name]],Inventory[Product Name],Inventory[Product ID]))</f>
        <v/>
      </c>
      <c r="H757" t="str">
        <f t="shared" si="11"/>
        <v/>
      </c>
    </row>
    <row r="758" spans="4:8">
      <c r="D758" s="3" t="str">
        <f>IF(_xlfn.XLOOKUP(Purchases[[#This Row],[Product Name]],Inventory[Product Name],Inventory[Product ID])="","",_xlfn.XLOOKUP(Purchases[[#This Row],[Product Name]],Inventory[Product Name],Inventory[Product ID]))</f>
        <v/>
      </c>
      <c r="H758" t="str">
        <f t="shared" si="11"/>
        <v/>
      </c>
    </row>
    <row r="759" spans="4:8">
      <c r="D759" s="3" t="str">
        <f>IF(_xlfn.XLOOKUP(Purchases[[#This Row],[Product Name]],Inventory[Product Name],Inventory[Product ID])="","",_xlfn.XLOOKUP(Purchases[[#This Row],[Product Name]],Inventory[Product Name],Inventory[Product ID]))</f>
        <v/>
      </c>
      <c r="H759" t="str">
        <f t="shared" si="11"/>
        <v/>
      </c>
    </row>
    <row r="760" spans="4:8">
      <c r="D760" s="3" t="str">
        <f>IF(_xlfn.XLOOKUP(Purchases[[#This Row],[Product Name]],Inventory[Product Name],Inventory[Product ID])="","",_xlfn.XLOOKUP(Purchases[[#This Row],[Product Name]],Inventory[Product Name],Inventory[Product ID]))</f>
        <v/>
      </c>
      <c r="H760" t="str">
        <f t="shared" si="11"/>
        <v/>
      </c>
    </row>
    <row r="761" spans="4:8">
      <c r="D761" s="3" t="str">
        <f>IF(_xlfn.XLOOKUP(Purchases[[#This Row],[Product Name]],Inventory[Product Name],Inventory[Product ID])="","",_xlfn.XLOOKUP(Purchases[[#This Row],[Product Name]],Inventory[Product Name],Inventory[Product ID]))</f>
        <v/>
      </c>
      <c r="H761" t="str">
        <f t="shared" si="11"/>
        <v/>
      </c>
    </row>
    <row r="762" spans="4:8">
      <c r="D762" s="3" t="str">
        <f>IF(_xlfn.XLOOKUP(Purchases[[#This Row],[Product Name]],Inventory[Product Name],Inventory[Product ID])="","",_xlfn.XLOOKUP(Purchases[[#This Row],[Product Name]],Inventory[Product Name],Inventory[Product ID]))</f>
        <v/>
      </c>
      <c r="H762" t="str">
        <f t="shared" si="11"/>
        <v/>
      </c>
    </row>
    <row r="763" spans="4:8">
      <c r="D763" s="3" t="str">
        <f>IF(_xlfn.XLOOKUP(Purchases[[#This Row],[Product Name]],Inventory[Product Name],Inventory[Product ID])="","",_xlfn.XLOOKUP(Purchases[[#This Row],[Product Name]],Inventory[Product Name],Inventory[Product ID]))</f>
        <v/>
      </c>
      <c r="H763" t="str">
        <f t="shared" si="11"/>
        <v/>
      </c>
    </row>
    <row r="764" spans="4:8">
      <c r="D764" s="3" t="str">
        <f>IF(_xlfn.XLOOKUP(Purchases[[#This Row],[Product Name]],Inventory[Product Name],Inventory[Product ID])="","",_xlfn.XLOOKUP(Purchases[[#This Row],[Product Name]],Inventory[Product Name],Inventory[Product ID]))</f>
        <v/>
      </c>
      <c r="H764" t="str">
        <f t="shared" si="11"/>
        <v/>
      </c>
    </row>
    <row r="765" spans="4:8">
      <c r="D765" s="3" t="str">
        <f>IF(_xlfn.XLOOKUP(Purchases[[#This Row],[Product Name]],Inventory[Product Name],Inventory[Product ID])="","",_xlfn.XLOOKUP(Purchases[[#This Row],[Product Name]],Inventory[Product Name],Inventory[Product ID]))</f>
        <v/>
      </c>
      <c r="H765" t="str">
        <f t="shared" si="11"/>
        <v/>
      </c>
    </row>
    <row r="766" spans="4:8">
      <c r="D766" s="3" t="str">
        <f>IF(_xlfn.XLOOKUP(Purchases[[#This Row],[Product Name]],Inventory[Product Name],Inventory[Product ID])="","",_xlfn.XLOOKUP(Purchases[[#This Row],[Product Name]],Inventory[Product Name],Inventory[Product ID]))</f>
        <v/>
      </c>
      <c r="H766" t="str">
        <f t="shared" si="11"/>
        <v/>
      </c>
    </row>
    <row r="767" spans="4:8">
      <c r="D767" s="3" t="str">
        <f>IF(_xlfn.XLOOKUP(Purchases[[#This Row],[Product Name]],Inventory[Product Name],Inventory[Product ID])="","",_xlfn.XLOOKUP(Purchases[[#This Row],[Product Name]],Inventory[Product Name],Inventory[Product ID]))</f>
        <v/>
      </c>
      <c r="H767" t="str">
        <f t="shared" si="11"/>
        <v/>
      </c>
    </row>
    <row r="768" spans="4:8">
      <c r="D768" s="3" t="str">
        <f>IF(_xlfn.XLOOKUP(Purchases[[#This Row],[Product Name]],Inventory[Product Name],Inventory[Product ID])="","",_xlfn.XLOOKUP(Purchases[[#This Row],[Product Name]],Inventory[Product Name],Inventory[Product ID]))</f>
        <v/>
      </c>
      <c r="H768" t="str">
        <f t="shared" si="11"/>
        <v/>
      </c>
    </row>
    <row r="769" spans="4:8">
      <c r="D769" s="3" t="str">
        <f>IF(_xlfn.XLOOKUP(Purchases[[#This Row],[Product Name]],Inventory[Product Name],Inventory[Product ID])="","",_xlfn.XLOOKUP(Purchases[[#This Row],[Product Name]],Inventory[Product Name],Inventory[Product ID]))</f>
        <v/>
      </c>
      <c r="H769" t="str">
        <f t="shared" si="11"/>
        <v/>
      </c>
    </row>
    <row r="770" spans="4:8">
      <c r="D770" s="3" t="str">
        <f>IF(_xlfn.XLOOKUP(Purchases[[#This Row],[Product Name]],Inventory[Product Name],Inventory[Product ID])="","",_xlfn.XLOOKUP(Purchases[[#This Row],[Product Name]],Inventory[Product Name],Inventory[Product ID]))</f>
        <v/>
      </c>
      <c r="H770" t="str">
        <f t="shared" ref="H770:H833" si="12">IF((F770*G770)&lt;&gt;0,F770*G770,"")</f>
        <v/>
      </c>
    </row>
    <row r="771" spans="4:8">
      <c r="D771" s="3" t="str">
        <f>IF(_xlfn.XLOOKUP(Purchases[[#This Row],[Product Name]],Inventory[Product Name],Inventory[Product ID])="","",_xlfn.XLOOKUP(Purchases[[#This Row],[Product Name]],Inventory[Product Name],Inventory[Product ID]))</f>
        <v/>
      </c>
      <c r="H771" t="str">
        <f t="shared" si="12"/>
        <v/>
      </c>
    </row>
    <row r="772" spans="4:8">
      <c r="D772" s="3" t="str">
        <f>IF(_xlfn.XLOOKUP(Purchases[[#This Row],[Product Name]],Inventory[Product Name],Inventory[Product ID])="","",_xlfn.XLOOKUP(Purchases[[#This Row],[Product Name]],Inventory[Product Name],Inventory[Product ID]))</f>
        <v/>
      </c>
      <c r="H772" t="str">
        <f t="shared" si="12"/>
        <v/>
      </c>
    </row>
    <row r="773" spans="4:8">
      <c r="D773" s="3" t="str">
        <f>IF(_xlfn.XLOOKUP(Purchases[[#This Row],[Product Name]],Inventory[Product Name],Inventory[Product ID])="","",_xlfn.XLOOKUP(Purchases[[#This Row],[Product Name]],Inventory[Product Name],Inventory[Product ID]))</f>
        <v/>
      </c>
      <c r="H773" t="str">
        <f t="shared" si="12"/>
        <v/>
      </c>
    </row>
    <row r="774" spans="4:8">
      <c r="D774" s="3" t="str">
        <f>IF(_xlfn.XLOOKUP(Purchases[[#This Row],[Product Name]],Inventory[Product Name],Inventory[Product ID])="","",_xlfn.XLOOKUP(Purchases[[#This Row],[Product Name]],Inventory[Product Name],Inventory[Product ID]))</f>
        <v/>
      </c>
      <c r="H774" t="str">
        <f t="shared" si="12"/>
        <v/>
      </c>
    </row>
    <row r="775" spans="4:8">
      <c r="D775" s="3" t="str">
        <f>IF(_xlfn.XLOOKUP(Purchases[[#This Row],[Product Name]],Inventory[Product Name],Inventory[Product ID])="","",_xlfn.XLOOKUP(Purchases[[#This Row],[Product Name]],Inventory[Product Name],Inventory[Product ID]))</f>
        <v/>
      </c>
      <c r="H775" t="str">
        <f t="shared" si="12"/>
        <v/>
      </c>
    </row>
    <row r="776" spans="4:8">
      <c r="D776" s="3" t="str">
        <f>IF(_xlfn.XLOOKUP(Purchases[[#This Row],[Product Name]],Inventory[Product Name],Inventory[Product ID])="","",_xlfn.XLOOKUP(Purchases[[#This Row],[Product Name]],Inventory[Product Name],Inventory[Product ID]))</f>
        <v/>
      </c>
      <c r="H776" t="str">
        <f t="shared" si="12"/>
        <v/>
      </c>
    </row>
    <row r="777" spans="4:8">
      <c r="D777" s="3" t="str">
        <f>IF(_xlfn.XLOOKUP(Purchases[[#This Row],[Product Name]],Inventory[Product Name],Inventory[Product ID])="","",_xlfn.XLOOKUP(Purchases[[#This Row],[Product Name]],Inventory[Product Name],Inventory[Product ID]))</f>
        <v/>
      </c>
      <c r="H777" t="str">
        <f t="shared" si="12"/>
        <v/>
      </c>
    </row>
    <row r="778" spans="4:8">
      <c r="D778" s="3" t="str">
        <f>IF(_xlfn.XLOOKUP(Purchases[[#This Row],[Product Name]],Inventory[Product Name],Inventory[Product ID])="","",_xlfn.XLOOKUP(Purchases[[#This Row],[Product Name]],Inventory[Product Name],Inventory[Product ID]))</f>
        <v/>
      </c>
      <c r="H778" t="str">
        <f t="shared" si="12"/>
        <v/>
      </c>
    </row>
    <row r="779" spans="4:8">
      <c r="D779" s="3" t="str">
        <f>IF(_xlfn.XLOOKUP(Purchases[[#This Row],[Product Name]],Inventory[Product Name],Inventory[Product ID])="","",_xlfn.XLOOKUP(Purchases[[#This Row],[Product Name]],Inventory[Product Name],Inventory[Product ID]))</f>
        <v/>
      </c>
      <c r="H779" t="str">
        <f t="shared" si="12"/>
        <v/>
      </c>
    </row>
    <row r="780" spans="4:8">
      <c r="D780" s="3" t="str">
        <f>IF(_xlfn.XLOOKUP(Purchases[[#This Row],[Product Name]],Inventory[Product Name],Inventory[Product ID])="","",_xlfn.XLOOKUP(Purchases[[#This Row],[Product Name]],Inventory[Product Name],Inventory[Product ID]))</f>
        <v/>
      </c>
      <c r="H780" t="str">
        <f t="shared" si="12"/>
        <v/>
      </c>
    </row>
    <row r="781" spans="4:8">
      <c r="D781" s="3" t="str">
        <f>IF(_xlfn.XLOOKUP(Purchases[[#This Row],[Product Name]],Inventory[Product Name],Inventory[Product ID])="","",_xlfn.XLOOKUP(Purchases[[#This Row],[Product Name]],Inventory[Product Name],Inventory[Product ID]))</f>
        <v/>
      </c>
      <c r="H781" t="str">
        <f t="shared" si="12"/>
        <v/>
      </c>
    </row>
    <row r="782" spans="4:8">
      <c r="D782" s="3" t="str">
        <f>IF(_xlfn.XLOOKUP(Purchases[[#This Row],[Product Name]],Inventory[Product Name],Inventory[Product ID])="","",_xlfn.XLOOKUP(Purchases[[#This Row],[Product Name]],Inventory[Product Name],Inventory[Product ID]))</f>
        <v/>
      </c>
      <c r="H782" t="str">
        <f t="shared" si="12"/>
        <v/>
      </c>
    </row>
    <row r="783" spans="4:8">
      <c r="D783" s="3" t="str">
        <f>IF(_xlfn.XLOOKUP(Purchases[[#This Row],[Product Name]],Inventory[Product Name],Inventory[Product ID])="","",_xlfn.XLOOKUP(Purchases[[#This Row],[Product Name]],Inventory[Product Name],Inventory[Product ID]))</f>
        <v/>
      </c>
      <c r="H783" t="str">
        <f t="shared" si="12"/>
        <v/>
      </c>
    </row>
    <row r="784" spans="4:8">
      <c r="D784" s="3" t="str">
        <f>IF(_xlfn.XLOOKUP(Purchases[[#This Row],[Product Name]],Inventory[Product Name],Inventory[Product ID])="","",_xlfn.XLOOKUP(Purchases[[#This Row],[Product Name]],Inventory[Product Name],Inventory[Product ID]))</f>
        <v/>
      </c>
      <c r="H784" t="str">
        <f t="shared" si="12"/>
        <v/>
      </c>
    </row>
    <row r="785" spans="4:8">
      <c r="D785" s="3" t="str">
        <f>IF(_xlfn.XLOOKUP(Purchases[[#This Row],[Product Name]],Inventory[Product Name],Inventory[Product ID])="","",_xlfn.XLOOKUP(Purchases[[#This Row],[Product Name]],Inventory[Product Name],Inventory[Product ID]))</f>
        <v/>
      </c>
      <c r="H785" t="str">
        <f t="shared" si="12"/>
        <v/>
      </c>
    </row>
    <row r="786" spans="4:8">
      <c r="D786" s="3" t="str">
        <f>IF(_xlfn.XLOOKUP(Purchases[[#This Row],[Product Name]],Inventory[Product Name],Inventory[Product ID])="","",_xlfn.XLOOKUP(Purchases[[#This Row],[Product Name]],Inventory[Product Name],Inventory[Product ID]))</f>
        <v/>
      </c>
      <c r="H786" t="str">
        <f t="shared" si="12"/>
        <v/>
      </c>
    </row>
    <row r="787" spans="4:8">
      <c r="D787" s="3" t="str">
        <f>IF(_xlfn.XLOOKUP(Purchases[[#This Row],[Product Name]],Inventory[Product Name],Inventory[Product ID])="","",_xlfn.XLOOKUP(Purchases[[#This Row],[Product Name]],Inventory[Product Name],Inventory[Product ID]))</f>
        <v/>
      </c>
      <c r="H787" t="str">
        <f t="shared" si="12"/>
        <v/>
      </c>
    </row>
    <row r="788" spans="4:8">
      <c r="D788" s="3" t="str">
        <f>IF(_xlfn.XLOOKUP(Purchases[[#This Row],[Product Name]],Inventory[Product Name],Inventory[Product ID])="","",_xlfn.XLOOKUP(Purchases[[#This Row],[Product Name]],Inventory[Product Name],Inventory[Product ID]))</f>
        <v/>
      </c>
      <c r="H788" t="str">
        <f t="shared" si="12"/>
        <v/>
      </c>
    </row>
    <row r="789" spans="4:8">
      <c r="D789" s="3" t="str">
        <f>IF(_xlfn.XLOOKUP(Purchases[[#This Row],[Product Name]],Inventory[Product Name],Inventory[Product ID])="","",_xlfn.XLOOKUP(Purchases[[#This Row],[Product Name]],Inventory[Product Name],Inventory[Product ID]))</f>
        <v/>
      </c>
      <c r="H789" t="str">
        <f t="shared" si="12"/>
        <v/>
      </c>
    </row>
    <row r="790" spans="4:8">
      <c r="D790" s="3" t="str">
        <f>IF(_xlfn.XLOOKUP(Purchases[[#This Row],[Product Name]],Inventory[Product Name],Inventory[Product ID])="","",_xlfn.XLOOKUP(Purchases[[#This Row],[Product Name]],Inventory[Product Name],Inventory[Product ID]))</f>
        <v/>
      </c>
      <c r="H790" t="str">
        <f t="shared" si="12"/>
        <v/>
      </c>
    </row>
    <row r="791" spans="4:8">
      <c r="D791" s="3" t="str">
        <f>IF(_xlfn.XLOOKUP(Purchases[[#This Row],[Product Name]],Inventory[Product Name],Inventory[Product ID])="","",_xlfn.XLOOKUP(Purchases[[#This Row],[Product Name]],Inventory[Product Name],Inventory[Product ID]))</f>
        <v/>
      </c>
      <c r="H791" t="str">
        <f t="shared" si="12"/>
        <v/>
      </c>
    </row>
    <row r="792" spans="4:8">
      <c r="D792" s="3" t="str">
        <f>IF(_xlfn.XLOOKUP(Purchases[[#This Row],[Product Name]],Inventory[Product Name],Inventory[Product ID])="","",_xlfn.XLOOKUP(Purchases[[#This Row],[Product Name]],Inventory[Product Name],Inventory[Product ID]))</f>
        <v/>
      </c>
      <c r="H792" t="str">
        <f t="shared" si="12"/>
        <v/>
      </c>
    </row>
    <row r="793" spans="4:8">
      <c r="D793" s="3" t="str">
        <f>IF(_xlfn.XLOOKUP(Purchases[[#This Row],[Product Name]],Inventory[Product Name],Inventory[Product ID])="","",_xlfn.XLOOKUP(Purchases[[#This Row],[Product Name]],Inventory[Product Name],Inventory[Product ID]))</f>
        <v/>
      </c>
      <c r="H793" t="str">
        <f t="shared" si="12"/>
        <v/>
      </c>
    </row>
    <row r="794" spans="4:8">
      <c r="D794" s="3" t="str">
        <f>IF(_xlfn.XLOOKUP(Purchases[[#This Row],[Product Name]],Inventory[Product Name],Inventory[Product ID])="","",_xlfn.XLOOKUP(Purchases[[#This Row],[Product Name]],Inventory[Product Name],Inventory[Product ID]))</f>
        <v/>
      </c>
      <c r="H794" t="str">
        <f t="shared" si="12"/>
        <v/>
      </c>
    </row>
    <row r="795" spans="4:8">
      <c r="D795" s="3" t="str">
        <f>IF(_xlfn.XLOOKUP(Purchases[[#This Row],[Product Name]],Inventory[Product Name],Inventory[Product ID])="","",_xlfn.XLOOKUP(Purchases[[#This Row],[Product Name]],Inventory[Product Name],Inventory[Product ID]))</f>
        <v/>
      </c>
      <c r="H795" t="str">
        <f t="shared" si="12"/>
        <v/>
      </c>
    </row>
    <row r="796" spans="4:8">
      <c r="D796" s="3" t="str">
        <f>IF(_xlfn.XLOOKUP(Purchases[[#This Row],[Product Name]],Inventory[Product Name],Inventory[Product ID])="","",_xlfn.XLOOKUP(Purchases[[#This Row],[Product Name]],Inventory[Product Name],Inventory[Product ID]))</f>
        <v/>
      </c>
      <c r="H796" t="str">
        <f t="shared" si="12"/>
        <v/>
      </c>
    </row>
    <row r="797" spans="4:8">
      <c r="D797" s="3" t="str">
        <f>IF(_xlfn.XLOOKUP(Purchases[[#This Row],[Product Name]],Inventory[Product Name],Inventory[Product ID])="","",_xlfn.XLOOKUP(Purchases[[#This Row],[Product Name]],Inventory[Product Name],Inventory[Product ID]))</f>
        <v/>
      </c>
      <c r="H797" t="str">
        <f t="shared" si="12"/>
        <v/>
      </c>
    </row>
    <row r="798" spans="4:8">
      <c r="D798" s="3" t="str">
        <f>IF(_xlfn.XLOOKUP(Purchases[[#This Row],[Product Name]],Inventory[Product Name],Inventory[Product ID])="","",_xlfn.XLOOKUP(Purchases[[#This Row],[Product Name]],Inventory[Product Name],Inventory[Product ID]))</f>
        <v/>
      </c>
      <c r="H798" t="str">
        <f t="shared" si="12"/>
        <v/>
      </c>
    </row>
    <row r="799" spans="4:8">
      <c r="D799" s="3" t="str">
        <f>IF(_xlfn.XLOOKUP(Purchases[[#This Row],[Product Name]],Inventory[Product Name],Inventory[Product ID])="","",_xlfn.XLOOKUP(Purchases[[#This Row],[Product Name]],Inventory[Product Name],Inventory[Product ID]))</f>
        <v/>
      </c>
      <c r="H799" t="str">
        <f t="shared" si="12"/>
        <v/>
      </c>
    </row>
    <row r="800" spans="4:8">
      <c r="D800" s="3" t="str">
        <f>IF(_xlfn.XLOOKUP(Purchases[[#This Row],[Product Name]],Inventory[Product Name],Inventory[Product ID])="","",_xlfn.XLOOKUP(Purchases[[#This Row],[Product Name]],Inventory[Product Name],Inventory[Product ID]))</f>
        <v/>
      </c>
      <c r="H800" t="str">
        <f t="shared" si="12"/>
        <v/>
      </c>
    </row>
    <row r="801" spans="4:8">
      <c r="D801" s="3" t="str">
        <f>IF(_xlfn.XLOOKUP(Purchases[[#This Row],[Product Name]],Inventory[Product Name],Inventory[Product ID])="","",_xlfn.XLOOKUP(Purchases[[#This Row],[Product Name]],Inventory[Product Name],Inventory[Product ID]))</f>
        <v/>
      </c>
      <c r="H801" t="str">
        <f t="shared" si="12"/>
        <v/>
      </c>
    </row>
    <row r="802" spans="4:8">
      <c r="D802" s="3" t="str">
        <f>IF(_xlfn.XLOOKUP(Purchases[[#This Row],[Product Name]],Inventory[Product Name],Inventory[Product ID])="","",_xlfn.XLOOKUP(Purchases[[#This Row],[Product Name]],Inventory[Product Name],Inventory[Product ID]))</f>
        <v/>
      </c>
      <c r="H802" t="str">
        <f t="shared" si="12"/>
        <v/>
      </c>
    </row>
    <row r="803" spans="4:8">
      <c r="D803" s="3" t="str">
        <f>IF(_xlfn.XLOOKUP(Purchases[[#This Row],[Product Name]],Inventory[Product Name],Inventory[Product ID])="","",_xlfn.XLOOKUP(Purchases[[#This Row],[Product Name]],Inventory[Product Name],Inventory[Product ID]))</f>
        <v/>
      </c>
      <c r="H803" t="str">
        <f t="shared" si="12"/>
        <v/>
      </c>
    </row>
    <row r="804" spans="4:8">
      <c r="D804" s="3" t="str">
        <f>IF(_xlfn.XLOOKUP(Purchases[[#This Row],[Product Name]],Inventory[Product Name],Inventory[Product ID])="","",_xlfn.XLOOKUP(Purchases[[#This Row],[Product Name]],Inventory[Product Name],Inventory[Product ID]))</f>
        <v/>
      </c>
      <c r="H804" t="str">
        <f t="shared" si="12"/>
        <v/>
      </c>
    </row>
    <row r="805" spans="4:8">
      <c r="D805" s="3" t="str">
        <f>IF(_xlfn.XLOOKUP(Purchases[[#This Row],[Product Name]],Inventory[Product Name],Inventory[Product ID])="","",_xlfn.XLOOKUP(Purchases[[#This Row],[Product Name]],Inventory[Product Name],Inventory[Product ID]))</f>
        <v/>
      </c>
      <c r="H805" t="str">
        <f t="shared" si="12"/>
        <v/>
      </c>
    </row>
    <row r="806" spans="4:8">
      <c r="D806" s="3" t="str">
        <f>IF(_xlfn.XLOOKUP(Purchases[[#This Row],[Product Name]],Inventory[Product Name],Inventory[Product ID])="","",_xlfn.XLOOKUP(Purchases[[#This Row],[Product Name]],Inventory[Product Name],Inventory[Product ID]))</f>
        <v/>
      </c>
      <c r="H806" t="str">
        <f t="shared" si="12"/>
        <v/>
      </c>
    </row>
    <row r="807" spans="4:8">
      <c r="D807" s="3" t="str">
        <f>IF(_xlfn.XLOOKUP(Purchases[[#This Row],[Product Name]],Inventory[Product Name],Inventory[Product ID])="","",_xlfn.XLOOKUP(Purchases[[#This Row],[Product Name]],Inventory[Product Name],Inventory[Product ID]))</f>
        <v/>
      </c>
      <c r="H807" t="str">
        <f t="shared" si="12"/>
        <v/>
      </c>
    </row>
    <row r="808" spans="4:8">
      <c r="D808" s="3" t="str">
        <f>IF(_xlfn.XLOOKUP(Purchases[[#This Row],[Product Name]],Inventory[Product Name],Inventory[Product ID])="","",_xlfn.XLOOKUP(Purchases[[#This Row],[Product Name]],Inventory[Product Name],Inventory[Product ID]))</f>
        <v/>
      </c>
      <c r="H808" t="str">
        <f t="shared" si="12"/>
        <v/>
      </c>
    </row>
    <row r="809" spans="4:8">
      <c r="D809" s="3" t="str">
        <f>IF(_xlfn.XLOOKUP(Purchases[[#This Row],[Product Name]],Inventory[Product Name],Inventory[Product ID])="","",_xlfn.XLOOKUP(Purchases[[#This Row],[Product Name]],Inventory[Product Name],Inventory[Product ID]))</f>
        <v/>
      </c>
      <c r="H809" t="str">
        <f t="shared" si="12"/>
        <v/>
      </c>
    </row>
    <row r="810" spans="4:8">
      <c r="D810" s="3" t="str">
        <f>IF(_xlfn.XLOOKUP(Purchases[[#This Row],[Product Name]],Inventory[Product Name],Inventory[Product ID])="","",_xlfn.XLOOKUP(Purchases[[#This Row],[Product Name]],Inventory[Product Name],Inventory[Product ID]))</f>
        <v/>
      </c>
      <c r="H810" t="str">
        <f t="shared" si="12"/>
        <v/>
      </c>
    </row>
    <row r="811" spans="4:8">
      <c r="D811" s="3" t="str">
        <f>IF(_xlfn.XLOOKUP(Purchases[[#This Row],[Product Name]],Inventory[Product Name],Inventory[Product ID])="","",_xlfn.XLOOKUP(Purchases[[#This Row],[Product Name]],Inventory[Product Name],Inventory[Product ID]))</f>
        <v/>
      </c>
      <c r="H811" t="str">
        <f t="shared" si="12"/>
        <v/>
      </c>
    </row>
    <row r="812" spans="4:8">
      <c r="D812" s="3" t="str">
        <f>IF(_xlfn.XLOOKUP(Purchases[[#This Row],[Product Name]],Inventory[Product Name],Inventory[Product ID])="","",_xlfn.XLOOKUP(Purchases[[#This Row],[Product Name]],Inventory[Product Name],Inventory[Product ID]))</f>
        <v/>
      </c>
      <c r="H812" t="str">
        <f t="shared" si="12"/>
        <v/>
      </c>
    </row>
    <row r="813" spans="4:8">
      <c r="D813" s="3" t="str">
        <f>IF(_xlfn.XLOOKUP(Purchases[[#This Row],[Product Name]],Inventory[Product Name],Inventory[Product ID])="","",_xlfn.XLOOKUP(Purchases[[#This Row],[Product Name]],Inventory[Product Name],Inventory[Product ID]))</f>
        <v/>
      </c>
      <c r="H813" t="str">
        <f t="shared" si="12"/>
        <v/>
      </c>
    </row>
    <row r="814" spans="4:8">
      <c r="D814" s="3" t="str">
        <f>IF(_xlfn.XLOOKUP(Purchases[[#This Row],[Product Name]],Inventory[Product Name],Inventory[Product ID])="","",_xlfn.XLOOKUP(Purchases[[#This Row],[Product Name]],Inventory[Product Name],Inventory[Product ID]))</f>
        <v/>
      </c>
      <c r="H814" t="str">
        <f t="shared" si="12"/>
        <v/>
      </c>
    </row>
    <row r="815" spans="4:8">
      <c r="D815" s="3" t="str">
        <f>IF(_xlfn.XLOOKUP(Purchases[[#This Row],[Product Name]],Inventory[Product Name],Inventory[Product ID])="","",_xlfn.XLOOKUP(Purchases[[#This Row],[Product Name]],Inventory[Product Name],Inventory[Product ID]))</f>
        <v/>
      </c>
      <c r="H815" t="str">
        <f t="shared" si="12"/>
        <v/>
      </c>
    </row>
    <row r="816" spans="4:8">
      <c r="D816" s="3" t="str">
        <f>IF(_xlfn.XLOOKUP(Purchases[[#This Row],[Product Name]],Inventory[Product Name],Inventory[Product ID])="","",_xlfn.XLOOKUP(Purchases[[#This Row],[Product Name]],Inventory[Product Name],Inventory[Product ID]))</f>
        <v/>
      </c>
      <c r="H816" t="str">
        <f t="shared" si="12"/>
        <v/>
      </c>
    </row>
    <row r="817" spans="4:8">
      <c r="D817" s="3" t="str">
        <f>IF(_xlfn.XLOOKUP(Purchases[[#This Row],[Product Name]],Inventory[Product Name],Inventory[Product ID])="","",_xlfn.XLOOKUP(Purchases[[#This Row],[Product Name]],Inventory[Product Name],Inventory[Product ID]))</f>
        <v/>
      </c>
      <c r="H817" t="str">
        <f t="shared" si="12"/>
        <v/>
      </c>
    </row>
    <row r="818" spans="4:8">
      <c r="D818" s="3" t="str">
        <f>IF(_xlfn.XLOOKUP(Purchases[[#This Row],[Product Name]],Inventory[Product Name],Inventory[Product ID])="","",_xlfn.XLOOKUP(Purchases[[#This Row],[Product Name]],Inventory[Product Name],Inventory[Product ID]))</f>
        <v/>
      </c>
      <c r="H818" t="str">
        <f t="shared" si="12"/>
        <v/>
      </c>
    </row>
    <row r="819" spans="4:8">
      <c r="D819" s="3" t="str">
        <f>IF(_xlfn.XLOOKUP(Purchases[[#This Row],[Product Name]],Inventory[Product Name],Inventory[Product ID])="","",_xlfn.XLOOKUP(Purchases[[#This Row],[Product Name]],Inventory[Product Name],Inventory[Product ID]))</f>
        <v/>
      </c>
      <c r="H819" t="str">
        <f t="shared" si="12"/>
        <v/>
      </c>
    </row>
    <row r="820" spans="4:8">
      <c r="D820" s="3" t="str">
        <f>IF(_xlfn.XLOOKUP(Purchases[[#This Row],[Product Name]],Inventory[Product Name],Inventory[Product ID])="","",_xlfn.XLOOKUP(Purchases[[#This Row],[Product Name]],Inventory[Product Name],Inventory[Product ID]))</f>
        <v/>
      </c>
      <c r="H820" t="str">
        <f t="shared" si="12"/>
        <v/>
      </c>
    </row>
    <row r="821" spans="4:8">
      <c r="D821" s="3" t="str">
        <f>IF(_xlfn.XLOOKUP(Purchases[[#This Row],[Product Name]],Inventory[Product Name],Inventory[Product ID])="","",_xlfn.XLOOKUP(Purchases[[#This Row],[Product Name]],Inventory[Product Name],Inventory[Product ID]))</f>
        <v/>
      </c>
      <c r="H821" t="str">
        <f t="shared" si="12"/>
        <v/>
      </c>
    </row>
    <row r="822" spans="4:8">
      <c r="D822" s="3" t="str">
        <f>IF(_xlfn.XLOOKUP(Purchases[[#This Row],[Product Name]],Inventory[Product Name],Inventory[Product ID])="","",_xlfn.XLOOKUP(Purchases[[#This Row],[Product Name]],Inventory[Product Name],Inventory[Product ID]))</f>
        <v/>
      </c>
      <c r="H822" t="str">
        <f t="shared" si="12"/>
        <v/>
      </c>
    </row>
    <row r="823" spans="4:8">
      <c r="D823" s="3" t="str">
        <f>IF(_xlfn.XLOOKUP(Purchases[[#This Row],[Product Name]],Inventory[Product Name],Inventory[Product ID])="","",_xlfn.XLOOKUP(Purchases[[#This Row],[Product Name]],Inventory[Product Name],Inventory[Product ID]))</f>
        <v/>
      </c>
      <c r="H823" t="str">
        <f t="shared" si="12"/>
        <v/>
      </c>
    </row>
    <row r="824" spans="4:8">
      <c r="D824" s="3" t="str">
        <f>IF(_xlfn.XLOOKUP(Purchases[[#This Row],[Product Name]],Inventory[Product Name],Inventory[Product ID])="","",_xlfn.XLOOKUP(Purchases[[#This Row],[Product Name]],Inventory[Product Name],Inventory[Product ID]))</f>
        <v/>
      </c>
      <c r="H824" t="str">
        <f t="shared" si="12"/>
        <v/>
      </c>
    </row>
    <row r="825" spans="4:8">
      <c r="D825" s="3" t="str">
        <f>IF(_xlfn.XLOOKUP(Purchases[[#This Row],[Product Name]],Inventory[Product Name],Inventory[Product ID])="","",_xlfn.XLOOKUP(Purchases[[#This Row],[Product Name]],Inventory[Product Name],Inventory[Product ID]))</f>
        <v/>
      </c>
      <c r="H825" t="str">
        <f t="shared" si="12"/>
        <v/>
      </c>
    </row>
    <row r="826" spans="4:8">
      <c r="D826" s="3" t="str">
        <f>IF(_xlfn.XLOOKUP(Purchases[[#This Row],[Product Name]],Inventory[Product Name],Inventory[Product ID])="","",_xlfn.XLOOKUP(Purchases[[#This Row],[Product Name]],Inventory[Product Name],Inventory[Product ID]))</f>
        <v/>
      </c>
      <c r="H826" t="str">
        <f t="shared" si="12"/>
        <v/>
      </c>
    </row>
    <row r="827" spans="4:8">
      <c r="D827" s="3" t="str">
        <f>IF(_xlfn.XLOOKUP(Purchases[[#This Row],[Product Name]],Inventory[Product Name],Inventory[Product ID])="","",_xlfn.XLOOKUP(Purchases[[#This Row],[Product Name]],Inventory[Product Name],Inventory[Product ID]))</f>
        <v/>
      </c>
      <c r="H827" t="str">
        <f t="shared" si="12"/>
        <v/>
      </c>
    </row>
    <row r="828" spans="4:8">
      <c r="D828" s="3" t="str">
        <f>IF(_xlfn.XLOOKUP(Purchases[[#This Row],[Product Name]],Inventory[Product Name],Inventory[Product ID])="","",_xlfn.XLOOKUP(Purchases[[#This Row],[Product Name]],Inventory[Product Name],Inventory[Product ID]))</f>
        <v/>
      </c>
      <c r="H828" t="str">
        <f t="shared" si="12"/>
        <v/>
      </c>
    </row>
    <row r="829" spans="4:8">
      <c r="D829" s="3" t="str">
        <f>IF(_xlfn.XLOOKUP(Purchases[[#This Row],[Product Name]],Inventory[Product Name],Inventory[Product ID])="","",_xlfn.XLOOKUP(Purchases[[#This Row],[Product Name]],Inventory[Product Name],Inventory[Product ID]))</f>
        <v/>
      </c>
      <c r="H829" t="str">
        <f t="shared" si="12"/>
        <v/>
      </c>
    </row>
    <row r="830" spans="4:8">
      <c r="D830" s="3" t="str">
        <f>IF(_xlfn.XLOOKUP(Purchases[[#This Row],[Product Name]],Inventory[Product Name],Inventory[Product ID])="","",_xlfn.XLOOKUP(Purchases[[#This Row],[Product Name]],Inventory[Product Name],Inventory[Product ID]))</f>
        <v/>
      </c>
      <c r="H830" t="str">
        <f t="shared" si="12"/>
        <v/>
      </c>
    </row>
    <row r="831" spans="4:8">
      <c r="D831" s="3" t="str">
        <f>IF(_xlfn.XLOOKUP(Purchases[[#This Row],[Product Name]],Inventory[Product Name],Inventory[Product ID])="","",_xlfn.XLOOKUP(Purchases[[#This Row],[Product Name]],Inventory[Product Name],Inventory[Product ID]))</f>
        <v/>
      </c>
      <c r="H831" t="str">
        <f t="shared" si="12"/>
        <v/>
      </c>
    </row>
    <row r="832" spans="4:8">
      <c r="D832" s="3" t="str">
        <f>IF(_xlfn.XLOOKUP(Purchases[[#This Row],[Product Name]],Inventory[Product Name],Inventory[Product ID])="","",_xlfn.XLOOKUP(Purchases[[#This Row],[Product Name]],Inventory[Product Name],Inventory[Product ID]))</f>
        <v/>
      </c>
      <c r="H832" t="str">
        <f t="shared" si="12"/>
        <v/>
      </c>
    </row>
    <row r="833" spans="4:8">
      <c r="D833" s="3" t="str">
        <f>IF(_xlfn.XLOOKUP(Purchases[[#This Row],[Product Name]],Inventory[Product Name],Inventory[Product ID])="","",_xlfn.XLOOKUP(Purchases[[#This Row],[Product Name]],Inventory[Product Name],Inventory[Product ID]))</f>
        <v/>
      </c>
      <c r="H833" t="str">
        <f t="shared" si="12"/>
        <v/>
      </c>
    </row>
    <row r="834" spans="4:8">
      <c r="D834" s="3" t="str">
        <f>IF(_xlfn.XLOOKUP(Purchases[[#This Row],[Product Name]],Inventory[Product Name],Inventory[Product ID])="","",_xlfn.XLOOKUP(Purchases[[#This Row],[Product Name]],Inventory[Product Name],Inventory[Product ID]))</f>
        <v/>
      </c>
      <c r="H834" t="str">
        <f t="shared" ref="H834:H897" si="13">IF((F834*G834)&lt;&gt;0,F834*G834,"")</f>
        <v/>
      </c>
    </row>
    <row r="835" spans="4:8">
      <c r="D835" s="3" t="str">
        <f>IF(_xlfn.XLOOKUP(Purchases[[#This Row],[Product Name]],Inventory[Product Name],Inventory[Product ID])="","",_xlfn.XLOOKUP(Purchases[[#This Row],[Product Name]],Inventory[Product Name],Inventory[Product ID]))</f>
        <v/>
      </c>
      <c r="H835" t="str">
        <f t="shared" si="13"/>
        <v/>
      </c>
    </row>
    <row r="836" spans="4:8">
      <c r="D836" s="3" t="str">
        <f>IF(_xlfn.XLOOKUP(Purchases[[#This Row],[Product Name]],Inventory[Product Name],Inventory[Product ID])="","",_xlfn.XLOOKUP(Purchases[[#This Row],[Product Name]],Inventory[Product Name],Inventory[Product ID]))</f>
        <v/>
      </c>
      <c r="H836" t="str">
        <f t="shared" si="13"/>
        <v/>
      </c>
    </row>
    <row r="837" spans="4:8">
      <c r="D837" s="3" t="str">
        <f>IF(_xlfn.XLOOKUP(Purchases[[#This Row],[Product Name]],Inventory[Product Name],Inventory[Product ID])="","",_xlfn.XLOOKUP(Purchases[[#This Row],[Product Name]],Inventory[Product Name],Inventory[Product ID]))</f>
        <v/>
      </c>
      <c r="H837" t="str">
        <f t="shared" si="13"/>
        <v/>
      </c>
    </row>
    <row r="838" spans="4:8">
      <c r="D838" s="3" t="str">
        <f>IF(_xlfn.XLOOKUP(Purchases[[#This Row],[Product Name]],Inventory[Product Name],Inventory[Product ID])="","",_xlfn.XLOOKUP(Purchases[[#This Row],[Product Name]],Inventory[Product Name],Inventory[Product ID]))</f>
        <v/>
      </c>
      <c r="H838" t="str">
        <f t="shared" si="13"/>
        <v/>
      </c>
    </row>
    <row r="839" spans="4:8">
      <c r="D839" s="3" t="str">
        <f>IF(_xlfn.XLOOKUP(Purchases[[#This Row],[Product Name]],Inventory[Product Name],Inventory[Product ID])="","",_xlfn.XLOOKUP(Purchases[[#This Row],[Product Name]],Inventory[Product Name],Inventory[Product ID]))</f>
        <v/>
      </c>
      <c r="H839" t="str">
        <f t="shared" si="13"/>
        <v/>
      </c>
    </row>
    <row r="840" spans="4:8">
      <c r="D840" s="3" t="str">
        <f>IF(_xlfn.XLOOKUP(Purchases[[#This Row],[Product Name]],Inventory[Product Name],Inventory[Product ID])="","",_xlfn.XLOOKUP(Purchases[[#This Row],[Product Name]],Inventory[Product Name],Inventory[Product ID]))</f>
        <v/>
      </c>
      <c r="H840" t="str">
        <f t="shared" si="13"/>
        <v/>
      </c>
    </row>
    <row r="841" spans="4:8">
      <c r="D841" s="3" t="str">
        <f>IF(_xlfn.XLOOKUP(Purchases[[#This Row],[Product Name]],Inventory[Product Name],Inventory[Product ID])="","",_xlfn.XLOOKUP(Purchases[[#This Row],[Product Name]],Inventory[Product Name],Inventory[Product ID]))</f>
        <v/>
      </c>
      <c r="H841" t="str">
        <f t="shared" si="13"/>
        <v/>
      </c>
    </row>
    <row r="842" spans="4:8">
      <c r="D842" s="3" t="str">
        <f>IF(_xlfn.XLOOKUP(Purchases[[#This Row],[Product Name]],Inventory[Product Name],Inventory[Product ID])="","",_xlfn.XLOOKUP(Purchases[[#This Row],[Product Name]],Inventory[Product Name],Inventory[Product ID]))</f>
        <v/>
      </c>
      <c r="H842" t="str">
        <f t="shared" si="13"/>
        <v/>
      </c>
    </row>
    <row r="843" spans="4:8">
      <c r="D843" s="3" t="str">
        <f>IF(_xlfn.XLOOKUP(Purchases[[#This Row],[Product Name]],Inventory[Product Name],Inventory[Product ID])="","",_xlfn.XLOOKUP(Purchases[[#This Row],[Product Name]],Inventory[Product Name],Inventory[Product ID]))</f>
        <v/>
      </c>
      <c r="H843" t="str">
        <f t="shared" si="13"/>
        <v/>
      </c>
    </row>
    <row r="844" spans="4:8">
      <c r="D844" s="3" t="str">
        <f>IF(_xlfn.XLOOKUP(Purchases[[#This Row],[Product Name]],Inventory[Product Name],Inventory[Product ID])="","",_xlfn.XLOOKUP(Purchases[[#This Row],[Product Name]],Inventory[Product Name],Inventory[Product ID]))</f>
        <v/>
      </c>
      <c r="H844" t="str">
        <f t="shared" si="13"/>
        <v/>
      </c>
    </row>
    <row r="845" spans="4:8">
      <c r="D845" s="3" t="str">
        <f>IF(_xlfn.XLOOKUP(Purchases[[#This Row],[Product Name]],Inventory[Product Name],Inventory[Product ID])="","",_xlfn.XLOOKUP(Purchases[[#This Row],[Product Name]],Inventory[Product Name],Inventory[Product ID]))</f>
        <v/>
      </c>
      <c r="H845" t="str">
        <f t="shared" si="13"/>
        <v/>
      </c>
    </row>
    <row r="846" spans="4:8">
      <c r="D846" s="3" t="str">
        <f>IF(_xlfn.XLOOKUP(Purchases[[#This Row],[Product Name]],Inventory[Product Name],Inventory[Product ID])="","",_xlfn.XLOOKUP(Purchases[[#This Row],[Product Name]],Inventory[Product Name],Inventory[Product ID]))</f>
        <v/>
      </c>
      <c r="H846" t="str">
        <f t="shared" si="13"/>
        <v/>
      </c>
    </row>
    <row r="847" spans="4:8">
      <c r="D847" s="3" t="str">
        <f>IF(_xlfn.XLOOKUP(Purchases[[#This Row],[Product Name]],Inventory[Product Name],Inventory[Product ID])="","",_xlfn.XLOOKUP(Purchases[[#This Row],[Product Name]],Inventory[Product Name],Inventory[Product ID]))</f>
        <v/>
      </c>
      <c r="H847" t="str">
        <f t="shared" si="13"/>
        <v/>
      </c>
    </row>
    <row r="848" spans="4:8">
      <c r="D848" s="3" t="str">
        <f>IF(_xlfn.XLOOKUP(Purchases[[#This Row],[Product Name]],Inventory[Product Name],Inventory[Product ID])="","",_xlfn.XLOOKUP(Purchases[[#This Row],[Product Name]],Inventory[Product Name],Inventory[Product ID]))</f>
        <v/>
      </c>
      <c r="H848" t="str">
        <f t="shared" si="13"/>
        <v/>
      </c>
    </row>
    <row r="849" spans="4:8">
      <c r="D849" s="3" t="str">
        <f>IF(_xlfn.XLOOKUP(Purchases[[#This Row],[Product Name]],Inventory[Product Name],Inventory[Product ID])="","",_xlfn.XLOOKUP(Purchases[[#This Row],[Product Name]],Inventory[Product Name],Inventory[Product ID]))</f>
        <v/>
      </c>
      <c r="H849" t="str">
        <f t="shared" si="13"/>
        <v/>
      </c>
    </row>
    <row r="850" spans="4:8">
      <c r="D850" s="3" t="str">
        <f>IF(_xlfn.XLOOKUP(Purchases[[#This Row],[Product Name]],Inventory[Product Name],Inventory[Product ID])="","",_xlfn.XLOOKUP(Purchases[[#This Row],[Product Name]],Inventory[Product Name],Inventory[Product ID]))</f>
        <v/>
      </c>
      <c r="H850" t="str">
        <f t="shared" si="13"/>
        <v/>
      </c>
    </row>
    <row r="851" spans="4:8">
      <c r="D851" s="3" t="str">
        <f>IF(_xlfn.XLOOKUP(Purchases[[#This Row],[Product Name]],Inventory[Product Name],Inventory[Product ID])="","",_xlfn.XLOOKUP(Purchases[[#This Row],[Product Name]],Inventory[Product Name],Inventory[Product ID]))</f>
        <v/>
      </c>
      <c r="H851" t="str">
        <f t="shared" si="13"/>
        <v/>
      </c>
    </row>
    <row r="852" spans="4:8">
      <c r="D852" s="3" t="str">
        <f>IF(_xlfn.XLOOKUP(Purchases[[#This Row],[Product Name]],Inventory[Product Name],Inventory[Product ID])="","",_xlfn.XLOOKUP(Purchases[[#This Row],[Product Name]],Inventory[Product Name],Inventory[Product ID]))</f>
        <v/>
      </c>
      <c r="H852" t="str">
        <f t="shared" si="13"/>
        <v/>
      </c>
    </row>
    <row r="853" spans="4:8">
      <c r="D853" s="3" t="str">
        <f>IF(_xlfn.XLOOKUP(Purchases[[#This Row],[Product Name]],Inventory[Product Name],Inventory[Product ID])="","",_xlfn.XLOOKUP(Purchases[[#This Row],[Product Name]],Inventory[Product Name],Inventory[Product ID]))</f>
        <v/>
      </c>
      <c r="H853" t="str">
        <f t="shared" si="13"/>
        <v/>
      </c>
    </row>
    <row r="854" spans="4:8">
      <c r="D854" s="3" t="str">
        <f>IF(_xlfn.XLOOKUP(Purchases[[#This Row],[Product Name]],Inventory[Product Name],Inventory[Product ID])="","",_xlfn.XLOOKUP(Purchases[[#This Row],[Product Name]],Inventory[Product Name],Inventory[Product ID]))</f>
        <v/>
      </c>
      <c r="H854" t="str">
        <f t="shared" si="13"/>
        <v/>
      </c>
    </row>
    <row r="855" spans="4:8">
      <c r="D855" s="3" t="str">
        <f>IF(_xlfn.XLOOKUP(Purchases[[#This Row],[Product Name]],Inventory[Product Name],Inventory[Product ID])="","",_xlfn.XLOOKUP(Purchases[[#This Row],[Product Name]],Inventory[Product Name],Inventory[Product ID]))</f>
        <v/>
      </c>
      <c r="H855" t="str">
        <f t="shared" si="13"/>
        <v/>
      </c>
    </row>
    <row r="856" spans="4:8">
      <c r="D856" s="3" t="str">
        <f>IF(_xlfn.XLOOKUP(Purchases[[#This Row],[Product Name]],Inventory[Product Name],Inventory[Product ID])="","",_xlfn.XLOOKUP(Purchases[[#This Row],[Product Name]],Inventory[Product Name],Inventory[Product ID]))</f>
        <v/>
      </c>
      <c r="H856" t="str">
        <f t="shared" si="13"/>
        <v/>
      </c>
    </row>
    <row r="857" spans="4:8">
      <c r="D857" s="3" t="str">
        <f>IF(_xlfn.XLOOKUP(Purchases[[#This Row],[Product Name]],Inventory[Product Name],Inventory[Product ID])="","",_xlfn.XLOOKUP(Purchases[[#This Row],[Product Name]],Inventory[Product Name],Inventory[Product ID]))</f>
        <v/>
      </c>
      <c r="H857" t="str">
        <f t="shared" si="13"/>
        <v/>
      </c>
    </row>
    <row r="858" spans="4:8">
      <c r="D858" s="3" t="str">
        <f>IF(_xlfn.XLOOKUP(Purchases[[#This Row],[Product Name]],Inventory[Product Name],Inventory[Product ID])="","",_xlfn.XLOOKUP(Purchases[[#This Row],[Product Name]],Inventory[Product Name],Inventory[Product ID]))</f>
        <v/>
      </c>
      <c r="H858" t="str">
        <f t="shared" si="13"/>
        <v/>
      </c>
    </row>
    <row r="859" spans="4:8">
      <c r="D859" s="3" t="str">
        <f>IF(_xlfn.XLOOKUP(Purchases[[#This Row],[Product Name]],Inventory[Product Name],Inventory[Product ID])="","",_xlfn.XLOOKUP(Purchases[[#This Row],[Product Name]],Inventory[Product Name],Inventory[Product ID]))</f>
        <v/>
      </c>
      <c r="H859" t="str">
        <f t="shared" si="13"/>
        <v/>
      </c>
    </row>
    <row r="860" spans="4:8">
      <c r="D860" s="3" t="str">
        <f>IF(_xlfn.XLOOKUP(Purchases[[#This Row],[Product Name]],Inventory[Product Name],Inventory[Product ID])="","",_xlfn.XLOOKUP(Purchases[[#This Row],[Product Name]],Inventory[Product Name],Inventory[Product ID]))</f>
        <v/>
      </c>
      <c r="H860" t="str">
        <f t="shared" si="13"/>
        <v/>
      </c>
    </row>
    <row r="861" spans="4:8">
      <c r="D861" s="3" t="str">
        <f>IF(_xlfn.XLOOKUP(Purchases[[#This Row],[Product Name]],Inventory[Product Name],Inventory[Product ID])="","",_xlfn.XLOOKUP(Purchases[[#This Row],[Product Name]],Inventory[Product Name],Inventory[Product ID]))</f>
        <v/>
      </c>
      <c r="H861" t="str">
        <f t="shared" si="13"/>
        <v/>
      </c>
    </row>
    <row r="862" spans="4:8">
      <c r="D862" s="3" t="str">
        <f>IF(_xlfn.XLOOKUP(Purchases[[#This Row],[Product Name]],Inventory[Product Name],Inventory[Product ID])="","",_xlfn.XLOOKUP(Purchases[[#This Row],[Product Name]],Inventory[Product Name],Inventory[Product ID]))</f>
        <v/>
      </c>
      <c r="H862" t="str">
        <f t="shared" si="13"/>
        <v/>
      </c>
    </row>
    <row r="863" spans="4:8">
      <c r="D863" s="3" t="str">
        <f>IF(_xlfn.XLOOKUP(Purchases[[#This Row],[Product Name]],Inventory[Product Name],Inventory[Product ID])="","",_xlfn.XLOOKUP(Purchases[[#This Row],[Product Name]],Inventory[Product Name],Inventory[Product ID]))</f>
        <v/>
      </c>
      <c r="H863" t="str">
        <f t="shared" si="13"/>
        <v/>
      </c>
    </row>
    <row r="864" spans="4:8">
      <c r="D864" s="3" t="str">
        <f>IF(_xlfn.XLOOKUP(Purchases[[#This Row],[Product Name]],Inventory[Product Name],Inventory[Product ID])="","",_xlfn.XLOOKUP(Purchases[[#This Row],[Product Name]],Inventory[Product Name],Inventory[Product ID]))</f>
        <v/>
      </c>
      <c r="H864" t="str">
        <f t="shared" si="13"/>
        <v/>
      </c>
    </row>
    <row r="865" spans="4:8">
      <c r="D865" s="3" t="str">
        <f>IF(_xlfn.XLOOKUP(Purchases[[#This Row],[Product Name]],Inventory[Product Name],Inventory[Product ID])="","",_xlfn.XLOOKUP(Purchases[[#This Row],[Product Name]],Inventory[Product Name],Inventory[Product ID]))</f>
        <v/>
      </c>
      <c r="H865" t="str">
        <f t="shared" si="13"/>
        <v/>
      </c>
    </row>
    <row r="866" spans="4:8">
      <c r="D866" s="3" t="str">
        <f>IF(_xlfn.XLOOKUP(Purchases[[#This Row],[Product Name]],Inventory[Product Name],Inventory[Product ID])="","",_xlfn.XLOOKUP(Purchases[[#This Row],[Product Name]],Inventory[Product Name],Inventory[Product ID]))</f>
        <v/>
      </c>
      <c r="H866" t="str">
        <f t="shared" si="13"/>
        <v/>
      </c>
    </row>
    <row r="867" spans="4:8">
      <c r="D867" s="3" t="str">
        <f>IF(_xlfn.XLOOKUP(Purchases[[#This Row],[Product Name]],Inventory[Product Name],Inventory[Product ID])="","",_xlfn.XLOOKUP(Purchases[[#This Row],[Product Name]],Inventory[Product Name],Inventory[Product ID]))</f>
        <v/>
      </c>
      <c r="H867" t="str">
        <f t="shared" si="13"/>
        <v/>
      </c>
    </row>
    <row r="868" spans="4:8">
      <c r="D868" s="3" t="str">
        <f>IF(_xlfn.XLOOKUP(Purchases[[#This Row],[Product Name]],Inventory[Product Name],Inventory[Product ID])="","",_xlfn.XLOOKUP(Purchases[[#This Row],[Product Name]],Inventory[Product Name],Inventory[Product ID]))</f>
        <v/>
      </c>
      <c r="H868" t="str">
        <f t="shared" si="13"/>
        <v/>
      </c>
    </row>
    <row r="869" spans="4:8">
      <c r="D869" s="3" t="str">
        <f>IF(_xlfn.XLOOKUP(Purchases[[#This Row],[Product Name]],Inventory[Product Name],Inventory[Product ID])="","",_xlfn.XLOOKUP(Purchases[[#This Row],[Product Name]],Inventory[Product Name],Inventory[Product ID]))</f>
        <v/>
      </c>
      <c r="H869" t="str">
        <f t="shared" si="13"/>
        <v/>
      </c>
    </row>
    <row r="870" spans="4:8">
      <c r="D870" s="3" t="str">
        <f>IF(_xlfn.XLOOKUP(Purchases[[#This Row],[Product Name]],Inventory[Product Name],Inventory[Product ID])="","",_xlfn.XLOOKUP(Purchases[[#This Row],[Product Name]],Inventory[Product Name],Inventory[Product ID]))</f>
        <v/>
      </c>
      <c r="H870" t="str">
        <f t="shared" si="13"/>
        <v/>
      </c>
    </row>
    <row r="871" spans="4:8">
      <c r="D871" s="3" t="str">
        <f>IF(_xlfn.XLOOKUP(Purchases[[#This Row],[Product Name]],Inventory[Product Name],Inventory[Product ID])="","",_xlfn.XLOOKUP(Purchases[[#This Row],[Product Name]],Inventory[Product Name],Inventory[Product ID]))</f>
        <v/>
      </c>
      <c r="H871" t="str">
        <f t="shared" si="13"/>
        <v/>
      </c>
    </row>
    <row r="872" spans="4:8">
      <c r="D872" s="3" t="str">
        <f>IF(_xlfn.XLOOKUP(Purchases[[#This Row],[Product Name]],Inventory[Product Name],Inventory[Product ID])="","",_xlfn.XLOOKUP(Purchases[[#This Row],[Product Name]],Inventory[Product Name],Inventory[Product ID]))</f>
        <v/>
      </c>
      <c r="H872" t="str">
        <f t="shared" si="13"/>
        <v/>
      </c>
    </row>
    <row r="873" spans="4:8">
      <c r="D873" s="3" t="str">
        <f>IF(_xlfn.XLOOKUP(Purchases[[#This Row],[Product Name]],Inventory[Product Name],Inventory[Product ID])="","",_xlfn.XLOOKUP(Purchases[[#This Row],[Product Name]],Inventory[Product Name],Inventory[Product ID]))</f>
        <v/>
      </c>
      <c r="H873" t="str">
        <f t="shared" si="13"/>
        <v/>
      </c>
    </row>
    <row r="874" spans="4:8">
      <c r="D874" s="3" t="str">
        <f>IF(_xlfn.XLOOKUP(Purchases[[#This Row],[Product Name]],Inventory[Product Name],Inventory[Product ID])="","",_xlfn.XLOOKUP(Purchases[[#This Row],[Product Name]],Inventory[Product Name],Inventory[Product ID]))</f>
        <v/>
      </c>
      <c r="H874" t="str">
        <f t="shared" si="13"/>
        <v/>
      </c>
    </row>
    <row r="875" spans="4:8">
      <c r="D875" s="3" t="str">
        <f>IF(_xlfn.XLOOKUP(Purchases[[#This Row],[Product Name]],Inventory[Product Name],Inventory[Product ID])="","",_xlfn.XLOOKUP(Purchases[[#This Row],[Product Name]],Inventory[Product Name],Inventory[Product ID]))</f>
        <v/>
      </c>
      <c r="H875" t="str">
        <f t="shared" si="13"/>
        <v/>
      </c>
    </row>
    <row r="876" spans="4:8">
      <c r="D876" s="3" t="str">
        <f>IF(_xlfn.XLOOKUP(Purchases[[#This Row],[Product Name]],Inventory[Product Name],Inventory[Product ID])="","",_xlfn.XLOOKUP(Purchases[[#This Row],[Product Name]],Inventory[Product Name],Inventory[Product ID]))</f>
        <v/>
      </c>
      <c r="H876" t="str">
        <f t="shared" si="13"/>
        <v/>
      </c>
    </row>
    <row r="877" spans="4:8">
      <c r="D877" s="3" t="str">
        <f>IF(_xlfn.XLOOKUP(Purchases[[#This Row],[Product Name]],Inventory[Product Name],Inventory[Product ID])="","",_xlfn.XLOOKUP(Purchases[[#This Row],[Product Name]],Inventory[Product Name],Inventory[Product ID]))</f>
        <v/>
      </c>
      <c r="H877" t="str">
        <f t="shared" si="13"/>
        <v/>
      </c>
    </row>
    <row r="878" spans="4:8">
      <c r="D878" s="3" t="str">
        <f>IF(_xlfn.XLOOKUP(Purchases[[#This Row],[Product Name]],Inventory[Product Name],Inventory[Product ID])="","",_xlfn.XLOOKUP(Purchases[[#This Row],[Product Name]],Inventory[Product Name],Inventory[Product ID]))</f>
        <v/>
      </c>
      <c r="H878" t="str">
        <f t="shared" si="13"/>
        <v/>
      </c>
    </row>
    <row r="879" spans="4:8">
      <c r="D879" s="3" t="str">
        <f>IF(_xlfn.XLOOKUP(Purchases[[#This Row],[Product Name]],Inventory[Product Name],Inventory[Product ID])="","",_xlfn.XLOOKUP(Purchases[[#This Row],[Product Name]],Inventory[Product Name],Inventory[Product ID]))</f>
        <v/>
      </c>
      <c r="H879" t="str">
        <f t="shared" si="13"/>
        <v/>
      </c>
    </row>
    <row r="880" spans="4:8">
      <c r="D880" s="3" t="str">
        <f>IF(_xlfn.XLOOKUP(Purchases[[#This Row],[Product Name]],Inventory[Product Name],Inventory[Product ID])="","",_xlfn.XLOOKUP(Purchases[[#This Row],[Product Name]],Inventory[Product Name],Inventory[Product ID]))</f>
        <v/>
      </c>
      <c r="H880" t="str">
        <f t="shared" si="13"/>
        <v/>
      </c>
    </row>
    <row r="881" spans="4:8">
      <c r="D881" s="3" t="str">
        <f>IF(_xlfn.XLOOKUP(Purchases[[#This Row],[Product Name]],Inventory[Product Name],Inventory[Product ID])="","",_xlfn.XLOOKUP(Purchases[[#This Row],[Product Name]],Inventory[Product Name],Inventory[Product ID]))</f>
        <v/>
      </c>
      <c r="H881" t="str">
        <f t="shared" si="13"/>
        <v/>
      </c>
    </row>
    <row r="882" spans="4:8">
      <c r="D882" s="3" t="str">
        <f>IF(_xlfn.XLOOKUP(Purchases[[#This Row],[Product Name]],Inventory[Product Name],Inventory[Product ID])="","",_xlfn.XLOOKUP(Purchases[[#This Row],[Product Name]],Inventory[Product Name],Inventory[Product ID]))</f>
        <v/>
      </c>
      <c r="H882" t="str">
        <f t="shared" si="13"/>
        <v/>
      </c>
    </row>
    <row r="883" spans="4:8">
      <c r="D883" s="3" t="str">
        <f>IF(_xlfn.XLOOKUP(Purchases[[#This Row],[Product Name]],Inventory[Product Name],Inventory[Product ID])="","",_xlfn.XLOOKUP(Purchases[[#This Row],[Product Name]],Inventory[Product Name],Inventory[Product ID]))</f>
        <v/>
      </c>
      <c r="H883" t="str">
        <f t="shared" si="13"/>
        <v/>
      </c>
    </row>
    <row r="884" spans="4:8">
      <c r="D884" s="3" t="str">
        <f>IF(_xlfn.XLOOKUP(Purchases[[#This Row],[Product Name]],Inventory[Product Name],Inventory[Product ID])="","",_xlfn.XLOOKUP(Purchases[[#This Row],[Product Name]],Inventory[Product Name],Inventory[Product ID]))</f>
        <v/>
      </c>
      <c r="H884" t="str">
        <f t="shared" si="13"/>
        <v/>
      </c>
    </row>
    <row r="885" spans="4:8">
      <c r="D885" s="3" t="str">
        <f>IF(_xlfn.XLOOKUP(Purchases[[#This Row],[Product Name]],Inventory[Product Name],Inventory[Product ID])="","",_xlfn.XLOOKUP(Purchases[[#This Row],[Product Name]],Inventory[Product Name],Inventory[Product ID]))</f>
        <v/>
      </c>
      <c r="H885" t="str">
        <f t="shared" si="13"/>
        <v/>
      </c>
    </row>
    <row r="886" spans="4:8">
      <c r="D886" s="3" t="str">
        <f>IF(_xlfn.XLOOKUP(Purchases[[#This Row],[Product Name]],Inventory[Product Name],Inventory[Product ID])="","",_xlfn.XLOOKUP(Purchases[[#This Row],[Product Name]],Inventory[Product Name],Inventory[Product ID]))</f>
        <v/>
      </c>
      <c r="H886" t="str">
        <f t="shared" si="13"/>
        <v/>
      </c>
    </row>
    <row r="887" spans="4:8">
      <c r="D887" s="3" t="str">
        <f>IF(_xlfn.XLOOKUP(Purchases[[#This Row],[Product Name]],Inventory[Product Name],Inventory[Product ID])="","",_xlfn.XLOOKUP(Purchases[[#This Row],[Product Name]],Inventory[Product Name],Inventory[Product ID]))</f>
        <v/>
      </c>
      <c r="H887" t="str">
        <f t="shared" si="13"/>
        <v/>
      </c>
    </row>
    <row r="888" spans="4:8">
      <c r="D888" s="3" t="str">
        <f>IF(_xlfn.XLOOKUP(Purchases[[#This Row],[Product Name]],Inventory[Product Name],Inventory[Product ID])="","",_xlfn.XLOOKUP(Purchases[[#This Row],[Product Name]],Inventory[Product Name],Inventory[Product ID]))</f>
        <v/>
      </c>
      <c r="H888" t="str">
        <f t="shared" si="13"/>
        <v/>
      </c>
    </row>
    <row r="889" spans="4:8">
      <c r="D889" s="3" t="str">
        <f>IF(_xlfn.XLOOKUP(Purchases[[#This Row],[Product Name]],Inventory[Product Name],Inventory[Product ID])="","",_xlfn.XLOOKUP(Purchases[[#This Row],[Product Name]],Inventory[Product Name],Inventory[Product ID]))</f>
        <v/>
      </c>
      <c r="H889" t="str">
        <f t="shared" si="13"/>
        <v/>
      </c>
    </row>
    <row r="890" spans="4:8">
      <c r="D890" s="3" t="str">
        <f>IF(_xlfn.XLOOKUP(Purchases[[#This Row],[Product Name]],Inventory[Product Name],Inventory[Product ID])="","",_xlfn.XLOOKUP(Purchases[[#This Row],[Product Name]],Inventory[Product Name],Inventory[Product ID]))</f>
        <v/>
      </c>
      <c r="H890" t="str">
        <f t="shared" si="13"/>
        <v/>
      </c>
    </row>
    <row r="891" spans="4:8">
      <c r="D891" s="3" t="str">
        <f>IF(_xlfn.XLOOKUP(Purchases[[#This Row],[Product Name]],Inventory[Product Name],Inventory[Product ID])="","",_xlfn.XLOOKUP(Purchases[[#This Row],[Product Name]],Inventory[Product Name],Inventory[Product ID]))</f>
        <v/>
      </c>
      <c r="H891" t="str">
        <f t="shared" si="13"/>
        <v/>
      </c>
    </row>
    <row r="892" spans="4:8">
      <c r="D892" s="3" t="str">
        <f>IF(_xlfn.XLOOKUP(Purchases[[#This Row],[Product Name]],Inventory[Product Name],Inventory[Product ID])="","",_xlfn.XLOOKUP(Purchases[[#This Row],[Product Name]],Inventory[Product Name],Inventory[Product ID]))</f>
        <v/>
      </c>
      <c r="H892" t="str">
        <f t="shared" si="13"/>
        <v/>
      </c>
    </row>
    <row r="893" spans="4:8">
      <c r="D893" s="3" t="str">
        <f>IF(_xlfn.XLOOKUP(Purchases[[#This Row],[Product Name]],Inventory[Product Name],Inventory[Product ID])="","",_xlfn.XLOOKUP(Purchases[[#This Row],[Product Name]],Inventory[Product Name],Inventory[Product ID]))</f>
        <v/>
      </c>
      <c r="H893" t="str">
        <f t="shared" si="13"/>
        <v/>
      </c>
    </row>
    <row r="894" spans="4:8">
      <c r="D894" s="3" t="str">
        <f>IF(_xlfn.XLOOKUP(Purchases[[#This Row],[Product Name]],Inventory[Product Name],Inventory[Product ID])="","",_xlfn.XLOOKUP(Purchases[[#This Row],[Product Name]],Inventory[Product Name],Inventory[Product ID]))</f>
        <v/>
      </c>
      <c r="H894" t="str">
        <f t="shared" si="13"/>
        <v/>
      </c>
    </row>
    <row r="895" spans="4:8">
      <c r="D895" s="3" t="str">
        <f>IF(_xlfn.XLOOKUP(Purchases[[#This Row],[Product Name]],Inventory[Product Name],Inventory[Product ID])="","",_xlfn.XLOOKUP(Purchases[[#This Row],[Product Name]],Inventory[Product Name],Inventory[Product ID]))</f>
        <v/>
      </c>
      <c r="H895" t="str">
        <f t="shared" si="13"/>
        <v/>
      </c>
    </row>
    <row r="896" spans="4:8">
      <c r="D896" s="3" t="str">
        <f>IF(_xlfn.XLOOKUP(Purchases[[#This Row],[Product Name]],Inventory[Product Name],Inventory[Product ID])="","",_xlfn.XLOOKUP(Purchases[[#This Row],[Product Name]],Inventory[Product Name],Inventory[Product ID]))</f>
        <v/>
      </c>
      <c r="H896" t="str">
        <f t="shared" si="13"/>
        <v/>
      </c>
    </row>
    <row r="897" spans="4:8">
      <c r="D897" s="3" t="str">
        <f>IF(_xlfn.XLOOKUP(Purchases[[#This Row],[Product Name]],Inventory[Product Name],Inventory[Product ID])="","",_xlfn.XLOOKUP(Purchases[[#This Row],[Product Name]],Inventory[Product Name],Inventory[Product ID]))</f>
        <v/>
      </c>
      <c r="H897" t="str">
        <f t="shared" si="13"/>
        <v/>
      </c>
    </row>
    <row r="898" spans="4:8">
      <c r="D898" s="3" t="str">
        <f>IF(_xlfn.XLOOKUP(Purchases[[#This Row],[Product Name]],Inventory[Product Name],Inventory[Product ID])="","",_xlfn.XLOOKUP(Purchases[[#This Row],[Product Name]],Inventory[Product Name],Inventory[Product ID]))</f>
        <v/>
      </c>
      <c r="H898" t="str">
        <f t="shared" ref="H898:H961" si="14">IF((F898*G898)&lt;&gt;0,F898*G898,"")</f>
        <v/>
      </c>
    </row>
    <row r="899" spans="4:8">
      <c r="D899" s="3" t="str">
        <f>IF(_xlfn.XLOOKUP(Purchases[[#This Row],[Product Name]],Inventory[Product Name],Inventory[Product ID])="","",_xlfn.XLOOKUP(Purchases[[#This Row],[Product Name]],Inventory[Product Name],Inventory[Product ID]))</f>
        <v/>
      </c>
      <c r="H899" t="str">
        <f t="shared" si="14"/>
        <v/>
      </c>
    </row>
    <row r="900" spans="4:8">
      <c r="D900" s="3" t="str">
        <f>IF(_xlfn.XLOOKUP(Purchases[[#This Row],[Product Name]],Inventory[Product Name],Inventory[Product ID])="","",_xlfn.XLOOKUP(Purchases[[#This Row],[Product Name]],Inventory[Product Name],Inventory[Product ID]))</f>
        <v/>
      </c>
      <c r="H900" t="str">
        <f t="shared" si="14"/>
        <v/>
      </c>
    </row>
    <row r="901" spans="4:8">
      <c r="D901" s="3" t="str">
        <f>IF(_xlfn.XLOOKUP(Purchases[[#This Row],[Product Name]],Inventory[Product Name],Inventory[Product ID])="","",_xlfn.XLOOKUP(Purchases[[#This Row],[Product Name]],Inventory[Product Name],Inventory[Product ID]))</f>
        <v/>
      </c>
      <c r="H901" t="str">
        <f t="shared" si="14"/>
        <v/>
      </c>
    </row>
    <row r="902" spans="4:8">
      <c r="D902" s="3" t="str">
        <f>IF(_xlfn.XLOOKUP(Purchases[[#This Row],[Product Name]],Inventory[Product Name],Inventory[Product ID])="","",_xlfn.XLOOKUP(Purchases[[#This Row],[Product Name]],Inventory[Product Name],Inventory[Product ID]))</f>
        <v/>
      </c>
      <c r="H902" t="str">
        <f t="shared" si="14"/>
        <v/>
      </c>
    </row>
    <row r="903" spans="4:8">
      <c r="D903" s="3" t="str">
        <f>IF(_xlfn.XLOOKUP(Purchases[[#This Row],[Product Name]],Inventory[Product Name],Inventory[Product ID])="","",_xlfn.XLOOKUP(Purchases[[#This Row],[Product Name]],Inventory[Product Name],Inventory[Product ID]))</f>
        <v/>
      </c>
      <c r="H903" t="str">
        <f t="shared" si="14"/>
        <v/>
      </c>
    </row>
    <row r="904" spans="4:8">
      <c r="D904" s="3" t="str">
        <f>IF(_xlfn.XLOOKUP(Purchases[[#This Row],[Product Name]],Inventory[Product Name],Inventory[Product ID])="","",_xlfn.XLOOKUP(Purchases[[#This Row],[Product Name]],Inventory[Product Name],Inventory[Product ID]))</f>
        <v/>
      </c>
      <c r="H904" t="str">
        <f t="shared" si="14"/>
        <v/>
      </c>
    </row>
    <row r="905" spans="4:8">
      <c r="D905" s="3" t="str">
        <f>IF(_xlfn.XLOOKUP(Purchases[[#This Row],[Product Name]],Inventory[Product Name],Inventory[Product ID])="","",_xlfn.XLOOKUP(Purchases[[#This Row],[Product Name]],Inventory[Product Name],Inventory[Product ID]))</f>
        <v/>
      </c>
      <c r="H905" t="str">
        <f t="shared" si="14"/>
        <v/>
      </c>
    </row>
    <row r="906" spans="4:8">
      <c r="D906" s="3" t="str">
        <f>IF(_xlfn.XLOOKUP(Purchases[[#This Row],[Product Name]],Inventory[Product Name],Inventory[Product ID])="","",_xlfn.XLOOKUP(Purchases[[#This Row],[Product Name]],Inventory[Product Name],Inventory[Product ID]))</f>
        <v/>
      </c>
      <c r="H906" t="str">
        <f t="shared" si="14"/>
        <v/>
      </c>
    </row>
    <row r="907" spans="4:8">
      <c r="D907" s="3" t="str">
        <f>IF(_xlfn.XLOOKUP(Purchases[[#This Row],[Product Name]],Inventory[Product Name],Inventory[Product ID])="","",_xlfn.XLOOKUP(Purchases[[#This Row],[Product Name]],Inventory[Product Name],Inventory[Product ID]))</f>
        <v/>
      </c>
      <c r="H907" t="str">
        <f t="shared" si="14"/>
        <v/>
      </c>
    </row>
    <row r="908" spans="4:8">
      <c r="D908" s="3" t="str">
        <f>IF(_xlfn.XLOOKUP(Purchases[[#This Row],[Product Name]],Inventory[Product Name],Inventory[Product ID])="","",_xlfn.XLOOKUP(Purchases[[#This Row],[Product Name]],Inventory[Product Name],Inventory[Product ID]))</f>
        <v/>
      </c>
      <c r="H908" t="str">
        <f t="shared" si="14"/>
        <v/>
      </c>
    </row>
    <row r="909" spans="4:8">
      <c r="D909" s="3" t="str">
        <f>IF(_xlfn.XLOOKUP(Purchases[[#This Row],[Product Name]],Inventory[Product Name],Inventory[Product ID])="","",_xlfn.XLOOKUP(Purchases[[#This Row],[Product Name]],Inventory[Product Name],Inventory[Product ID]))</f>
        <v/>
      </c>
      <c r="H909" t="str">
        <f t="shared" si="14"/>
        <v/>
      </c>
    </row>
    <row r="910" spans="4:8">
      <c r="D910" s="3" t="str">
        <f>IF(_xlfn.XLOOKUP(Purchases[[#This Row],[Product Name]],Inventory[Product Name],Inventory[Product ID])="","",_xlfn.XLOOKUP(Purchases[[#This Row],[Product Name]],Inventory[Product Name],Inventory[Product ID]))</f>
        <v/>
      </c>
      <c r="H910" t="str">
        <f t="shared" si="14"/>
        <v/>
      </c>
    </row>
    <row r="911" spans="4:8">
      <c r="D911" s="3" t="str">
        <f>IF(_xlfn.XLOOKUP(Purchases[[#This Row],[Product Name]],Inventory[Product Name],Inventory[Product ID])="","",_xlfn.XLOOKUP(Purchases[[#This Row],[Product Name]],Inventory[Product Name],Inventory[Product ID]))</f>
        <v/>
      </c>
      <c r="H911" t="str">
        <f t="shared" si="14"/>
        <v/>
      </c>
    </row>
    <row r="912" spans="4:8">
      <c r="D912" s="3" t="str">
        <f>IF(_xlfn.XLOOKUP(Purchases[[#This Row],[Product Name]],Inventory[Product Name],Inventory[Product ID])="","",_xlfn.XLOOKUP(Purchases[[#This Row],[Product Name]],Inventory[Product Name],Inventory[Product ID]))</f>
        <v/>
      </c>
      <c r="H912" t="str">
        <f t="shared" si="14"/>
        <v/>
      </c>
    </row>
    <row r="913" spans="4:8">
      <c r="D913" s="3" t="str">
        <f>IF(_xlfn.XLOOKUP(Purchases[[#This Row],[Product Name]],Inventory[Product Name],Inventory[Product ID])="","",_xlfn.XLOOKUP(Purchases[[#This Row],[Product Name]],Inventory[Product Name],Inventory[Product ID]))</f>
        <v/>
      </c>
      <c r="H913" t="str">
        <f t="shared" si="14"/>
        <v/>
      </c>
    </row>
    <row r="914" spans="4:8">
      <c r="D914" s="3" t="str">
        <f>IF(_xlfn.XLOOKUP(Purchases[[#This Row],[Product Name]],Inventory[Product Name],Inventory[Product ID])="","",_xlfn.XLOOKUP(Purchases[[#This Row],[Product Name]],Inventory[Product Name],Inventory[Product ID]))</f>
        <v/>
      </c>
      <c r="H914" t="str">
        <f t="shared" si="14"/>
        <v/>
      </c>
    </row>
    <row r="915" spans="4:8">
      <c r="D915" s="3" t="str">
        <f>IF(_xlfn.XLOOKUP(Purchases[[#This Row],[Product Name]],Inventory[Product Name],Inventory[Product ID])="","",_xlfn.XLOOKUP(Purchases[[#This Row],[Product Name]],Inventory[Product Name],Inventory[Product ID]))</f>
        <v/>
      </c>
      <c r="H915" t="str">
        <f t="shared" si="14"/>
        <v/>
      </c>
    </row>
    <row r="916" spans="4:8">
      <c r="D916" s="3" t="str">
        <f>IF(_xlfn.XLOOKUP(Purchases[[#This Row],[Product Name]],Inventory[Product Name],Inventory[Product ID])="","",_xlfn.XLOOKUP(Purchases[[#This Row],[Product Name]],Inventory[Product Name],Inventory[Product ID]))</f>
        <v/>
      </c>
      <c r="H916" t="str">
        <f t="shared" si="14"/>
        <v/>
      </c>
    </row>
    <row r="917" spans="4:8">
      <c r="D917" s="3" t="str">
        <f>IF(_xlfn.XLOOKUP(Purchases[[#This Row],[Product Name]],Inventory[Product Name],Inventory[Product ID])="","",_xlfn.XLOOKUP(Purchases[[#This Row],[Product Name]],Inventory[Product Name],Inventory[Product ID]))</f>
        <v/>
      </c>
      <c r="H917" t="str">
        <f t="shared" si="14"/>
        <v/>
      </c>
    </row>
    <row r="918" spans="4:8">
      <c r="D918" s="3" t="str">
        <f>IF(_xlfn.XLOOKUP(Purchases[[#This Row],[Product Name]],Inventory[Product Name],Inventory[Product ID])="","",_xlfn.XLOOKUP(Purchases[[#This Row],[Product Name]],Inventory[Product Name],Inventory[Product ID]))</f>
        <v/>
      </c>
      <c r="H918" t="str">
        <f t="shared" si="14"/>
        <v/>
      </c>
    </row>
    <row r="919" spans="4:8">
      <c r="D919" s="3" t="str">
        <f>IF(_xlfn.XLOOKUP(Purchases[[#This Row],[Product Name]],Inventory[Product Name],Inventory[Product ID])="","",_xlfn.XLOOKUP(Purchases[[#This Row],[Product Name]],Inventory[Product Name],Inventory[Product ID]))</f>
        <v/>
      </c>
      <c r="H919" t="str">
        <f t="shared" si="14"/>
        <v/>
      </c>
    </row>
    <row r="920" spans="4:8">
      <c r="D920" s="3" t="str">
        <f>IF(_xlfn.XLOOKUP(Purchases[[#This Row],[Product Name]],Inventory[Product Name],Inventory[Product ID])="","",_xlfn.XLOOKUP(Purchases[[#This Row],[Product Name]],Inventory[Product Name],Inventory[Product ID]))</f>
        <v/>
      </c>
      <c r="H920" t="str">
        <f t="shared" si="14"/>
        <v/>
      </c>
    </row>
    <row r="921" spans="4:8">
      <c r="D921" s="3" t="str">
        <f>IF(_xlfn.XLOOKUP(Purchases[[#This Row],[Product Name]],Inventory[Product Name],Inventory[Product ID])="","",_xlfn.XLOOKUP(Purchases[[#This Row],[Product Name]],Inventory[Product Name],Inventory[Product ID]))</f>
        <v/>
      </c>
      <c r="H921" t="str">
        <f t="shared" si="14"/>
        <v/>
      </c>
    </row>
    <row r="922" spans="4:8">
      <c r="D922" s="3" t="str">
        <f>IF(_xlfn.XLOOKUP(Purchases[[#This Row],[Product Name]],Inventory[Product Name],Inventory[Product ID])="","",_xlfn.XLOOKUP(Purchases[[#This Row],[Product Name]],Inventory[Product Name],Inventory[Product ID]))</f>
        <v/>
      </c>
      <c r="H922" t="str">
        <f t="shared" si="14"/>
        <v/>
      </c>
    </row>
    <row r="923" spans="4:8">
      <c r="D923" s="3" t="str">
        <f>IF(_xlfn.XLOOKUP(Purchases[[#This Row],[Product Name]],Inventory[Product Name],Inventory[Product ID])="","",_xlfn.XLOOKUP(Purchases[[#This Row],[Product Name]],Inventory[Product Name],Inventory[Product ID]))</f>
        <v/>
      </c>
      <c r="H923" t="str">
        <f t="shared" si="14"/>
        <v/>
      </c>
    </row>
    <row r="924" spans="4:8">
      <c r="D924" s="3" t="str">
        <f>IF(_xlfn.XLOOKUP(Purchases[[#This Row],[Product Name]],Inventory[Product Name],Inventory[Product ID])="","",_xlfn.XLOOKUP(Purchases[[#This Row],[Product Name]],Inventory[Product Name],Inventory[Product ID]))</f>
        <v/>
      </c>
      <c r="H924" t="str">
        <f t="shared" si="14"/>
        <v/>
      </c>
    </row>
    <row r="925" spans="4:8">
      <c r="D925" s="3" t="str">
        <f>IF(_xlfn.XLOOKUP(Purchases[[#This Row],[Product Name]],Inventory[Product Name],Inventory[Product ID])="","",_xlfn.XLOOKUP(Purchases[[#This Row],[Product Name]],Inventory[Product Name],Inventory[Product ID]))</f>
        <v/>
      </c>
      <c r="H925" t="str">
        <f t="shared" si="14"/>
        <v/>
      </c>
    </row>
    <row r="926" spans="4:8">
      <c r="D926" s="3" t="str">
        <f>IF(_xlfn.XLOOKUP(Purchases[[#This Row],[Product Name]],Inventory[Product Name],Inventory[Product ID])="","",_xlfn.XLOOKUP(Purchases[[#This Row],[Product Name]],Inventory[Product Name],Inventory[Product ID]))</f>
        <v/>
      </c>
      <c r="H926" t="str">
        <f t="shared" si="14"/>
        <v/>
      </c>
    </row>
    <row r="927" spans="4:8">
      <c r="D927" s="3" t="str">
        <f>IF(_xlfn.XLOOKUP(Purchases[[#This Row],[Product Name]],Inventory[Product Name],Inventory[Product ID])="","",_xlfn.XLOOKUP(Purchases[[#This Row],[Product Name]],Inventory[Product Name],Inventory[Product ID]))</f>
        <v/>
      </c>
      <c r="H927" t="str">
        <f t="shared" si="14"/>
        <v/>
      </c>
    </row>
    <row r="928" spans="4:8">
      <c r="D928" s="3" t="str">
        <f>IF(_xlfn.XLOOKUP(Purchases[[#This Row],[Product Name]],Inventory[Product Name],Inventory[Product ID])="","",_xlfn.XLOOKUP(Purchases[[#This Row],[Product Name]],Inventory[Product Name],Inventory[Product ID]))</f>
        <v/>
      </c>
      <c r="H928" t="str">
        <f t="shared" si="14"/>
        <v/>
      </c>
    </row>
    <row r="929" spans="4:8">
      <c r="D929" s="3" t="str">
        <f>IF(_xlfn.XLOOKUP(Purchases[[#This Row],[Product Name]],Inventory[Product Name],Inventory[Product ID])="","",_xlfn.XLOOKUP(Purchases[[#This Row],[Product Name]],Inventory[Product Name],Inventory[Product ID]))</f>
        <v/>
      </c>
      <c r="H929" t="str">
        <f t="shared" si="14"/>
        <v/>
      </c>
    </row>
    <row r="930" spans="4:8">
      <c r="D930" s="3" t="str">
        <f>IF(_xlfn.XLOOKUP(Purchases[[#This Row],[Product Name]],Inventory[Product Name],Inventory[Product ID])="","",_xlfn.XLOOKUP(Purchases[[#This Row],[Product Name]],Inventory[Product Name],Inventory[Product ID]))</f>
        <v/>
      </c>
      <c r="H930" t="str">
        <f t="shared" si="14"/>
        <v/>
      </c>
    </row>
    <row r="931" spans="4:8">
      <c r="D931" s="3" t="str">
        <f>IF(_xlfn.XLOOKUP(Purchases[[#This Row],[Product Name]],Inventory[Product Name],Inventory[Product ID])="","",_xlfn.XLOOKUP(Purchases[[#This Row],[Product Name]],Inventory[Product Name],Inventory[Product ID]))</f>
        <v/>
      </c>
      <c r="H931" t="str">
        <f t="shared" si="14"/>
        <v/>
      </c>
    </row>
    <row r="932" spans="4:8">
      <c r="D932" s="3" t="str">
        <f>IF(_xlfn.XLOOKUP(Purchases[[#This Row],[Product Name]],Inventory[Product Name],Inventory[Product ID])="","",_xlfn.XLOOKUP(Purchases[[#This Row],[Product Name]],Inventory[Product Name],Inventory[Product ID]))</f>
        <v/>
      </c>
      <c r="H932" t="str">
        <f t="shared" si="14"/>
        <v/>
      </c>
    </row>
    <row r="933" spans="4:8">
      <c r="D933" s="3" t="str">
        <f>IF(_xlfn.XLOOKUP(Purchases[[#This Row],[Product Name]],Inventory[Product Name],Inventory[Product ID])="","",_xlfn.XLOOKUP(Purchases[[#This Row],[Product Name]],Inventory[Product Name],Inventory[Product ID]))</f>
        <v/>
      </c>
      <c r="H933" t="str">
        <f t="shared" si="14"/>
        <v/>
      </c>
    </row>
    <row r="934" spans="4:8">
      <c r="D934" s="3" t="str">
        <f>IF(_xlfn.XLOOKUP(Purchases[[#This Row],[Product Name]],Inventory[Product Name],Inventory[Product ID])="","",_xlfn.XLOOKUP(Purchases[[#This Row],[Product Name]],Inventory[Product Name],Inventory[Product ID]))</f>
        <v/>
      </c>
      <c r="H934" t="str">
        <f t="shared" si="14"/>
        <v/>
      </c>
    </row>
    <row r="935" spans="4:8">
      <c r="D935" s="3" t="str">
        <f>IF(_xlfn.XLOOKUP(Purchases[[#This Row],[Product Name]],Inventory[Product Name],Inventory[Product ID])="","",_xlfn.XLOOKUP(Purchases[[#This Row],[Product Name]],Inventory[Product Name],Inventory[Product ID]))</f>
        <v/>
      </c>
      <c r="H935" t="str">
        <f t="shared" si="14"/>
        <v/>
      </c>
    </row>
    <row r="936" spans="4:8">
      <c r="D936" s="3" t="str">
        <f>IF(_xlfn.XLOOKUP(Purchases[[#This Row],[Product Name]],Inventory[Product Name],Inventory[Product ID])="","",_xlfn.XLOOKUP(Purchases[[#This Row],[Product Name]],Inventory[Product Name],Inventory[Product ID]))</f>
        <v/>
      </c>
      <c r="H936" t="str">
        <f t="shared" si="14"/>
        <v/>
      </c>
    </row>
    <row r="937" spans="4:8">
      <c r="D937" s="3" t="str">
        <f>IF(_xlfn.XLOOKUP(Purchases[[#This Row],[Product Name]],Inventory[Product Name],Inventory[Product ID])="","",_xlfn.XLOOKUP(Purchases[[#This Row],[Product Name]],Inventory[Product Name],Inventory[Product ID]))</f>
        <v/>
      </c>
      <c r="H937" t="str">
        <f t="shared" si="14"/>
        <v/>
      </c>
    </row>
    <row r="938" spans="4:8">
      <c r="D938" s="3" t="str">
        <f>IF(_xlfn.XLOOKUP(Purchases[[#This Row],[Product Name]],Inventory[Product Name],Inventory[Product ID])="","",_xlfn.XLOOKUP(Purchases[[#This Row],[Product Name]],Inventory[Product Name],Inventory[Product ID]))</f>
        <v/>
      </c>
      <c r="H938" t="str">
        <f t="shared" si="14"/>
        <v/>
      </c>
    </row>
    <row r="939" spans="4:8">
      <c r="D939" s="3" t="str">
        <f>IF(_xlfn.XLOOKUP(Purchases[[#This Row],[Product Name]],Inventory[Product Name],Inventory[Product ID])="","",_xlfn.XLOOKUP(Purchases[[#This Row],[Product Name]],Inventory[Product Name],Inventory[Product ID]))</f>
        <v/>
      </c>
      <c r="H939" t="str">
        <f t="shared" si="14"/>
        <v/>
      </c>
    </row>
    <row r="940" spans="4:8">
      <c r="D940" s="3" t="str">
        <f>IF(_xlfn.XLOOKUP(Purchases[[#This Row],[Product Name]],Inventory[Product Name],Inventory[Product ID])="","",_xlfn.XLOOKUP(Purchases[[#This Row],[Product Name]],Inventory[Product Name],Inventory[Product ID]))</f>
        <v/>
      </c>
      <c r="H940" t="str">
        <f t="shared" si="14"/>
        <v/>
      </c>
    </row>
    <row r="941" spans="4:8">
      <c r="D941" s="3" t="str">
        <f>IF(_xlfn.XLOOKUP(Purchases[[#This Row],[Product Name]],Inventory[Product Name],Inventory[Product ID])="","",_xlfn.XLOOKUP(Purchases[[#This Row],[Product Name]],Inventory[Product Name],Inventory[Product ID]))</f>
        <v/>
      </c>
      <c r="H941" t="str">
        <f t="shared" si="14"/>
        <v/>
      </c>
    </row>
    <row r="942" spans="4:8">
      <c r="D942" s="3" t="str">
        <f>IF(_xlfn.XLOOKUP(Purchases[[#This Row],[Product Name]],Inventory[Product Name],Inventory[Product ID])="","",_xlfn.XLOOKUP(Purchases[[#This Row],[Product Name]],Inventory[Product Name],Inventory[Product ID]))</f>
        <v/>
      </c>
      <c r="H942" t="str">
        <f t="shared" si="14"/>
        <v/>
      </c>
    </row>
    <row r="943" spans="4:8">
      <c r="D943" s="3" t="str">
        <f>IF(_xlfn.XLOOKUP(Purchases[[#This Row],[Product Name]],Inventory[Product Name],Inventory[Product ID])="","",_xlfn.XLOOKUP(Purchases[[#This Row],[Product Name]],Inventory[Product Name],Inventory[Product ID]))</f>
        <v/>
      </c>
      <c r="H943" t="str">
        <f t="shared" si="14"/>
        <v/>
      </c>
    </row>
    <row r="944" spans="4:8">
      <c r="D944" s="3" t="str">
        <f>IF(_xlfn.XLOOKUP(Purchases[[#This Row],[Product Name]],Inventory[Product Name],Inventory[Product ID])="","",_xlfn.XLOOKUP(Purchases[[#This Row],[Product Name]],Inventory[Product Name],Inventory[Product ID]))</f>
        <v/>
      </c>
      <c r="H944" t="str">
        <f t="shared" si="14"/>
        <v/>
      </c>
    </row>
    <row r="945" spans="4:8">
      <c r="D945" s="3" t="str">
        <f>IF(_xlfn.XLOOKUP(Purchases[[#This Row],[Product Name]],Inventory[Product Name],Inventory[Product ID])="","",_xlfn.XLOOKUP(Purchases[[#This Row],[Product Name]],Inventory[Product Name],Inventory[Product ID]))</f>
        <v/>
      </c>
      <c r="H945" t="str">
        <f t="shared" si="14"/>
        <v/>
      </c>
    </row>
    <row r="946" spans="4:8">
      <c r="D946" s="3" t="str">
        <f>IF(_xlfn.XLOOKUP(Purchases[[#This Row],[Product Name]],Inventory[Product Name],Inventory[Product ID])="","",_xlfn.XLOOKUP(Purchases[[#This Row],[Product Name]],Inventory[Product Name],Inventory[Product ID]))</f>
        <v/>
      </c>
      <c r="H946" t="str">
        <f t="shared" si="14"/>
        <v/>
      </c>
    </row>
    <row r="947" spans="4:8">
      <c r="D947" s="3" t="str">
        <f>IF(_xlfn.XLOOKUP(Purchases[[#This Row],[Product Name]],Inventory[Product Name],Inventory[Product ID])="","",_xlfn.XLOOKUP(Purchases[[#This Row],[Product Name]],Inventory[Product Name],Inventory[Product ID]))</f>
        <v/>
      </c>
      <c r="H947" t="str">
        <f t="shared" si="14"/>
        <v/>
      </c>
    </row>
    <row r="948" spans="4:8">
      <c r="D948" s="3" t="str">
        <f>IF(_xlfn.XLOOKUP(Purchases[[#This Row],[Product Name]],Inventory[Product Name],Inventory[Product ID])="","",_xlfn.XLOOKUP(Purchases[[#This Row],[Product Name]],Inventory[Product Name],Inventory[Product ID]))</f>
        <v/>
      </c>
      <c r="H948" t="str">
        <f t="shared" si="14"/>
        <v/>
      </c>
    </row>
    <row r="949" spans="4:8">
      <c r="D949" s="3" t="str">
        <f>IF(_xlfn.XLOOKUP(Purchases[[#This Row],[Product Name]],Inventory[Product Name],Inventory[Product ID])="","",_xlfn.XLOOKUP(Purchases[[#This Row],[Product Name]],Inventory[Product Name],Inventory[Product ID]))</f>
        <v/>
      </c>
      <c r="H949" t="str">
        <f t="shared" si="14"/>
        <v/>
      </c>
    </row>
    <row r="950" spans="4:8">
      <c r="D950" s="3" t="str">
        <f>IF(_xlfn.XLOOKUP(Purchases[[#This Row],[Product Name]],Inventory[Product Name],Inventory[Product ID])="","",_xlfn.XLOOKUP(Purchases[[#This Row],[Product Name]],Inventory[Product Name],Inventory[Product ID]))</f>
        <v/>
      </c>
      <c r="H950" t="str">
        <f t="shared" si="14"/>
        <v/>
      </c>
    </row>
    <row r="951" spans="4:8">
      <c r="D951" s="3" t="str">
        <f>IF(_xlfn.XLOOKUP(Purchases[[#This Row],[Product Name]],Inventory[Product Name],Inventory[Product ID])="","",_xlfn.XLOOKUP(Purchases[[#This Row],[Product Name]],Inventory[Product Name],Inventory[Product ID]))</f>
        <v/>
      </c>
      <c r="H951" t="str">
        <f t="shared" si="14"/>
        <v/>
      </c>
    </row>
    <row r="952" spans="4:8">
      <c r="D952" s="3" t="str">
        <f>IF(_xlfn.XLOOKUP(Purchases[[#This Row],[Product Name]],Inventory[Product Name],Inventory[Product ID])="","",_xlfn.XLOOKUP(Purchases[[#This Row],[Product Name]],Inventory[Product Name],Inventory[Product ID]))</f>
        <v/>
      </c>
      <c r="H952" t="str">
        <f t="shared" si="14"/>
        <v/>
      </c>
    </row>
    <row r="953" spans="4:8">
      <c r="D953" s="3" t="str">
        <f>IF(_xlfn.XLOOKUP(Purchases[[#This Row],[Product Name]],Inventory[Product Name],Inventory[Product ID])="","",_xlfn.XLOOKUP(Purchases[[#This Row],[Product Name]],Inventory[Product Name],Inventory[Product ID]))</f>
        <v/>
      </c>
      <c r="H953" t="str">
        <f t="shared" si="14"/>
        <v/>
      </c>
    </row>
    <row r="954" spans="4:8">
      <c r="D954" s="3" t="str">
        <f>IF(_xlfn.XLOOKUP(Purchases[[#This Row],[Product Name]],Inventory[Product Name],Inventory[Product ID])="","",_xlfn.XLOOKUP(Purchases[[#This Row],[Product Name]],Inventory[Product Name],Inventory[Product ID]))</f>
        <v/>
      </c>
      <c r="H954" t="str">
        <f t="shared" si="14"/>
        <v/>
      </c>
    </row>
    <row r="955" spans="4:8">
      <c r="D955" s="3" t="str">
        <f>IF(_xlfn.XLOOKUP(Purchases[[#This Row],[Product Name]],Inventory[Product Name],Inventory[Product ID])="","",_xlfn.XLOOKUP(Purchases[[#This Row],[Product Name]],Inventory[Product Name],Inventory[Product ID]))</f>
        <v/>
      </c>
      <c r="H955" t="str">
        <f t="shared" si="14"/>
        <v/>
      </c>
    </row>
    <row r="956" spans="4:8">
      <c r="D956" s="3" t="str">
        <f>IF(_xlfn.XLOOKUP(Purchases[[#This Row],[Product Name]],Inventory[Product Name],Inventory[Product ID])="","",_xlfn.XLOOKUP(Purchases[[#This Row],[Product Name]],Inventory[Product Name],Inventory[Product ID]))</f>
        <v/>
      </c>
      <c r="H956" t="str">
        <f t="shared" si="14"/>
        <v/>
      </c>
    </row>
    <row r="957" spans="4:8">
      <c r="D957" s="3" t="str">
        <f>IF(_xlfn.XLOOKUP(Purchases[[#This Row],[Product Name]],Inventory[Product Name],Inventory[Product ID])="","",_xlfn.XLOOKUP(Purchases[[#This Row],[Product Name]],Inventory[Product Name],Inventory[Product ID]))</f>
        <v/>
      </c>
      <c r="H957" t="str">
        <f t="shared" si="14"/>
        <v/>
      </c>
    </row>
    <row r="958" spans="4:8">
      <c r="D958" s="3" t="str">
        <f>IF(_xlfn.XLOOKUP(Purchases[[#This Row],[Product Name]],Inventory[Product Name],Inventory[Product ID])="","",_xlfn.XLOOKUP(Purchases[[#This Row],[Product Name]],Inventory[Product Name],Inventory[Product ID]))</f>
        <v/>
      </c>
      <c r="H958" t="str">
        <f t="shared" si="14"/>
        <v/>
      </c>
    </row>
    <row r="959" spans="4:8">
      <c r="D959" s="3" t="str">
        <f>IF(_xlfn.XLOOKUP(Purchases[[#This Row],[Product Name]],Inventory[Product Name],Inventory[Product ID])="","",_xlfn.XLOOKUP(Purchases[[#This Row],[Product Name]],Inventory[Product Name],Inventory[Product ID]))</f>
        <v/>
      </c>
      <c r="H959" t="str">
        <f t="shared" si="14"/>
        <v/>
      </c>
    </row>
    <row r="960" spans="4:8">
      <c r="D960" s="3" t="str">
        <f>IF(_xlfn.XLOOKUP(Purchases[[#This Row],[Product Name]],Inventory[Product Name],Inventory[Product ID])="","",_xlfn.XLOOKUP(Purchases[[#This Row],[Product Name]],Inventory[Product Name],Inventory[Product ID]))</f>
        <v/>
      </c>
      <c r="H960" t="str">
        <f t="shared" si="14"/>
        <v/>
      </c>
    </row>
    <row r="961" spans="4:8">
      <c r="D961" s="3" t="str">
        <f>IF(_xlfn.XLOOKUP(Purchases[[#This Row],[Product Name]],Inventory[Product Name],Inventory[Product ID])="","",_xlfn.XLOOKUP(Purchases[[#This Row],[Product Name]],Inventory[Product Name],Inventory[Product ID]))</f>
        <v/>
      </c>
      <c r="H961" t="str">
        <f t="shared" si="14"/>
        <v/>
      </c>
    </row>
    <row r="962" spans="4:8">
      <c r="D962" s="3" t="str">
        <f>IF(_xlfn.XLOOKUP(Purchases[[#This Row],[Product Name]],Inventory[Product Name],Inventory[Product ID])="","",_xlfn.XLOOKUP(Purchases[[#This Row],[Product Name]],Inventory[Product Name],Inventory[Product ID]))</f>
        <v/>
      </c>
      <c r="H962" t="str">
        <f t="shared" ref="H962:H1025" si="15">IF((F962*G962)&lt;&gt;0,F962*G962,"")</f>
        <v/>
      </c>
    </row>
    <row r="963" spans="4:8">
      <c r="D963" s="3" t="str">
        <f>IF(_xlfn.XLOOKUP(Purchases[[#This Row],[Product Name]],Inventory[Product Name],Inventory[Product ID])="","",_xlfn.XLOOKUP(Purchases[[#This Row],[Product Name]],Inventory[Product Name],Inventory[Product ID]))</f>
        <v/>
      </c>
      <c r="H963" t="str">
        <f t="shared" si="15"/>
        <v/>
      </c>
    </row>
    <row r="964" spans="4:8">
      <c r="D964" s="3" t="str">
        <f>IF(_xlfn.XLOOKUP(Purchases[[#This Row],[Product Name]],Inventory[Product Name],Inventory[Product ID])="","",_xlfn.XLOOKUP(Purchases[[#This Row],[Product Name]],Inventory[Product Name],Inventory[Product ID]))</f>
        <v/>
      </c>
      <c r="H964" t="str">
        <f t="shared" si="15"/>
        <v/>
      </c>
    </row>
    <row r="965" spans="4:8">
      <c r="D965" s="3" t="str">
        <f>IF(_xlfn.XLOOKUP(Purchases[[#This Row],[Product Name]],Inventory[Product Name],Inventory[Product ID])="","",_xlfn.XLOOKUP(Purchases[[#This Row],[Product Name]],Inventory[Product Name],Inventory[Product ID]))</f>
        <v/>
      </c>
      <c r="H965" t="str">
        <f t="shared" si="15"/>
        <v/>
      </c>
    </row>
    <row r="966" spans="4:8">
      <c r="D966" s="3" t="str">
        <f>IF(_xlfn.XLOOKUP(Purchases[[#This Row],[Product Name]],Inventory[Product Name],Inventory[Product ID])="","",_xlfn.XLOOKUP(Purchases[[#This Row],[Product Name]],Inventory[Product Name],Inventory[Product ID]))</f>
        <v/>
      </c>
      <c r="H966" t="str">
        <f t="shared" si="15"/>
        <v/>
      </c>
    </row>
    <row r="967" spans="4:8">
      <c r="D967" s="3" t="str">
        <f>IF(_xlfn.XLOOKUP(Purchases[[#This Row],[Product Name]],Inventory[Product Name],Inventory[Product ID])="","",_xlfn.XLOOKUP(Purchases[[#This Row],[Product Name]],Inventory[Product Name],Inventory[Product ID]))</f>
        <v/>
      </c>
      <c r="H967" t="str">
        <f t="shared" si="15"/>
        <v/>
      </c>
    </row>
    <row r="968" spans="4:8">
      <c r="D968" s="3" t="str">
        <f>IF(_xlfn.XLOOKUP(Purchases[[#This Row],[Product Name]],Inventory[Product Name],Inventory[Product ID])="","",_xlfn.XLOOKUP(Purchases[[#This Row],[Product Name]],Inventory[Product Name],Inventory[Product ID]))</f>
        <v/>
      </c>
      <c r="H968" t="str">
        <f t="shared" si="15"/>
        <v/>
      </c>
    </row>
    <row r="969" spans="4:8">
      <c r="D969" s="3" t="str">
        <f>IF(_xlfn.XLOOKUP(Purchases[[#This Row],[Product Name]],Inventory[Product Name],Inventory[Product ID])="","",_xlfn.XLOOKUP(Purchases[[#This Row],[Product Name]],Inventory[Product Name],Inventory[Product ID]))</f>
        <v/>
      </c>
      <c r="H969" t="str">
        <f t="shared" si="15"/>
        <v/>
      </c>
    </row>
    <row r="970" spans="4:8">
      <c r="D970" s="3" t="str">
        <f>IF(_xlfn.XLOOKUP(Purchases[[#This Row],[Product Name]],Inventory[Product Name],Inventory[Product ID])="","",_xlfn.XLOOKUP(Purchases[[#This Row],[Product Name]],Inventory[Product Name],Inventory[Product ID]))</f>
        <v/>
      </c>
      <c r="H970" t="str">
        <f t="shared" si="15"/>
        <v/>
      </c>
    </row>
    <row r="971" spans="4:8">
      <c r="D971" s="3" t="str">
        <f>IF(_xlfn.XLOOKUP(Purchases[[#This Row],[Product Name]],Inventory[Product Name],Inventory[Product ID])="","",_xlfn.XLOOKUP(Purchases[[#This Row],[Product Name]],Inventory[Product Name],Inventory[Product ID]))</f>
        <v/>
      </c>
      <c r="H971" t="str">
        <f t="shared" si="15"/>
        <v/>
      </c>
    </row>
    <row r="972" spans="4:8">
      <c r="D972" s="3" t="str">
        <f>IF(_xlfn.XLOOKUP(Purchases[[#This Row],[Product Name]],Inventory[Product Name],Inventory[Product ID])="","",_xlfn.XLOOKUP(Purchases[[#This Row],[Product Name]],Inventory[Product Name],Inventory[Product ID]))</f>
        <v/>
      </c>
      <c r="H972" t="str">
        <f t="shared" si="15"/>
        <v/>
      </c>
    </row>
    <row r="973" spans="4:8">
      <c r="D973" s="3" t="str">
        <f>IF(_xlfn.XLOOKUP(Purchases[[#This Row],[Product Name]],Inventory[Product Name],Inventory[Product ID])="","",_xlfn.XLOOKUP(Purchases[[#This Row],[Product Name]],Inventory[Product Name],Inventory[Product ID]))</f>
        <v/>
      </c>
      <c r="H973" t="str">
        <f t="shared" si="15"/>
        <v/>
      </c>
    </row>
    <row r="974" spans="4:8">
      <c r="D974" s="3" t="str">
        <f>IF(_xlfn.XLOOKUP(Purchases[[#This Row],[Product Name]],Inventory[Product Name],Inventory[Product ID])="","",_xlfn.XLOOKUP(Purchases[[#This Row],[Product Name]],Inventory[Product Name],Inventory[Product ID]))</f>
        <v/>
      </c>
      <c r="H974" t="str">
        <f t="shared" si="15"/>
        <v/>
      </c>
    </row>
    <row r="975" spans="4:8">
      <c r="D975" s="3" t="str">
        <f>IF(_xlfn.XLOOKUP(Purchases[[#This Row],[Product Name]],Inventory[Product Name],Inventory[Product ID])="","",_xlfn.XLOOKUP(Purchases[[#This Row],[Product Name]],Inventory[Product Name],Inventory[Product ID]))</f>
        <v/>
      </c>
      <c r="H975" t="str">
        <f t="shared" si="15"/>
        <v/>
      </c>
    </row>
    <row r="976" spans="4:8">
      <c r="D976" s="3" t="str">
        <f>IF(_xlfn.XLOOKUP(Purchases[[#This Row],[Product Name]],Inventory[Product Name],Inventory[Product ID])="","",_xlfn.XLOOKUP(Purchases[[#This Row],[Product Name]],Inventory[Product Name],Inventory[Product ID]))</f>
        <v/>
      </c>
      <c r="H976" t="str">
        <f t="shared" si="15"/>
        <v/>
      </c>
    </row>
    <row r="977" spans="4:8">
      <c r="D977" s="3" t="str">
        <f>IF(_xlfn.XLOOKUP(Purchases[[#This Row],[Product Name]],Inventory[Product Name],Inventory[Product ID])="","",_xlfn.XLOOKUP(Purchases[[#This Row],[Product Name]],Inventory[Product Name],Inventory[Product ID]))</f>
        <v/>
      </c>
      <c r="H977" t="str">
        <f t="shared" si="15"/>
        <v/>
      </c>
    </row>
    <row r="978" spans="4:8">
      <c r="D978" s="3" t="str">
        <f>IF(_xlfn.XLOOKUP(Purchases[[#This Row],[Product Name]],Inventory[Product Name],Inventory[Product ID])="","",_xlfn.XLOOKUP(Purchases[[#This Row],[Product Name]],Inventory[Product Name],Inventory[Product ID]))</f>
        <v/>
      </c>
      <c r="H978" t="str">
        <f t="shared" si="15"/>
        <v/>
      </c>
    </row>
    <row r="979" spans="4:8">
      <c r="D979" s="3" t="str">
        <f>IF(_xlfn.XLOOKUP(Purchases[[#This Row],[Product Name]],Inventory[Product Name],Inventory[Product ID])="","",_xlfn.XLOOKUP(Purchases[[#This Row],[Product Name]],Inventory[Product Name],Inventory[Product ID]))</f>
        <v/>
      </c>
      <c r="H979" t="str">
        <f t="shared" si="15"/>
        <v/>
      </c>
    </row>
    <row r="980" spans="4:8">
      <c r="D980" s="3" t="str">
        <f>IF(_xlfn.XLOOKUP(Purchases[[#This Row],[Product Name]],Inventory[Product Name],Inventory[Product ID])="","",_xlfn.XLOOKUP(Purchases[[#This Row],[Product Name]],Inventory[Product Name],Inventory[Product ID]))</f>
        <v/>
      </c>
      <c r="H980" t="str">
        <f t="shared" si="15"/>
        <v/>
      </c>
    </row>
    <row r="981" spans="4:8">
      <c r="D981" s="3" t="str">
        <f>IF(_xlfn.XLOOKUP(Purchases[[#This Row],[Product Name]],Inventory[Product Name],Inventory[Product ID])="","",_xlfn.XLOOKUP(Purchases[[#This Row],[Product Name]],Inventory[Product Name],Inventory[Product ID]))</f>
        <v/>
      </c>
      <c r="H981" t="str">
        <f t="shared" si="15"/>
        <v/>
      </c>
    </row>
    <row r="982" spans="4:8">
      <c r="D982" s="3" t="str">
        <f>IF(_xlfn.XLOOKUP(Purchases[[#This Row],[Product Name]],Inventory[Product Name],Inventory[Product ID])="","",_xlfn.XLOOKUP(Purchases[[#This Row],[Product Name]],Inventory[Product Name],Inventory[Product ID]))</f>
        <v/>
      </c>
      <c r="H982" t="str">
        <f t="shared" si="15"/>
        <v/>
      </c>
    </row>
    <row r="983" spans="4:8">
      <c r="D983" s="3" t="str">
        <f>IF(_xlfn.XLOOKUP(Purchases[[#This Row],[Product Name]],Inventory[Product Name],Inventory[Product ID])="","",_xlfn.XLOOKUP(Purchases[[#This Row],[Product Name]],Inventory[Product Name],Inventory[Product ID]))</f>
        <v/>
      </c>
      <c r="H983" t="str">
        <f t="shared" si="15"/>
        <v/>
      </c>
    </row>
    <row r="984" spans="4:8">
      <c r="D984" s="3" t="str">
        <f>IF(_xlfn.XLOOKUP(Purchases[[#This Row],[Product Name]],Inventory[Product Name],Inventory[Product ID])="","",_xlfn.XLOOKUP(Purchases[[#This Row],[Product Name]],Inventory[Product Name],Inventory[Product ID]))</f>
        <v/>
      </c>
      <c r="H984" t="str">
        <f t="shared" si="15"/>
        <v/>
      </c>
    </row>
    <row r="985" spans="4:8">
      <c r="D985" s="3" t="str">
        <f>IF(_xlfn.XLOOKUP(Purchases[[#This Row],[Product Name]],Inventory[Product Name],Inventory[Product ID])="","",_xlfn.XLOOKUP(Purchases[[#This Row],[Product Name]],Inventory[Product Name],Inventory[Product ID]))</f>
        <v/>
      </c>
      <c r="H985" t="str">
        <f t="shared" si="15"/>
        <v/>
      </c>
    </row>
    <row r="986" spans="4:8">
      <c r="D986" s="3" t="str">
        <f>IF(_xlfn.XLOOKUP(Purchases[[#This Row],[Product Name]],Inventory[Product Name],Inventory[Product ID])="","",_xlfn.XLOOKUP(Purchases[[#This Row],[Product Name]],Inventory[Product Name],Inventory[Product ID]))</f>
        <v/>
      </c>
      <c r="H986" t="str">
        <f t="shared" si="15"/>
        <v/>
      </c>
    </row>
    <row r="987" spans="4:8">
      <c r="D987" s="3" t="str">
        <f>IF(_xlfn.XLOOKUP(Purchases[[#This Row],[Product Name]],Inventory[Product Name],Inventory[Product ID])="","",_xlfn.XLOOKUP(Purchases[[#This Row],[Product Name]],Inventory[Product Name],Inventory[Product ID]))</f>
        <v/>
      </c>
      <c r="H987" t="str">
        <f t="shared" si="15"/>
        <v/>
      </c>
    </row>
    <row r="988" spans="4:8">
      <c r="D988" s="3" t="str">
        <f>IF(_xlfn.XLOOKUP(Purchases[[#This Row],[Product Name]],Inventory[Product Name],Inventory[Product ID])="","",_xlfn.XLOOKUP(Purchases[[#This Row],[Product Name]],Inventory[Product Name],Inventory[Product ID]))</f>
        <v/>
      </c>
      <c r="H988" t="str">
        <f t="shared" si="15"/>
        <v/>
      </c>
    </row>
    <row r="989" spans="4:8">
      <c r="D989" s="3" t="str">
        <f>IF(_xlfn.XLOOKUP(Purchases[[#This Row],[Product Name]],Inventory[Product Name],Inventory[Product ID])="","",_xlfn.XLOOKUP(Purchases[[#This Row],[Product Name]],Inventory[Product Name],Inventory[Product ID]))</f>
        <v/>
      </c>
      <c r="H989" t="str">
        <f t="shared" si="15"/>
        <v/>
      </c>
    </row>
    <row r="990" spans="4:8">
      <c r="D990" s="3" t="str">
        <f>IF(_xlfn.XLOOKUP(Purchases[[#This Row],[Product Name]],Inventory[Product Name],Inventory[Product ID])="","",_xlfn.XLOOKUP(Purchases[[#This Row],[Product Name]],Inventory[Product Name],Inventory[Product ID]))</f>
        <v/>
      </c>
      <c r="H990" t="str">
        <f t="shared" si="15"/>
        <v/>
      </c>
    </row>
    <row r="991" spans="4:8">
      <c r="D991" s="3" t="str">
        <f>IF(_xlfn.XLOOKUP(Purchases[[#This Row],[Product Name]],Inventory[Product Name],Inventory[Product ID])="","",_xlfn.XLOOKUP(Purchases[[#This Row],[Product Name]],Inventory[Product Name],Inventory[Product ID]))</f>
        <v/>
      </c>
      <c r="H991" t="str">
        <f t="shared" si="15"/>
        <v/>
      </c>
    </row>
    <row r="992" spans="4:8">
      <c r="D992" s="3" t="str">
        <f>IF(_xlfn.XLOOKUP(Purchases[[#This Row],[Product Name]],Inventory[Product Name],Inventory[Product ID])="","",_xlfn.XLOOKUP(Purchases[[#This Row],[Product Name]],Inventory[Product Name],Inventory[Product ID]))</f>
        <v/>
      </c>
      <c r="H992" t="str">
        <f t="shared" si="15"/>
        <v/>
      </c>
    </row>
    <row r="993" spans="4:8">
      <c r="D993" s="3" t="str">
        <f>IF(_xlfn.XLOOKUP(Purchases[[#This Row],[Product Name]],Inventory[Product Name],Inventory[Product ID])="","",_xlfn.XLOOKUP(Purchases[[#This Row],[Product Name]],Inventory[Product Name],Inventory[Product ID]))</f>
        <v/>
      </c>
      <c r="H993" t="str">
        <f t="shared" si="15"/>
        <v/>
      </c>
    </row>
    <row r="994" spans="4:8">
      <c r="D994" s="3" t="str">
        <f>IF(_xlfn.XLOOKUP(Purchases[[#This Row],[Product Name]],Inventory[Product Name],Inventory[Product ID])="","",_xlfn.XLOOKUP(Purchases[[#This Row],[Product Name]],Inventory[Product Name],Inventory[Product ID]))</f>
        <v/>
      </c>
      <c r="H994" t="str">
        <f t="shared" si="15"/>
        <v/>
      </c>
    </row>
    <row r="995" spans="4:8">
      <c r="D995" s="3" t="str">
        <f>IF(_xlfn.XLOOKUP(Purchases[[#This Row],[Product Name]],Inventory[Product Name],Inventory[Product ID])="","",_xlfn.XLOOKUP(Purchases[[#This Row],[Product Name]],Inventory[Product Name],Inventory[Product ID]))</f>
        <v/>
      </c>
      <c r="H995" t="str">
        <f t="shared" si="15"/>
        <v/>
      </c>
    </row>
    <row r="996" spans="4:8">
      <c r="D996" s="3" t="str">
        <f>IF(_xlfn.XLOOKUP(Purchases[[#This Row],[Product Name]],Inventory[Product Name],Inventory[Product ID])="","",_xlfn.XLOOKUP(Purchases[[#This Row],[Product Name]],Inventory[Product Name],Inventory[Product ID]))</f>
        <v/>
      </c>
      <c r="H996" t="str">
        <f t="shared" si="15"/>
        <v/>
      </c>
    </row>
    <row r="997" spans="4:8">
      <c r="D997" s="3" t="str">
        <f>IF(_xlfn.XLOOKUP(Purchases[[#This Row],[Product Name]],Inventory[Product Name],Inventory[Product ID])="","",_xlfn.XLOOKUP(Purchases[[#This Row],[Product Name]],Inventory[Product Name],Inventory[Product ID]))</f>
        <v/>
      </c>
      <c r="H997" t="str">
        <f t="shared" si="15"/>
        <v/>
      </c>
    </row>
    <row r="998" spans="4:8">
      <c r="D998" s="3" t="str">
        <f>IF(_xlfn.XLOOKUP(Purchases[[#This Row],[Product Name]],Inventory[Product Name],Inventory[Product ID])="","",_xlfn.XLOOKUP(Purchases[[#This Row],[Product Name]],Inventory[Product Name],Inventory[Product ID]))</f>
        <v/>
      </c>
      <c r="H998" t="str">
        <f t="shared" si="15"/>
        <v/>
      </c>
    </row>
    <row r="999" spans="4:8">
      <c r="D999" s="3" t="str">
        <f>IF(_xlfn.XLOOKUP(Purchases[[#This Row],[Product Name]],Inventory[Product Name],Inventory[Product ID])="","",_xlfn.XLOOKUP(Purchases[[#This Row],[Product Name]],Inventory[Product Name],Inventory[Product ID]))</f>
        <v/>
      </c>
      <c r="H999" t="str">
        <f t="shared" si="15"/>
        <v/>
      </c>
    </row>
    <row r="1000" spans="4:8">
      <c r="D10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0" t="str">
        <f t="shared" si="15"/>
        <v/>
      </c>
    </row>
    <row r="1001" spans="4:8">
      <c r="D10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1" t="str">
        <f t="shared" si="15"/>
        <v/>
      </c>
    </row>
    <row r="1002" spans="4:8">
      <c r="D10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2" t="str">
        <f t="shared" si="15"/>
        <v/>
      </c>
    </row>
    <row r="1003" spans="4:8">
      <c r="D10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3" t="str">
        <f t="shared" si="15"/>
        <v/>
      </c>
    </row>
    <row r="1004" spans="4:8">
      <c r="D10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4" t="str">
        <f t="shared" si="15"/>
        <v/>
      </c>
    </row>
    <row r="1005" spans="4:8">
      <c r="D10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5" t="str">
        <f t="shared" si="15"/>
        <v/>
      </c>
    </row>
    <row r="1006" spans="4:8">
      <c r="D10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6" t="str">
        <f t="shared" si="15"/>
        <v/>
      </c>
    </row>
    <row r="1007" spans="4:8">
      <c r="D10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7" t="str">
        <f t="shared" si="15"/>
        <v/>
      </c>
    </row>
    <row r="1008" spans="4:8">
      <c r="D10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8" t="str">
        <f t="shared" si="15"/>
        <v/>
      </c>
    </row>
    <row r="1009" spans="4:8">
      <c r="D10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09" t="str">
        <f t="shared" si="15"/>
        <v/>
      </c>
    </row>
    <row r="1010" spans="4:8">
      <c r="D10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0" t="str">
        <f t="shared" si="15"/>
        <v/>
      </c>
    </row>
    <row r="1011" spans="4:8">
      <c r="D10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1" t="str">
        <f t="shared" si="15"/>
        <v/>
      </c>
    </row>
    <row r="1012" spans="4:8">
      <c r="D10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2" t="str">
        <f t="shared" si="15"/>
        <v/>
      </c>
    </row>
    <row r="1013" spans="4:8">
      <c r="D10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3" t="str">
        <f t="shared" si="15"/>
        <v/>
      </c>
    </row>
    <row r="1014" spans="4:8">
      <c r="D10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4" t="str">
        <f t="shared" si="15"/>
        <v/>
      </c>
    </row>
    <row r="1015" spans="4:8">
      <c r="D10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5" t="str">
        <f t="shared" si="15"/>
        <v/>
      </c>
    </row>
    <row r="1016" spans="4:8">
      <c r="D10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6" t="str">
        <f t="shared" si="15"/>
        <v/>
      </c>
    </row>
    <row r="1017" spans="4:8">
      <c r="D10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7" t="str">
        <f t="shared" si="15"/>
        <v/>
      </c>
    </row>
    <row r="1018" spans="4:8">
      <c r="D10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8" t="str">
        <f t="shared" si="15"/>
        <v/>
      </c>
    </row>
    <row r="1019" spans="4:8">
      <c r="D10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19" t="str">
        <f t="shared" si="15"/>
        <v/>
      </c>
    </row>
    <row r="1020" spans="4:8">
      <c r="D10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0" t="str">
        <f t="shared" si="15"/>
        <v/>
      </c>
    </row>
    <row r="1021" spans="4:8">
      <c r="D10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1" t="str">
        <f t="shared" si="15"/>
        <v/>
      </c>
    </row>
    <row r="1022" spans="4:8">
      <c r="D10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2" t="str">
        <f t="shared" si="15"/>
        <v/>
      </c>
    </row>
    <row r="1023" spans="4:8">
      <c r="D10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3" t="str">
        <f t="shared" si="15"/>
        <v/>
      </c>
    </row>
    <row r="1024" spans="4:8">
      <c r="D10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4" t="str">
        <f t="shared" si="15"/>
        <v/>
      </c>
    </row>
    <row r="1025" spans="4:8">
      <c r="D10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5" t="str">
        <f t="shared" si="15"/>
        <v/>
      </c>
    </row>
    <row r="1026" spans="4:8">
      <c r="D10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6" t="str">
        <f t="shared" ref="H1026:H1089" si="16">IF((F1026*G1026)&lt;&gt;0,F1026*G1026,"")</f>
        <v/>
      </c>
    </row>
    <row r="1027" spans="4:8">
      <c r="D10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7" t="str">
        <f t="shared" si="16"/>
        <v/>
      </c>
    </row>
    <row r="1028" spans="4:8">
      <c r="D10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8" t="str">
        <f t="shared" si="16"/>
        <v/>
      </c>
    </row>
    <row r="1029" spans="4:8">
      <c r="D10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29" t="str">
        <f t="shared" si="16"/>
        <v/>
      </c>
    </row>
    <row r="1030" spans="4:8">
      <c r="D10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0" t="str">
        <f t="shared" si="16"/>
        <v/>
      </c>
    </row>
    <row r="1031" spans="4:8">
      <c r="D10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1" t="str">
        <f t="shared" si="16"/>
        <v/>
      </c>
    </row>
    <row r="1032" spans="4:8">
      <c r="D10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2" t="str">
        <f t="shared" si="16"/>
        <v/>
      </c>
    </row>
    <row r="1033" spans="4:8">
      <c r="D10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3" t="str">
        <f t="shared" si="16"/>
        <v/>
      </c>
    </row>
    <row r="1034" spans="4:8">
      <c r="D10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4" t="str">
        <f t="shared" si="16"/>
        <v/>
      </c>
    </row>
    <row r="1035" spans="4:8">
      <c r="D10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5" t="str">
        <f t="shared" si="16"/>
        <v/>
      </c>
    </row>
    <row r="1036" spans="4:8">
      <c r="D10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6" t="str">
        <f t="shared" si="16"/>
        <v/>
      </c>
    </row>
    <row r="1037" spans="4:8">
      <c r="D10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7" t="str">
        <f t="shared" si="16"/>
        <v/>
      </c>
    </row>
    <row r="1038" spans="4:8">
      <c r="D10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8" t="str">
        <f t="shared" si="16"/>
        <v/>
      </c>
    </row>
    <row r="1039" spans="4:8">
      <c r="D10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39" t="str">
        <f t="shared" si="16"/>
        <v/>
      </c>
    </row>
    <row r="1040" spans="4:8">
      <c r="D10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0" t="str">
        <f t="shared" si="16"/>
        <v/>
      </c>
    </row>
    <row r="1041" spans="4:8">
      <c r="D10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1" t="str">
        <f t="shared" si="16"/>
        <v/>
      </c>
    </row>
    <row r="1042" spans="4:8">
      <c r="D10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2" t="str">
        <f t="shared" si="16"/>
        <v/>
      </c>
    </row>
    <row r="1043" spans="4:8">
      <c r="D10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3" t="str">
        <f t="shared" si="16"/>
        <v/>
      </c>
    </row>
    <row r="1044" spans="4:8">
      <c r="D10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4" t="str">
        <f t="shared" si="16"/>
        <v/>
      </c>
    </row>
    <row r="1045" spans="4:8">
      <c r="D10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5" t="str">
        <f t="shared" si="16"/>
        <v/>
      </c>
    </row>
    <row r="1046" spans="4:8">
      <c r="D10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6" t="str">
        <f t="shared" si="16"/>
        <v/>
      </c>
    </row>
    <row r="1047" spans="4:8">
      <c r="D10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7" t="str">
        <f t="shared" si="16"/>
        <v/>
      </c>
    </row>
    <row r="1048" spans="4:8">
      <c r="D10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8" t="str">
        <f t="shared" si="16"/>
        <v/>
      </c>
    </row>
    <row r="1049" spans="4:8">
      <c r="D10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49" t="str">
        <f t="shared" si="16"/>
        <v/>
      </c>
    </row>
    <row r="1050" spans="4:8">
      <c r="D10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0" t="str">
        <f t="shared" si="16"/>
        <v/>
      </c>
    </row>
    <row r="1051" spans="4:8">
      <c r="D10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1" t="str">
        <f t="shared" si="16"/>
        <v/>
      </c>
    </row>
    <row r="1052" spans="4:8">
      <c r="D10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2" t="str">
        <f t="shared" si="16"/>
        <v/>
      </c>
    </row>
    <row r="1053" spans="4:8">
      <c r="D10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3" t="str">
        <f t="shared" si="16"/>
        <v/>
      </c>
    </row>
    <row r="1054" spans="4:8">
      <c r="D10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4" t="str">
        <f t="shared" si="16"/>
        <v/>
      </c>
    </row>
    <row r="1055" spans="4:8">
      <c r="D10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5" t="str">
        <f t="shared" si="16"/>
        <v/>
      </c>
    </row>
    <row r="1056" spans="4:8">
      <c r="D10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6" t="str">
        <f t="shared" si="16"/>
        <v/>
      </c>
    </row>
    <row r="1057" spans="4:8">
      <c r="D10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7" t="str">
        <f t="shared" si="16"/>
        <v/>
      </c>
    </row>
    <row r="1058" spans="4:8">
      <c r="D10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8" t="str">
        <f t="shared" si="16"/>
        <v/>
      </c>
    </row>
    <row r="1059" spans="4:8">
      <c r="D10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59" t="str">
        <f t="shared" si="16"/>
        <v/>
      </c>
    </row>
    <row r="1060" spans="4:8">
      <c r="D10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0" t="str">
        <f t="shared" si="16"/>
        <v/>
      </c>
    </row>
    <row r="1061" spans="4:8">
      <c r="D10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1" t="str">
        <f t="shared" si="16"/>
        <v/>
      </c>
    </row>
    <row r="1062" spans="4:8">
      <c r="D10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2" t="str">
        <f t="shared" si="16"/>
        <v/>
      </c>
    </row>
    <row r="1063" spans="4:8">
      <c r="D10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3" t="str">
        <f t="shared" si="16"/>
        <v/>
      </c>
    </row>
    <row r="1064" spans="4:8">
      <c r="D10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4" t="str">
        <f t="shared" si="16"/>
        <v/>
      </c>
    </row>
    <row r="1065" spans="4:8">
      <c r="D10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5" t="str">
        <f t="shared" si="16"/>
        <v/>
      </c>
    </row>
    <row r="1066" spans="4:8">
      <c r="D10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6" t="str">
        <f t="shared" si="16"/>
        <v/>
      </c>
    </row>
    <row r="1067" spans="4:8">
      <c r="D10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7" t="str">
        <f t="shared" si="16"/>
        <v/>
      </c>
    </row>
    <row r="1068" spans="4:8">
      <c r="D10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8" t="str">
        <f t="shared" si="16"/>
        <v/>
      </c>
    </row>
    <row r="1069" spans="4:8">
      <c r="D10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69" t="str">
        <f t="shared" si="16"/>
        <v/>
      </c>
    </row>
    <row r="1070" spans="4:8">
      <c r="D10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0" t="str">
        <f t="shared" si="16"/>
        <v/>
      </c>
    </row>
    <row r="1071" spans="4:8">
      <c r="D10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1" t="str">
        <f t="shared" si="16"/>
        <v/>
      </c>
    </row>
    <row r="1072" spans="4:8">
      <c r="D10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2" t="str">
        <f t="shared" si="16"/>
        <v/>
      </c>
    </row>
    <row r="1073" spans="4:8">
      <c r="D10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3" t="str">
        <f t="shared" si="16"/>
        <v/>
      </c>
    </row>
    <row r="1074" spans="4:8">
      <c r="D10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4" t="str">
        <f t="shared" si="16"/>
        <v/>
      </c>
    </row>
    <row r="1075" spans="4:8">
      <c r="D10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5" t="str">
        <f t="shared" si="16"/>
        <v/>
      </c>
    </row>
    <row r="1076" spans="4:8">
      <c r="D10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6" t="str">
        <f t="shared" si="16"/>
        <v/>
      </c>
    </row>
    <row r="1077" spans="4:8">
      <c r="D10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7" t="str">
        <f t="shared" si="16"/>
        <v/>
      </c>
    </row>
    <row r="1078" spans="4:8">
      <c r="D10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8" t="str">
        <f t="shared" si="16"/>
        <v/>
      </c>
    </row>
    <row r="1079" spans="4:8">
      <c r="D10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79" t="str">
        <f t="shared" si="16"/>
        <v/>
      </c>
    </row>
    <row r="1080" spans="4:8">
      <c r="D10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0" t="str">
        <f t="shared" si="16"/>
        <v/>
      </c>
    </row>
    <row r="1081" spans="4:8">
      <c r="D10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1" t="str">
        <f t="shared" si="16"/>
        <v/>
      </c>
    </row>
    <row r="1082" spans="4:8">
      <c r="D10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2" t="str">
        <f t="shared" si="16"/>
        <v/>
      </c>
    </row>
    <row r="1083" spans="4:8">
      <c r="D10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3" t="str">
        <f t="shared" si="16"/>
        <v/>
      </c>
    </row>
    <row r="1084" spans="4:8">
      <c r="D10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4" t="str">
        <f t="shared" si="16"/>
        <v/>
      </c>
    </row>
    <row r="1085" spans="4:8">
      <c r="D10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5" t="str">
        <f t="shared" si="16"/>
        <v/>
      </c>
    </row>
    <row r="1086" spans="4:8">
      <c r="D10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6" t="str">
        <f t="shared" si="16"/>
        <v/>
      </c>
    </row>
    <row r="1087" spans="4:8">
      <c r="D10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7" t="str">
        <f t="shared" si="16"/>
        <v/>
      </c>
    </row>
    <row r="1088" spans="4:8">
      <c r="D10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8" t="str">
        <f t="shared" si="16"/>
        <v/>
      </c>
    </row>
    <row r="1089" spans="4:8">
      <c r="D10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89" t="str">
        <f t="shared" si="16"/>
        <v/>
      </c>
    </row>
    <row r="1090" spans="4:8">
      <c r="D10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0" t="str">
        <f t="shared" ref="H1090:H1153" si="17">IF((F1090*G1090)&lt;&gt;0,F1090*G1090,"")</f>
        <v/>
      </c>
    </row>
    <row r="1091" spans="4:8">
      <c r="D10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1" t="str">
        <f t="shared" si="17"/>
        <v/>
      </c>
    </row>
    <row r="1092" spans="4:8">
      <c r="D10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2" t="str">
        <f t="shared" si="17"/>
        <v/>
      </c>
    </row>
    <row r="1093" spans="4:8">
      <c r="D10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3" t="str">
        <f t="shared" si="17"/>
        <v/>
      </c>
    </row>
    <row r="1094" spans="4:8">
      <c r="D10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4" t="str">
        <f t="shared" si="17"/>
        <v/>
      </c>
    </row>
    <row r="1095" spans="4:8">
      <c r="D10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5" t="str">
        <f t="shared" si="17"/>
        <v/>
      </c>
    </row>
    <row r="1096" spans="4:8">
      <c r="D10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6" t="str">
        <f t="shared" si="17"/>
        <v/>
      </c>
    </row>
    <row r="1097" spans="4:8">
      <c r="D10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7" t="str">
        <f t="shared" si="17"/>
        <v/>
      </c>
    </row>
    <row r="1098" spans="4:8">
      <c r="D10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8" t="str">
        <f t="shared" si="17"/>
        <v/>
      </c>
    </row>
    <row r="1099" spans="4:8">
      <c r="D10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099" t="str">
        <f t="shared" si="17"/>
        <v/>
      </c>
    </row>
    <row r="1100" spans="4:8">
      <c r="D11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0" t="str">
        <f t="shared" si="17"/>
        <v/>
      </c>
    </row>
    <row r="1101" spans="4:8">
      <c r="D11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1" t="str">
        <f t="shared" si="17"/>
        <v/>
      </c>
    </row>
    <row r="1102" spans="4:8">
      <c r="D11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2" t="str">
        <f t="shared" si="17"/>
        <v/>
      </c>
    </row>
    <row r="1103" spans="4:8">
      <c r="D11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3" t="str">
        <f t="shared" si="17"/>
        <v/>
      </c>
    </row>
    <row r="1104" spans="4:8">
      <c r="D11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4" t="str">
        <f t="shared" si="17"/>
        <v/>
      </c>
    </row>
    <row r="1105" spans="4:8">
      <c r="D11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5" t="str">
        <f t="shared" si="17"/>
        <v/>
      </c>
    </row>
    <row r="1106" spans="4:8">
      <c r="D11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6" t="str">
        <f t="shared" si="17"/>
        <v/>
      </c>
    </row>
    <row r="1107" spans="4:8">
      <c r="D11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7" t="str">
        <f t="shared" si="17"/>
        <v/>
      </c>
    </row>
    <row r="1108" spans="4:8">
      <c r="D11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8" t="str">
        <f t="shared" si="17"/>
        <v/>
      </c>
    </row>
    <row r="1109" spans="4:8">
      <c r="D11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09" t="str">
        <f t="shared" si="17"/>
        <v/>
      </c>
    </row>
    <row r="1110" spans="4:8">
      <c r="D11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0" t="str">
        <f t="shared" si="17"/>
        <v/>
      </c>
    </row>
    <row r="1111" spans="4:8">
      <c r="D11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1" t="str">
        <f t="shared" si="17"/>
        <v/>
      </c>
    </row>
    <row r="1112" spans="4:8">
      <c r="D11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2" t="str">
        <f t="shared" si="17"/>
        <v/>
      </c>
    </row>
    <row r="1113" spans="4:8">
      <c r="D11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3" t="str">
        <f t="shared" si="17"/>
        <v/>
      </c>
    </row>
    <row r="1114" spans="4:8">
      <c r="D11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4" t="str">
        <f t="shared" si="17"/>
        <v/>
      </c>
    </row>
    <row r="1115" spans="4:8">
      <c r="D11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5" t="str">
        <f t="shared" si="17"/>
        <v/>
      </c>
    </row>
    <row r="1116" spans="4:8">
      <c r="D11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6" t="str">
        <f t="shared" si="17"/>
        <v/>
      </c>
    </row>
    <row r="1117" spans="4:8">
      <c r="D11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7" t="str">
        <f t="shared" si="17"/>
        <v/>
      </c>
    </row>
    <row r="1118" spans="4:8">
      <c r="D11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8" t="str">
        <f t="shared" si="17"/>
        <v/>
      </c>
    </row>
    <row r="1119" spans="4:8">
      <c r="D11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19" t="str">
        <f t="shared" si="17"/>
        <v/>
      </c>
    </row>
    <row r="1120" spans="4:8">
      <c r="D11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0" t="str">
        <f t="shared" si="17"/>
        <v/>
      </c>
    </row>
    <row r="1121" spans="4:8">
      <c r="D11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1" t="str">
        <f t="shared" si="17"/>
        <v/>
      </c>
    </row>
    <row r="1122" spans="4:8">
      <c r="D11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2" t="str">
        <f t="shared" si="17"/>
        <v/>
      </c>
    </row>
    <row r="1123" spans="4:8">
      <c r="D11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3" t="str">
        <f t="shared" si="17"/>
        <v/>
      </c>
    </row>
    <row r="1124" spans="4:8">
      <c r="D11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4" t="str">
        <f t="shared" si="17"/>
        <v/>
      </c>
    </row>
    <row r="1125" spans="4:8">
      <c r="D11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5" t="str">
        <f t="shared" si="17"/>
        <v/>
      </c>
    </row>
    <row r="1126" spans="4:8">
      <c r="D11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6" t="str">
        <f t="shared" si="17"/>
        <v/>
      </c>
    </row>
    <row r="1127" spans="4:8">
      <c r="D11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7" t="str">
        <f t="shared" si="17"/>
        <v/>
      </c>
    </row>
    <row r="1128" spans="4:8">
      <c r="D11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8" t="str">
        <f t="shared" si="17"/>
        <v/>
      </c>
    </row>
    <row r="1129" spans="4:8">
      <c r="D11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29" t="str">
        <f t="shared" si="17"/>
        <v/>
      </c>
    </row>
    <row r="1130" spans="4:8">
      <c r="D11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0" t="str">
        <f t="shared" si="17"/>
        <v/>
      </c>
    </row>
    <row r="1131" spans="4:8">
      <c r="D11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1" t="str">
        <f t="shared" si="17"/>
        <v/>
      </c>
    </row>
    <row r="1132" spans="4:8">
      <c r="D11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2" t="str">
        <f t="shared" si="17"/>
        <v/>
      </c>
    </row>
    <row r="1133" spans="4:8">
      <c r="D11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3" t="str">
        <f t="shared" si="17"/>
        <v/>
      </c>
    </row>
    <row r="1134" spans="4:8">
      <c r="D11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4" t="str">
        <f t="shared" si="17"/>
        <v/>
      </c>
    </row>
    <row r="1135" spans="4:8">
      <c r="D11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5" t="str">
        <f t="shared" si="17"/>
        <v/>
      </c>
    </row>
    <row r="1136" spans="4:8">
      <c r="D11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6" t="str">
        <f t="shared" si="17"/>
        <v/>
      </c>
    </row>
    <row r="1137" spans="4:8">
      <c r="D11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7" t="str">
        <f t="shared" si="17"/>
        <v/>
      </c>
    </row>
    <row r="1138" spans="4:8">
      <c r="D11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8" t="str">
        <f t="shared" si="17"/>
        <v/>
      </c>
    </row>
    <row r="1139" spans="4:8">
      <c r="D11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39" t="str">
        <f t="shared" si="17"/>
        <v/>
      </c>
    </row>
    <row r="1140" spans="4:8">
      <c r="D11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0" t="str">
        <f t="shared" si="17"/>
        <v/>
      </c>
    </row>
    <row r="1141" spans="4:8">
      <c r="D11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1" t="str">
        <f t="shared" si="17"/>
        <v/>
      </c>
    </row>
    <row r="1142" spans="4:8">
      <c r="D11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2" t="str">
        <f t="shared" si="17"/>
        <v/>
      </c>
    </row>
    <row r="1143" spans="4:8">
      <c r="D11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3" t="str">
        <f t="shared" si="17"/>
        <v/>
      </c>
    </row>
    <row r="1144" spans="4:8">
      <c r="D11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4" t="str">
        <f t="shared" si="17"/>
        <v/>
      </c>
    </row>
    <row r="1145" spans="4:8">
      <c r="D11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5" t="str">
        <f t="shared" si="17"/>
        <v/>
      </c>
    </row>
    <row r="1146" spans="4:8">
      <c r="D11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6" t="str">
        <f t="shared" si="17"/>
        <v/>
      </c>
    </row>
    <row r="1147" spans="4:8">
      <c r="D11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7" t="str">
        <f t="shared" si="17"/>
        <v/>
      </c>
    </row>
    <row r="1148" spans="4:8">
      <c r="D11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8" t="str">
        <f t="shared" si="17"/>
        <v/>
      </c>
    </row>
    <row r="1149" spans="4:8">
      <c r="D11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49" t="str">
        <f t="shared" si="17"/>
        <v/>
      </c>
    </row>
    <row r="1150" spans="4:8">
      <c r="D11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0" t="str">
        <f t="shared" si="17"/>
        <v/>
      </c>
    </row>
    <row r="1151" spans="4:8">
      <c r="D11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1" t="str">
        <f t="shared" si="17"/>
        <v/>
      </c>
    </row>
    <row r="1152" spans="4:8">
      <c r="D11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2" t="str">
        <f t="shared" si="17"/>
        <v/>
      </c>
    </row>
    <row r="1153" spans="4:8">
      <c r="D11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3" t="str">
        <f t="shared" si="17"/>
        <v/>
      </c>
    </row>
    <row r="1154" spans="4:8">
      <c r="D11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4" t="str">
        <f t="shared" ref="H1154:H1217" si="18">IF((F1154*G1154)&lt;&gt;0,F1154*G1154,"")</f>
        <v/>
      </c>
    </row>
    <row r="1155" spans="4:8">
      <c r="D11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5" t="str">
        <f t="shared" si="18"/>
        <v/>
      </c>
    </row>
    <row r="1156" spans="4:8">
      <c r="D11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6" t="str">
        <f t="shared" si="18"/>
        <v/>
      </c>
    </row>
    <row r="1157" spans="4:8">
      <c r="D11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7" t="str">
        <f t="shared" si="18"/>
        <v/>
      </c>
    </row>
    <row r="1158" spans="4:8">
      <c r="D11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8" t="str">
        <f t="shared" si="18"/>
        <v/>
      </c>
    </row>
    <row r="1159" spans="4:8">
      <c r="D11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59" t="str">
        <f t="shared" si="18"/>
        <v/>
      </c>
    </row>
    <row r="1160" spans="4:8">
      <c r="D11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0" t="str">
        <f t="shared" si="18"/>
        <v/>
      </c>
    </row>
    <row r="1161" spans="4:8">
      <c r="D11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1" t="str">
        <f t="shared" si="18"/>
        <v/>
      </c>
    </row>
    <row r="1162" spans="4:8">
      <c r="D11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2" t="str">
        <f t="shared" si="18"/>
        <v/>
      </c>
    </row>
    <row r="1163" spans="4:8">
      <c r="D11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3" t="str">
        <f t="shared" si="18"/>
        <v/>
      </c>
    </row>
    <row r="1164" spans="4:8">
      <c r="D11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4" t="str">
        <f t="shared" si="18"/>
        <v/>
      </c>
    </row>
    <row r="1165" spans="4:8">
      <c r="D11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5" t="str">
        <f t="shared" si="18"/>
        <v/>
      </c>
    </row>
    <row r="1166" spans="4:8">
      <c r="D11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6" t="str">
        <f t="shared" si="18"/>
        <v/>
      </c>
    </row>
    <row r="1167" spans="4:8">
      <c r="D11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7" t="str">
        <f t="shared" si="18"/>
        <v/>
      </c>
    </row>
    <row r="1168" spans="4:8">
      <c r="D11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8" t="str">
        <f t="shared" si="18"/>
        <v/>
      </c>
    </row>
    <row r="1169" spans="4:8">
      <c r="D11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69" t="str">
        <f t="shared" si="18"/>
        <v/>
      </c>
    </row>
    <row r="1170" spans="4:8">
      <c r="D11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0" t="str">
        <f t="shared" si="18"/>
        <v/>
      </c>
    </row>
    <row r="1171" spans="4:8">
      <c r="D11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1" t="str">
        <f t="shared" si="18"/>
        <v/>
      </c>
    </row>
    <row r="1172" spans="4:8">
      <c r="D11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2" t="str">
        <f t="shared" si="18"/>
        <v/>
      </c>
    </row>
    <row r="1173" spans="4:8">
      <c r="D11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3" t="str">
        <f t="shared" si="18"/>
        <v/>
      </c>
    </row>
    <row r="1174" spans="4:8">
      <c r="D11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4" t="str">
        <f t="shared" si="18"/>
        <v/>
      </c>
    </row>
    <row r="1175" spans="4:8">
      <c r="D11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5" t="str">
        <f t="shared" si="18"/>
        <v/>
      </c>
    </row>
    <row r="1176" spans="4:8">
      <c r="D11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6" t="str">
        <f t="shared" si="18"/>
        <v/>
      </c>
    </row>
    <row r="1177" spans="4:8">
      <c r="D11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7" t="str">
        <f t="shared" si="18"/>
        <v/>
      </c>
    </row>
    <row r="1178" spans="4:8">
      <c r="D11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8" t="str">
        <f t="shared" si="18"/>
        <v/>
      </c>
    </row>
    <row r="1179" spans="4:8">
      <c r="D11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79" t="str">
        <f t="shared" si="18"/>
        <v/>
      </c>
    </row>
    <row r="1180" spans="4:8">
      <c r="D11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0" t="str">
        <f t="shared" si="18"/>
        <v/>
      </c>
    </row>
    <row r="1181" spans="4:8">
      <c r="D11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1" t="str">
        <f t="shared" si="18"/>
        <v/>
      </c>
    </row>
    <row r="1182" spans="4:8">
      <c r="D11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2" t="str">
        <f t="shared" si="18"/>
        <v/>
      </c>
    </row>
    <row r="1183" spans="4:8">
      <c r="D11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3" t="str">
        <f t="shared" si="18"/>
        <v/>
      </c>
    </row>
    <row r="1184" spans="4:8">
      <c r="D11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4" t="str">
        <f t="shared" si="18"/>
        <v/>
      </c>
    </row>
    <row r="1185" spans="4:8">
      <c r="D11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5" t="str">
        <f t="shared" si="18"/>
        <v/>
      </c>
    </row>
    <row r="1186" spans="4:8">
      <c r="D11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6" t="str">
        <f t="shared" si="18"/>
        <v/>
      </c>
    </row>
    <row r="1187" spans="4:8">
      <c r="D11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7" t="str">
        <f t="shared" si="18"/>
        <v/>
      </c>
    </row>
    <row r="1188" spans="4:8">
      <c r="D11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8" t="str">
        <f t="shared" si="18"/>
        <v/>
      </c>
    </row>
    <row r="1189" spans="4:8">
      <c r="D11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89" t="str">
        <f t="shared" si="18"/>
        <v/>
      </c>
    </row>
    <row r="1190" spans="4:8">
      <c r="D11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0" t="str">
        <f t="shared" si="18"/>
        <v/>
      </c>
    </row>
    <row r="1191" spans="4:8">
      <c r="D11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1" t="str">
        <f t="shared" si="18"/>
        <v/>
      </c>
    </row>
    <row r="1192" spans="4:8">
      <c r="D11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2" t="str">
        <f t="shared" si="18"/>
        <v/>
      </c>
    </row>
    <row r="1193" spans="4:8">
      <c r="D11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3" t="str">
        <f t="shared" si="18"/>
        <v/>
      </c>
    </row>
    <row r="1194" spans="4:8">
      <c r="D11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4" t="str">
        <f t="shared" si="18"/>
        <v/>
      </c>
    </row>
    <row r="1195" spans="4:8">
      <c r="D11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5" t="str">
        <f t="shared" si="18"/>
        <v/>
      </c>
    </row>
    <row r="1196" spans="4:8">
      <c r="D11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6" t="str">
        <f t="shared" si="18"/>
        <v/>
      </c>
    </row>
    <row r="1197" spans="4:8">
      <c r="D11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7" t="str">
        <f t="shared" si="18"/>
        <v/>
      </c>
    </row>
    <row r="1198" spans="4:8">
      <c r="D11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8" t="str">
        <f t="shared" si="18"/>
        <v/>
      </c>
    </row>
    <row r="1199" spans="4:8">
      <c r="D11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199" t="str">
        <f t="shared" si="18"/>
        <v/>
      </c>
    </row>
    <row r="1200" spans="4:8">
      <c r="D12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0" t="str">
        <f t="shared" si="18"/>
        <v/>
      </c>
    </row>
    <row r="1201" spans="4:8">
      <c r="D12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1" t="str">
        <f t="shared" si="18"/>
        <v/>
      </c>
    </row>
    <row r="1202" spans="4:8">
      <c r="D12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2" t="str">
        <f t="shared" si="18"/>
        <v/>
      </c>
    </row>
    <row r="1203" spans="4:8">
      <c r="D12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3" t="str">
        <f t="shared" si="18"/>
        <v/>
      </c>
    </row>
    <row r="1204" spans="4:8">
      <c r="D12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4" t="str">
        <f t="shared" si="18"/>
        <v/>
      </c>
    </row>
    <row r="1205" spans="4:8">
      <c r="D12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5" t="str">
        <f t="shared" si="18"/>
        <v/>
      </c>
    </row>
    <row r="1206" spans="4:8">
      <c r="D12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6" t="str">
        <f t="shared" si="18"/>
        <v/>
      </c>
    </row>
    <row r="1207" spans="4:8">
      <c r="D12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7" t="str">
        <f t="shared" si="18"/>
        <v/>
      </c>
    </row>
    <row r="1208" spans="4:8">
      <c r="D12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8" t="str">
        <f t="shared" si="18"/>
        <v/>
      </c>
    </row>
    <row r="1209" spans="4:8">
      <c r="D12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09" t="str">
        <f t="shared" si="18"/>
        <v/>
      </c>
    </row>
    <row r="1210" spans="4:8">
      <c r="D12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0" t="str">
        <f t="shared" si="18"/>
        <v/>
      </c>
    </row>
    <row r="1211" spans="4:8">
      <c r="D12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1" t="str">
        <f t="shared" si="18"/>
        <v/>
      </c>
    </row>
    <row r="1212" spans="4:8">
      <c r="D12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2" t="str">
        <f t="shared" si="18"/>
        <v/>
      </c>
    </row>
    <row r="1213" spans="4:8">
      <c r="D12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3" t="str">
        <f t="shared" si="18"/>
        <v/>
      </c>
    </row>
    <row r="1214" spans="4:8">
      <c r="D12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4" t="str">
        <f t="shared" si="18"/>
        <v/>
      </c>
    </row>
    <row r="1215" spans="4:8">
      <c r="D12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5" t="str">
        <f t="shared" si="18"/>
        <v/>
      </c>
    </row>
    <row r="1216" spans="4:8">
      <c r="D12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6" t="str">
        <f t="shared" si="18"/>
        <v/>
      </c>
    </row>
    <row r="1217" spans="4:8">
      <c r="D12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7" t="str">
        <f t="shared" si="18"/>
        <v/>
      </c>
    </row>
    <row r="1218" spans="4:8">
      <c r="D12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8" t="str">
        <f t="shared" ref="H1218:H1281" si="19">IF((F1218*G1218)&lt;&gt;0,F1218*G1218,"")</f>
        <v/>
      </c>
    </row>
    <row r="1219" spans="4:8">
      <c r="D12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19" t="str">
        <f t="shared" si="19"/>
        <v/>
      </c>
    </row>
    <row r="1220" spans="4:8">
      <c r="D12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0" t="str">
        <f t="shared" si="19"/>
        <v/>
      </c>
    </row>
    <row r="1221" spans="4:8">
      <c r="D12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1" t="str">
        <f t="shared" si="19"/>
        <v/>
      </c>
    </row>
    <row r="1222" spans="4:8">
      <c r="D12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2" t="str">
        <f t="shared" si="19"/>
        <v/>
      </c>
    </row>
    <row r="1223" spans="4:8">
      <c r="D12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3" t="str">
        <f t="shared" si="19"/>
        <v/>
      </c>
    </row>
    <row r="1224" spans="4:8">
      <c r="D12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4" t="str">
        <f t="shared" si="19"/>
        <v/>
      </c>
    </row>
    <row r="1225" spans="4:8">
      <c r="D12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5" t="str">
        <f t="shared" si="19"/>
        <v/>
      </c>
    </row>
    <row r="1226" spans="4:8">
      <c r="D12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6" t="str">
        <f t="shared" si="19"/>
        <v/>
      </c>
    </row>
    <row r="1227" spans="4:8">
      <c r="D12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7" t="str">
        <f t="shared" si="19"/>
        <v/>
      </c>
    </row>
    <row r="1228" spans="4:8">
      <c r="D12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8" t="str">
        <f t="shared" si="19"/>
        <v/>
      </c>
    </row>
    <row r="1229" spans="4:8">
      <c r="D12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29" t="str">
        <f t="shared" si="19"/>
        <v/>
      </c>
    </row>
    <row r="1230" spans="4:8">
      <c r="D12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0" t="str">
        <f t="shared" si="19"/>
        <v/>
      </c>
    </row>
    <row r="1231" spans="4:8">
      <c r="D12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1" t="str">
        <f t="shared" si="19"/>
        <v/>
      </c>
    </row>
    <row r="1232" spans="4:8">
      <c r="D12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2" t="str">
        <f t="shared" si="19"/>
        <v/>
      </c>
    </row>
    <row r="1233" spans="4:8">
      <c r="D12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3" t="str">
        <f t="shared" si="19"/>
        <v/>
      </c>
    </row>
    <row r="1234" spans="4:8">
      <c r="D12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4" t="str">
        <f t="shared" si="19"/>
        <v/>
      </c>
    </row>
    <row r="1235" spans="4:8">
      <c r="D12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5" t="str">
        <f t="shared" si="19"/>
        <v/>
      </c>
    </row>
    <row r="1236" spans="4:8">
      <c r="D12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6" t="str">
        <f t="shared" si="19"/>
        <v/>
      </c>
    </row>
    <row r="1237" spans="4:8">
      <c r="D12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7" t="str">
        <f t="shared" si="19"/>
        <v/>
      </c>
    </row>
    <row r="1238" spans="4:8">
      <c r="D12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8" t="str">
        <f t="shared" si="19"/>
        <v/>
      </c>
    </row>
    <row r="1239" spans="4:8">
      <c r="D12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39" t="str">
        <f t="shared" si="19"/>
        <v/>
      </c>
    </row>
    <row r="1240" spans="4:8">
      <c r="D12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0" t="str">
        <f t="shared" si="19"/>
        <v/>
      </c>
    </row>
    <row r="1241" spans="4:8">
      <c r="D12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1" t="str">
        <f t="shared" si="19"/>
        <v/>
      </c>
    </row>
    <row r="1242" spans="4:8">
      <c r="D12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2" t="str">
        <f t="shared" si="19"/>
        <v/>
      </c>
    </row>
    <row r="1243" spans="4:8">
      <c r="D12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3" t="str">
        <f t="shared" si="19"/>
        <v/>
      </c>
    </row>
    <row r="1244" spans="4:8">
      <c r="D12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4" t="str">
        <f t="shared" si="19"/>
        <v/>
      </c>
    </row>
    <row r="1245" spans="4:8">
      <c r="D12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5" t="str">
        <f t="shared" si="19"/>
        <v/>
      </c>
    </row>
    <row r="1246" spans="4:8">
      <c r="D12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6" t="str">
        <f t="shared" si="19"/>
        <v/>
      </c>
    </row>
    <row r="1247" spans="4:8">
      <c r="D12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7" t="str">
        <f t="shared" si="19"/>
        <v/>
      </c>
    </row>
    <row r="1248" spans="4:8">
      <c r="D12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8" t="str">
        <f t="shared" si="19"/>
        <v/>
      </c>
    </row>
    <row r="1249" spans="4:8">
      <c r="D12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49" t="str">
        <f t="shared" si="19"/>
        <v/>
      </c>
    </row>
    <row r="1250" spans="4:8">
      <c r="D12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0" t="str">
        <f t="shared" si="19"/>
        <v/>
      </c>
    </row>
    <row r="1251" spans="4:8">
      <c r="D12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1" t="str">
        <f t="shared" si="19"/>
        <v/>
      </c>
    </row>
    <row r="1252" spans="4:8">
      <c r="D12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2" t="str">
        <f t="shared" si="19"/>
        <v/>
      </c>
    </row>
    <row r="1253" spans="4:8">
      <c r="D12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3" t="str">
        <f t="shared" si="19"/>
        <v/>
      </c>
    </row>
    <row r="1254" spans="4:8">
      <c r="D12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4" t="str">
        <f t="shared" si="19"/>
        <v/>
      </c>
    </row>
    <row r="1255" spans="4:8">
      <c r="D12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5" t="str">
        <f t="shared" si="19"/>
        <v/>
      </c>
    </row>
    <row r="1256" spans="4:8">
      <c r="D12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6" t="str">
        <f t="shared" si="19"/>
        <v/>
      </c>
    </row>
    <row r="1257" spans="4:8">
      <c r="D12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7" t="str">
        <f t="shared" si="19"/>
        <v/>
      </c>
    </row>
    <row r="1258" spans="4:8">
      <c r="D12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8" t="str">
        <f t="shared" si="19"/>
        <v/>
      </c>
    </row>
    <row r="1259" spans="4:8">
      <c r="D12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59" t="str">
        <f t="shared" si="19"/>
        <v/>
      </c>
    </row>
    <row r="1260" spans="4:8">
      <c r="D12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0" t="str">
        <f t="shared" si="19"/>
        <v/>
      </c>
    </row>
    <row r="1261" spans="4:8">
      <c r="D12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1" t="str">
        <f t="shared" si="19"/>
        <v/>
      </c>
    </row>
    <row r="1262" spans="4:8">
      <c r="D12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2" t="str">
        <f t="shared" si="19"/>
        <v/>
      </c>
    </row>
    <row r="1263" spans="4:8">
      <c r="D12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3" t="str">
        <f t="shared" si="19"/>
        <v/>
      </c>
    </row>
    <row r="1264" spans="4:8">
      <c r="D12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4" t="str">
        <f t="shared" si="19"/>
        <v/>
      </c>
    </row>
    <row r="1265" spans="4:8">
      <c r="D12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5" t="str">
        <f t="shared" si="19"/>
        <v/>
      </c>
    </row>
    <row r="1266" spans="4:8">
      <c r="D12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6" t="str">
        <f t="shared" si="19"/>
        <v/>
      </c>
    </row>
    <row r="1267" spans="4:8">
      <c r="D12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7" t="str">
        <f t="shared" si="19"/>
        <v/>
      </c>
    </row>
    <row r="1268" spans="4:8">
      <c r="D12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8" t="str">
        <f t="shared" si="19"/>
        <v/>
      </c>
    </row>
    <row r="1269" spans="4:8">
      <c r="D12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69" t="str">
        <f t="shared" si="19"/>
        <v/>
      </c>
    </row>
    <row r="1270" spans="4:8">
      <c r="D12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0" t="str">
        <f t="shared" si="19"/>
        <v/>
      </c>
    </row>
    <row r="1271" spans="4:8">
      <c r="D12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1" t="str">
        <f t="shared" si="19"/>
        <v/>
      </c>
    </row>
    <row r="1272" spans="4:8">
      <c r="D12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2" t="str">
        <f t="shared" si="19"/>
        <v/>
      </c>
    </row>
    <row r="1273" spans="4:8">
      <c r="D12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3" t="str">
        <f t="shared" si="19"/>
        <v/>
      </c>
    </row>
    <row r="1274" spans="4:8">
      <c r="D12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4" t="str">
        <f t="shared" si="19"/>
        <v/>
      </c>
    </row>
    <row r="1275" spans="4:8">
      <c r="D12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5" t="str">
        <f t="shared" si="19"/>
        <v/>
      </c>
    </row>
    <row r="1276" spans="4:8">
      <c r="D12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6" t="str">
        <f t="shared" si="19"/>
        <v/>
      </c>
    </row>
    <row r="1277" spans="4:8">
      <c r="D12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7" t="str">
        <f t="shared" si="19"/>
        <v/>
      </c>
    </row>
    <row r="1278" spans="4:8">
      <c r="D12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8" t="str">
        <f t="shared" si="19"/>
        <v/>
      </c>
    </row>
    <row r="1279" spans="4:8">
      <c r="D12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79" t="str">
        <f t="shared" si="19"/>
        <v/>
      </c>
    </row>
    <row r="1280" spans="4:8">
      <c r="D12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0" t="str">
        <f t="shared" si="19"/>
        <v/>
      </c>
    </row>
    <row r="1281" spans="4:8">
      <c r="D12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1" t="str">
        <f t="shared" si="19"/>
        <v/>
      </c>
    </row>
    <row r="1282" spans="4:8">
      <c r="D12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2" t="str">
        <f t="shared" ref="H1282:H1345" si="20">IF((F1282*G1282)&lt;&gt;0,F1282*G1282,"")</f>
        <v/>
      </c>
    </row>
    <row r="1283" spans="4:8">
      <c r="D12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3" t="str">
        <f t="shared" si="20"/>
        <v/>
      </c>
    </row>
    <row r="1284" spans="4:8">
      <c r="D12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4" t="str">
        <f t="shared" si="20"/>
        <v/>
      </c>
    </row>
    <row r="1285" spans="4:8">
      <c r="D12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5" t="str">
        <f t="shared" si="20"/>
        <v/>
      </c>
    </row>
    <row r="1286" spans="4:8">
      <c r="D12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6" t="str">
        <f t="shared" si="20"/>
        <v/>
      </c>
    </row>
    <row r="1287" spans="4:8">
      <c r="D12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7" t="str">
        <f t="shared" si="20"/>
        <v/>
      </c>
    </row>
    <row r="1288" spans="4:8">
      <c r="D12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8" t="str">
        <f t="shared" si="20"/>
        <v/>
      </c>
    </row>
    <row r="1289" spans="4:8">
      <c r="D12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89" t="str">
        <f t="shared" si="20"/>
        <v/>
      </c>
    </row>
    <row r="1290" spans="4:8">
      <c r="D12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0" t="str">
        <f t="shared" si="20"/>
        <v/>
      </c>
    </row>
    <row r="1291" spans="4:8">
      <c r="D12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1" t="str">
        <f t="shared" si="20"/>
        <v/>
      </c>
    </row>
    <row r="1292" spans="4:8">
      <c r="D12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2" t="str">
        <f t="shared" si="20"/>
        <v/>
      </c>
    </row>
    <row r="1293" spans="4:8">
      <c r="D12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3" t="str">
        <f t="shared" si="20"/>
        <v/>
      </c>
    </row>
    <row r="1294" spans="4:8">
      <c r="D12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4" t="str">
        <f t="shared" si="20"/>
        <v/>
      </c>
    </row>
    <row r="1295" spans="4:8">
      <c r="D12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5" t="str">
        <f t="shared" si="20"/>
        <v/>
      </c>
    </row>
    <row r="1296" spans="4:8">
      <c r="D12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6" t="str">
        <f t="shared" si="20"/>
        <v/>
      </c>
    </row>
    <row r="1297" spans="4:8">
      <c r="D12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7" t="str">
        <f t="shared" si="20"/>
        <v/>
      </c>
    </row>
    <row r="1298" spans="4:8">
      <c r="D12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8" t="str">
        <f t="shared" si="20"/>
        <v/>
      </c>
    </row>
    <row r="1299" spans="4:8">
      <c r="D12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299" t="str">
        <f t="shared" si="20"/>
        <v/>
      </c>
    </row>
    <row r="1300" spans="4:8">
      <c r="D13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0" t="str">
        <f t="shared" si="20"/>
        <v/>
      </c>
    </row>
    <row r="1301" spans="4:8">
      <c r="D13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1" t="str">
        <f t="shared" si="20"/>
        <v/>
      </c>
    </row>
    <row r="1302" spans="4:8">
      <c r="D13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2" t="str">
        <f t="shared" si="20"/>
        <v/>
      </c>
    </row>
    <row r="1303" spans="4:8">
      <c r="D13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3" t="str">
        <f t="shared" si="20"/>
        <v/>
      </c>
    </row>
    <row r="1304" spans="4:8">
      <c r="D13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4" t="str">
        <f t="shared" si="20"/>
        <v/>
      </c>
    </row>
    <row r="1305" spans="4:8">
      <c r="D13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5" t="str">
        <f t="shared" si="20"/>
        <v/>
      </c>
    </row>
    <row r="1306" spans="4:8">
      <c r="D13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6" t="str">
        <f t="shared" si="20"/>
        <v/>
      </c>
    </row>
    <row r="1307" spans="4:8">
      <c r="D13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7" t="str">
        <f t="shared" si="20"/>
        <v/>
      </c>
    </row>
    <row r="1308" spans="4:8">
      <c r="D13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8" t="str">
        <f t="shared" si="20"/>
        <v/>
      </c>
    </row>
    <row r="1309" spans="4:8">
      <c r="D13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09" t="str">
        <f t="shared" si="20"/>
        <v/>
      </c>
    </row>
    <row r="1310" spans="4:8">
      <c r="D13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0" t="str">
        <f t="shared" si="20"/>
        <v/>
      </c>
    </row>
    <row r="1311" spans="4:8">
      <c r="D13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1" t="str">
        <f t="shared" si="20"/>
        <v/>
      </c>
    </row>
    <row r="1312" spans="4:8">
      <c r="D13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2" t="str">
        <f t="shared" si="20"/>
        <v/>
      </c>
    </row>
    <row r="1313" spans="4:8">
      <c r="D13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3" t="str">
        <f t="shared" si="20"/>
        <v/>
      </c>
    </row>
    <row r="1314" spans="4:8">
      <c r="D13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4" t="str">
        <f t="shared" si="20"/>
        <v/>
      </c>
    </row>
    <row r="1315" spans="4:8">
      <c r="D13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5" t="str">
        <f t="shared" si="20"/>
        <v/>
      </c>
    </row>
    <row r="1316" spans="4:8">
      <c r="D13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6" t="str">
        <f t="shared" si="20"/>
        <v/>
      </c>
    </row>
    <row r="1317" spans="4:8">
      <c r="D13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7" t="str">
        <f t="shared" si="20"/>
        <v/>
      </c>
    </row>
    <row r="1318" spans="4:8">
      <c r="D13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8" t="str">
        <f t="shared" si="20"/>
        <v/>
      </c>
    </row>
    <row r="1319" spans="4:8">
      <c r="D13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19" t="str">
        <f t="shared" si="20"/>
        <v/>
      </c>
    </row>
    <row r="1320" spans="4:8">
      <c r="D13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0" t="str">
        <f t="shared" si="20"/>
        <v/>
      </c>
    </row>
    <row r="1321" spans="4:8">
      <c r="D13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1" t="str">
        <f t="shared" si="20"/>
        <v/>
      </c>
    </row>
    <row r="1322" spans="4:8">
      <c r="D13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2" t="str">
        <f t="shared" si="20"/>
        <v/>
      </c>
    </row>
    <row r="1323" spans="4:8">
      <c r="D13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3" t="str">
        <f t="shared" si="20"/>
        <v/>
      </c>
    </row>
    <row r="1324" spans="4:8">
      <c r="D13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4" t="str">
        <f t="shared" si="20"/>
        <v/>
      </c>
    </row>
    <row r="1325" spans="4:8">
      <c r="D13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5" t="str">
        <f t="shared" si="20"/>
        <v/>
      </c>
    </row>
    <row r="1326" spans="4:8">
      <c r="D13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6" t="str">
        <f t="shared" si="20"/>
        <v/>
      </c>
    </row>
    <row r="1327" spans="4:8">
      <c r="D13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7" t="str">
        <f t="shared" si="20"/>
        <v/>
      </c>
    </row>
    <row r="1328" spans="4:8">
      <c r="D13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8" t="str">
        <f t="shared" si="20"/>
        <v/>
      </c>
    </row>
    <row r="1329" spans="4:8">
      <c r="D13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29" t="str">
        <f t="shared" si="20"/>
        <v/>
      </c>
    </row>
    <row r="1330" spans="4:8">
      <c r="D13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0" t="str">
        <f t="shared" si="20"/>
        <v/>
      </c>
    </row>
    <row r="1331" spans="4:8">
      <c r="D13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1" t="str">
        <f t="shared" si="20"/>
        <v/>
      </c>
    </row>
    <row r="1332" spans="4:8">
      <c r="D13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2" t="str">
        <f t="shared" si="20"/>
        <v/>
      </c>
    </row>
    <row r="1333" spans="4:8">
      <c r="D13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3" t="str">
        <f t="shared" si="20"/>
        <v/>
      </c>
    </row>
    <row r="1334" spans="4:8">
      <c r="D13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4" t="str">
        <f t="shared" si="20"/>
        <v/>
      </c>
    </row>
    <row r="1335" spans="4:8">
      <c r="D13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5" t="str">
        <f t="shared" si="20"/>
        <v/>
      </c>
    </row>
    <row r="1336" spans="4:8">
      <c r="D13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6" t="str">
        <f t="shared" si="20"/>
        <v/>
      </c>
    </row>
    <row r="1337" spans="4:8">
      <c r="D13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7" t="str">
        <f t="shared" si="20"/>
        <v/>
      </c>
    </row>
    <row r="1338" spans="4:8">
      <c r="D13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8" t="str">
        <f t="shared" si="20"/>
        <v/>
      </c>
    </row>
    <row r="1339" spans="4:8">
      <c r="D13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39" t="str">
        <f t="shared" si="20"/>
        <v/>
      </c>
    </row>
    <row r="1340" spans="4:8">
      <c r="D13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0" t="str">
        <f t="shared" si="20"/>
        <v/>
      </c>
    </row>
    <row r="1341" spans="4:8">
      <c r="D13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1" t="str">
        <f t="shared" si="20"/>
        <v/>
      </c>
    </row>
    <row r="1342" spans="4:8">
      <c r="D13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2" t="str">
        <f t="shared" si="20"/>
        <v/>
      </c>
    </row>
    <row r="1343" spans="4:8">
      <c r="D13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3" t="str">
        <f t="shared" si="20"/>
        <v/>
      </c>
    </row>
    <row r="1344" spans="4:8">
      <c r="D13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4" t="str">
        <f t="shared" si="20"/>
        <v/>
      </c>
    </row>
    <row r="1345" spans="4:8">
      <c r="D13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5" t="str">
        <f t="shared" si="20"/>
        <v/>
      </c>
    </row>
    <row r="1346" spans="4:8">
      <c r="D13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6" t="str">
        <f t="shared" ref="H1346:H1409" si="21">IF((F1346*G1346)&lt;&gt;0,F1346*G1346,"")</f>
        <v/>
      </c>
    </row>
    <row r="1347" spans="4:8">
      <c r="D13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7" t="str">
        <f t="shared" si="21"/>
        <v/>
      </c>
    </row>
    <row r="1348" spans="4:8">
      <c r="D13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8" t="str">
        <f t="shared" si="21"/>
        <v/>
      </c>
    </row>
    <row r="1349" spans="4:8">
      <c r="D13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49" t="str">
        <f t="shared" si="21"/>
        <v/>
      </c>
    </row>
    <row r="1350" spans="4:8">
      <c r="D13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0" t="str">
        <f t="shared" si="21"/>
        <v/>
      </c>
    </row>
    <row r="1351" spans="4:8">
      <c r="D13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1" t="str">
        <f t="shared" si="21"/>
        <v/>
      </c>
    </row>
    <row r="1352" spans="4:8">
      <c r="D13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2" t="str">
        <f t="shared" si="21"/>
        <v/>
      </c>
    </row>
    <row r="1353" spans="4:8">
      <c r="D13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3" t="str">
        <f t="shared" si="21"/>
        <v/>
      </c>
    </row>
    <row r="1354" spans="4:8">
      <c r="D13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4" t="str">
        <f t="shared" si="21"/>
        <v/>
      </c>
    </row>
    <row r="1355" spans="4:8">
      <c r="D13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5" t="str">
        <f t="shared" si="21"/>
        <v/>
      </c>
    </row>
    <row r="1356" spans="4:8">
      <c r="D13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6" t="str">
        <f t="shared" si="21"/>
        <v/>
      </c>
    </row>
    <row r="1357" spans="4:8">
      <c r="D13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7" t="str">
        <f t="shared" si="21"/>
        <v/>
      </c>
    </row>
    <row r="1358" spans="4:8">
      <c r="D13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8" t="str">
        <f t="shared" si="21"/>
        <v/>
      </c>
    </row>
    <row r="1359" spans="4:8">
      <c r="D13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59" t="str">
        <f t="shared" si="21"/>
        <v/>
      </c>
    </row>
    <row r="1360" spans="4:8">
      <c r="D13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0" t="str">
        <f t="shared" si="21"/>
        <v/>
      </c>
    </row>
    <row r="1361" spans="4:8">
      <c r="D13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1" t="str">
        <f t="shared" si="21"/>
        <v/>
      </c>
    </row>
    <row r="1362" spans="4:8">
      <c r="D13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2" t="str">
        <f t="shared" si="21"/>
        <v/>
      </c>
    </row>
    <row r="1363" spans="4:8">
      <c r="D13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3" t="str">
        <f t="shared" si="21"/>
        <v/>
      </c>
    </row>
    <row r="1364" spans="4:8">
      <c r="D13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4" t="str">
        <f t="shared" si="21"/>
        <v/>
      </c>
    </row>
    <row r="1365" spans="4:8">
      <c r="D13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5" t="str">
        <f t="shared" si="21"/>
        <v/>
      </c>
    </row>
    <row r="1366" spans="4:8">
      <c r="D13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6" t="str">
        <f t="shared" si="21"/>
        <v/>
      </c>
    </row>
    <row r="1367" spans="4:8">
      <c r="D13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7" t="str">
        <f t="shared" si="21"/>
        <v/>
      </c>
    </row>
    <row r="1368" spans="4:8">
      <c r="D13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8" t="str">
        <f t="shared" si="21"/>
        <v/>
      </c>
    </row>
    <row r="1369" spans="4:8">
      <c r="D13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69" t="str">
        <f t="shared" si="21"/>
        <v/>
      </c>
    </row>
    <row r="1370" spans="4:8">
      <c r="D13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0" t="str">
        <f t="shared" si="21"/>
        <v/>
      </c>
    </row>
    <row r="1371" spans="4:8">
      <c r="D13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1" t="str">
        <f t="shared" si="21"/>
        <v/>
      </c>
    </row>
    <row r="1372" spans="4:8">
      <c r="D13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2" t="str">
        <f t="shared" si="21"/>
        <v/>
      </c>
    </row>
    <row r="1373" spans="4:8">
      <c r="D13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3" t="str">
        <f t="shared" si="21"/>
        <v/>
      </c>
    </row>
    <row r="1374" spans="4:8">
      <c r="D13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4" t="str">
        <f t="shared" si="21"/>
        <v/>
      </c>
    </row>
    <row r="1375" spans="4:8">
      <c r="D13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5" t="str">
        <f t="shared" si="21"/>
        <v/>
      </c>
    </row>
    <row r="1376" spans="4:8">
      <c r="D13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6" t="str">
        <f t="shared" si="21"/>
        <v/>
      </c>
    </row>
    <row r="1377" spans="4:8">
      <c r="D13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7" t="str">
        <f t="shared" si="21"/>
        <v/>
      </c>
    </row>
    <row r="1378" spans="4:8">
      <c r="D13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8" t="str">
        <f t="shared" si="21"/>
        <v/>
      </c>
    </row>
    <row r="1379" spans="4:8">
      <c r="D13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79" t="str">
        <f t="shared" si="21"/>
        <v/>
      </c>
    </row>
    <row r="1380" spans="4:8">
      <c r="D13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0" t="str">
        <f t="shared" si="21"/>
        <v/>
      </c>
    </row>
    <row r="1381" spans="4:8">
      <c r="D13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1" t="str">
        <f t="shared" si="21"/>
        <v/>
      </c>
    </row>
    <row r="1382" spans="4:8">
      <c r="D13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2" t="str">
        <f t="shared" si="21"/>
        <v/>
      </c>
    </row>
    <row r="1383" spans="4:8">
      <c r="D13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3" t="str">
        <f t="shared" si="21"/>
        <v/>
      </c>
    </row>
    <row r="1384" spans="4:8">
      <c r="D13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4" t="str">
        <f t="shared" si="21"/>
        <v/>
      </c>
    </row>
    <row r="1385" spans="4:8">
      <c r="D13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5" t="str">
        <f t="shared" si="21"/>
        <v/>
      </c>
    </row>
    <row r="1386" spans="4:8">
      <c r="D13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6" t="str">
        <f t="shared" si="21"/>
        <v/>
      </c>
    </row>
    <row r="1387" spans="4:8">
      <c r="D13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7" t="str">
        <f t="shared" si="21"/>
        <v/>
      </c>
    </row>
    <row r="1388" spans="4:8">
      <c r="D13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8" t="str">
        <f t="shared" si="21"/>
        <v/>
      </c>
    </row>
    <row r="1389" spans="4:8">
      <c r="D13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89" t="str">
        <f t="shared" si="21"/>
        <v/>
      </c>
    </row>
    <row r="1390" spans="4:8">
      <c r="D13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0" t="str">
        <f t="shared" si="21"/>
        <v/>
      </c>
    </row>
    <row r="1391" spans="4:8">
      <c r="D13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1" t="str">
        <f t="shared" si="21"/>
        <v/>
      </c>
    </row>
    <row r="1392" spans="4:8">
      <c r="D13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2" t="str">
        <f t="shared" si="21"/>
        <v/>
      </c>
    </row>
    <row r="1393" spans="4:8">
      <c r="D13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3" t="str">
        <f t="shared" si="21"/>
        <v/>
      </c>
    </row>
    <row r="1394" spans="4:8">
      <c r="D13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4" t="str">
        <f t="shared" si="21"/>
        <v/>
      </c>
    </row>
    <row r="1395" spans="4:8">
      <c r="D13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5" t="str">
        <f t="shared" si="21"/>
        <v/>
      </c>
    </row>
    <row r="1396" spans="4:8">
      <c r="D13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6" t="str">
        <f t="shared" si="21"/>
        <v/>
      </c>
    </row>
    <row r="1397" spans="4:8">
      <c r="D13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7" t="str">
        <f t="shared" si="21"/>
        <v/>
      </c>
    </row>
    <row r="1398" spans="4:8">
      <c r="D13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8" t="str">
        <f t="shared" si="21"/>
        <v/>
      </c>
    </row>
    <row r="1399" spans="4:8">
      <c r="D13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399" t="str">
        <f t="shared" si="21"/>
        <v/>
      </c>
    </row>
    <row r="1400" spans="4:8">
      <c r="D14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0" t="str">
        <f t="shared" si="21"/>
        <v/>
      </c>
    </row>
    <row r="1401" spans="4:8">
      <c r="D14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1" t="str">
        <f t="shared" si="21"/>
        <v/>
      </c>
    </row>
    <row r="1402" spans="4:8">
      <c r="D14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2" t="str">
        <f t="shared" si="21"/>
        <v/>
      </c>
    </row>
    <row r="1403" spans="4:8">
      <c r="D14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3" t="str">
        <f t="shared" si="21"/>
        <v/>
      </c>
    </row>
    <row r="1404" spans="4:8">
      <c r="D14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4" t="str">
        <f t="shared" si="21"/>
        <v/>
      </c>
    </row>
    <row r="1405" spans="4:8">
      <c r="D14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5" t="str">
        <f t="shared" si="21"/>
        <v/>
      </c>
    </row>
    <row r="1406" spans="4:8">
      <c r="D14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6" t="str">
        <f t="shared" si="21"/>
        <v/>
      </c>
    </row>
    <row r="1407" spans="4:8">
      <c r="D14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7" t="str">
        <f t="shared" si="21"/>
        <v/>
      </c>
    </row>
    <row r="1408" spans="4:8">
      <c r="D14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8" t="str">
        <f t="shared" si="21"/>
        <v/>
      </c>
    </row>
    <row r="1409" spans="4:8">
      <c r="D14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09" t="str">
        <f t="shared" si="21"/>
        <v/>
      </c>
    </row>
    <row r="1410" spans="4:8">
      <c r="D14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0" t="str">
        <f t="shared" ref="H1410:H1473" si="22">IF((F1410*G1410)&lt;&gt;0,F1410*G1410,"")</f>
        <v/>
      </c>
    </row>
    <row r="1411" spans="4:8">
      <c r="D14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1" t="str">
        <f t="shared" si="22"/>
        <v/>
      </c>
    </row>
    <row r="1412" spans="4:8">
      <c r="D14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2" t="str">
        <f t="shared" si="22"/>
        <v/>
      </c>
    </row>
    <row r="1413" spans="4:8">
      <c r="D14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3" t="str">
        <f t="shared" si="22"/>
        <v/>
      </c>
    </row>
    <row r="1414" spans="4:8">
      <c r="D14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4" t="str">
        <f t="shared" si="22"/>
        <v/>
      </c>
    </row>
    <row r="1415" spans="4:8">
      <c r="D14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5" t="str">
        <f t="shared" si="22"/>
        <v/>
      </c>
    </row>
    <row r="1416" spans="4:8">
      <c r="D14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6" t="str">
        <f t="shared" si="22"/>
        <v/>
      </c>
    </row>
    <row r="1417" spans="4:8">
      <c r="D14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7" t="str">
        <f t="shared" si="22"/>
        <v/>
      </c>
    </row>
    <row r="1418" spans="4:8">
      <c r="D14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8" t="str">
        <f t="shared" si="22"/>
        <v/>
      </c>
    </row>
    <row r="1419" spans="4:8">
      <c r="D14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19" t="str">
        <f t="shared" si="22"/>
        <v/>
      </c>
    </row>
    <row r="1420" spans="4:8">
      <c r="D14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0" t="str">
        <f t="shared" si="22"/>
        <v/>
      </c>
    </row>
    <row r="1421" spans="4:8">
      <c r="D14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1" t="str">
        <f t="shared" si="22"/>
        <v/>
      </c>
    </row>
    <row r="1422" spans="4:8">
      <c r="D14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2" t="str">
        <f t="shared" si="22"/>
        <v/>
      </c>
    </row>
    <row r="1423" spans="4:8">
      <c r="D14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3" t="str">
        <f t="shared" si="22"/>
        <v/>
      </c>
    </row>
    <row r="1424" spans="4:8">
      <c r="D14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4" t="str">
        <f t="shared" si="22"/>
        <v/>
      </c>
    </row>
    <row r="1425" spans="4:8">
      <c r="D14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5" t="str">
        <f t="shared" si="22"/>
        <v/>
      </c>
    </row>
    <row r="1426" spans="4:8">
      <c r="D14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6" t="str">
        <f t="shared" si="22"/>
        <v/>
      </c>
    </row>
    <row r="1427" spans="4:8">
      <c r="D14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7" t="str">
        <f t="shared" si="22"/>
        <v/>
      </c>
    </row>
    <row r="1428" spans="4:8">
      <c r="D14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8" t="str">
        <f t="shared" si="22"/>
        <v/>
      </c>
    </row>
    <row r="1429" spans="4:8">
      <c r="D14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29" t="str">
        <f t="shared" si="22"/>
        <v/>
      </c>
    </row>
    <row r="1430" spans="4:8">
      <c r="D14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0" t="str">
        <f t="shared" si="22"/>
        <v/>
      </c>
    </row>
    <row r="1431" spans="4:8">
      <c r="D14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1" t="str">
        <f t="shared" si="22"/>
        <v/>
      </c>
    </row>
    <row r="1432" spans="4:8">
      <c r="D14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2" t="str">
        <f t="shared" si="22"/>
        <v/>
      </c>
    </row>
    <row r="1433" spans="4:8">
      <c r="D14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3" t="str">
        <f t="shared" si="22"/>
        <v/>
      </c>
    </row>
    <row r="1434" spans="4:8">
      <c r="D14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4" t="str">
        <f t="shared" si="22"/>
        <v/>
      </c>
    </row>
    <row r="1435" spans="4:8">
      <c r="D14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5" t="str">
        <f t="shared" si="22"/>
        <v/>
      </c>
    </row>
    <row r="1436" spans="4:8">
      <c r="D14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6" t="str">
        <f t="shared" si="22"/>
        <v/>
      </c>
    </row>
    <row r="1437" spans="4:8">
      <c r="D14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7" t="str">
        <f t="shared" si="22"/>
        <v/>
      </c>
    </row>
    <row r="1438" spans="4:8">
      <c r="D14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8" t="str">
        <f t="shared" si="22"/>
        <v/>
      </c>
    </row>
    <row r="1439" spans="4:8">
      <c r="D14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39" t="str">
        <f t="shared" si="22"/>
        <v/>
      </c>
    </row>
    <row r="1440" spans="4:8">
      <c r="D14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0" t="str">
        <f t="shared" si="22"/>
        <v/>
      </c>
    </row>
    <row r="1441" spans="4:8">
      <c r="D14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1" t="str">
        <f t="shared" si="22"/>
        <v/>
      </c>
    </row>
    <row r="1442" spans="4:8">
      <c r="D14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2" t="str">
        <f t="shared" si="22"/>
        <v/>
      </c>
    </row>
    <row r="1443" spans="4:8">
      <c r="D14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3" t="str">
        <f t="shared" si="22"/>
        <v/>
      </c>
    </row>
    <row r="1444" spans="4:8">
      <c r="D14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4" t="str">
        <f t="shared" si="22"/>
        <v/>
      </c>
    </row>
    <row r="1445" spans="4:8">
      <c r="D14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5" t="str">
        <f t="shared" si="22"/>
        <v/>
      </c>
    </row>
    <row r="1446" spans="4:8">
      <c r="D14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6" t="str">
        <f t="shared" si="22"/>
        <v/>
      </c>
    </row>
    <row r="1447" spans="4:8">
      <c r="D14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7" t="str">
        <f t="shared" si="22"/>
        <v/>
      </c>
    </row>
    <row r="1448" spans="4:8">
      <c r="D14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8" t="str">
        <f t="shared" si="22"/>
        <v/>
      </c>
    </row>
    <row r="1449" spans="4:8">
      <c r="D14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49" t="str">
        <f t="shared" si="22"/>
        <v/>
      </c>
    </row>
    <row r="1450" spans="4:8">
      <c r="D14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0" t="str">
        <f t="shared" si="22"/>
        <v/>
      </c>
    </row>
    <row r="1451" spans="4:8">
      <c r="D14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1" t="str">
        <f t="shared" si="22"/>
        <v/>
      </c>
    </row>
    <row r="1452" spans="4:8">
      <c r="D14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2" t="str">
        <f t="shared" si="22"/>
        <v/>
      </c>
    </row>
    <row r="1453" spans="4:8">
      <c r="D14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3" t="str">
        <f t="shared" si="22"/>
        <v/>
      </c>
    </row>
    <row r="1454" spans="4:8">
      <c r="D14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4" t="str">
        <f t="shared" si="22"/>
        <v/>
      </c>
    </row>
    <row r="1455" spans="4:8">
      <c r="D14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5" t="str">
        <f t="shared" si="22"/>
        <v/>
      </c>
    </row>
    <row r="1456" spans="4:8">
      <c r="D14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6" t="str">
        <f t="shared" si="22"/>
        <v/>
      </c>
    </row>
    <row r="1457" spans="4:8">
      <c r="D14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7" t="str">
        <f t="shared" si="22"/>
        <v/>
      </c>
    </row>
    <row r="1458" spans="4:8">
      <c r="D14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8" t="str">
        <f t="shared" si="22"/>
        <v/>
      </c>
    </row>
    <row r="1459" spans="4:8">
      <c r="D14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59" t="str">
        <f t="shared" si="22"/>
        <v/>
      </c>
    </row>
    <row r="1460" spans="4:8">
      <c r="D14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0" t="str">
        <f t="shared" si="22"/>
        <v/>
      </c>
    </row>
    <row r="1461" spans="4:8">
      <c r="D14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1" t="str">
        <f t="shared" si="22"/>
        <v/>
      </c>
    </row>
    <row r="1462" spans="4:8">
      <c r="D14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2" t="str">
        <f t="shared" si="22"/>
        <v/>
      </c>
    </row>
    <row r="1463" spans="4:8">
      <c r="D14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3" t="str">
        <f t="shared" si="22"/>
        <v/>
      </c>
    </row>
    <row r="1464" spans="4:8">
      <c r="D14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4" t="str">
        <f t="shared" si="22"/>
        <v/>
      </c>
    </row>
    <row r="1465" spans="4:8">
      <c r="D14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5" t="str">
        <f t="shared" si="22"/>
        <v/>
      </c>
    </row>
    <row r="1466" spans="4:8">
      <c r="D14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6" t="str">
        <f t="shared" si="22"/>
        <v/>
      </c>
    </row>
    <row r="1467" spans="4:8">
      <c r="D14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7" t="str">
        <f t="shared" si="22"/>
        <v/>
      </c>
    </row>
    <row r="1468" spans="4:8">
      <c r="D14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8" t="str">
        <f t="shared" si="22"/>
        <v/>
      </c>
    </row>
    <row r="1469" spans="4:8">
      <c r="D14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69" t="str">
        <f t="shared" si="22"/>
        <v/>
      </c>
    </row>
    <row r="1470" spans="4:8">
      <c r="D14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0" t="str">
        <f t="shared" si="22"/>
        <v/>
      </c>
    </row>
    <row r="1471" spans="4:8">
      <c r="D14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1" t="str">
        <f t="shared" si="22"/>
        <v/>
      </c>
    </row>
    <row r="1472" spans="4:8">
      <c r="D14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2" t="str">
        <f t="shared" si="22"/>
        <v/>
      </c>
    </row>
    <row r="1473" spans="4:8">
      <c r="D14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3" t="str">
        <f t="shared" si="22"/>
        <v/>
      </c>
    </row>
    <row r="1474" spans="4:8">
      <c r="D14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4" t="str">
        <f t="shared" ref="H1474:H1537" si="23">IF((F1474*G1474)&lt;&gt;0,F1474*G1474,"")</f>
        <v/>
      </c>
    </row>
    <row r="1475" spans="4:8">
      <c r="D14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5" t="str">
        <f t="shared" si="23"/>
        <v/>
      </c>
    </row>
    <row r="1476" spans="4:8">
      <c r="D14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6" t="str">
        <f t="shared" si="23"/>
        <v/>
      </c>
    </row>
    <row r="1477" spans="4:8">
      <c r="D14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7" t="str">
        <f t="shared" si="23"/>
        <v/>
      </c>
    </row>
    <row r="1478" spans="4:8">
      <c r="D14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8" t="str">
        <f t="shared" si="23"/>
        <v/>
      </c>
    </row>
    <row r="1479" spans="4:8">
      <c r="D14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79" t="str">
        <f t="shared" si="23"/>
        <v/>
      </c>
    </row>
    <row r="1480" spans="4:8">
      <c r="D14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0" t="str">
        <f t="shared" si="23"/>
        <v/>
      </c>
    </row>
    <row r="1481" spans="4:8">
      <c r="D14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1" t="str">
        <f t="shared" si="23"/>
        <v/>
      </c>
    </row>
    <row r="1482" spans="4:8">
      <c r="D14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2" t="str">
        <f t="shared" si="23"/>
        <v/>
      </c>
    </row>
    <row r="1483" spans="4:8">
      <c r="D14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3" t="str">
        <f t="shared" si="23"/>
        <v/>
      </c>
    </row>
    <row r="1484" spans="4:8">
      <c r="D14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4" t="str">
        <f t="shared" si="23"/>
        <v/>
      </c>
    </row>
    <row r="1485" spans="4:8">
      <c r="D14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5" t="str">
        <f t="shared" si="23"/>
        <v/>
      </c>
    </row>
    <row r="1486" spans="4:8">
      <c r="D14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6" t="str">
        <f t="shared" si="23"/>
        <v/>
      </c>
    </row>
    <row r="1487" spans="4:8">
      <c r="D14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7" t="str">
        <f t="shared" si="23"/>
        <v/>
      </c>
    </row>
    <row r="1488" spans="4:8">
      <c r="D14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8" t="str">
        <f t="shared" si="23"/>
        <v/>
      </c>
    </row>
    <row r="1489" spans="4:8">
      <c r="D14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89" t="str">
        <f t="shared" si="23"/>
        <v/>
      </c>
    </row>
    <row r="1490" spans="4:8">
      <c r="D14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0" t="str">
        <f t="shared" si="23"/>
        <v/>
      </c>
    </row>
    <row r="1491" spans="4:8">
      <c r="D14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1" t="str">
        <f t="shared" si="23"/>
        <v/>
      </c>
    </row>
    <row r="1492" spans="4:8">
      <c r="D14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2" t="str">
        <f t="shared" si="23"/>
        <v/>
      </c>
    </row>
    <row r="1493" spans="4:8">
      <c r="D14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3" t="str">
        <f t="shared" si="23"/>
        <v/>
      </c>
    </row>
    <row r="1494" spans="4:8">
      <c r="D14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4" t="str">
        <f t="shared" si="23"/>
        <v/>
      </c>
    </row>
    <row r="1495" spans="4:8">
      <c r="D14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5" t="str">
        <f t="shared" si="23"/>
        <v/>
      </c>
    </row>
    <row r="1496" spans="4:8">
      <c r="D14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6" t="str">
        <f t="shared" si="23"/>
        <v/>
      </c>
    </row>
    <row r="1497" spans="4:8">
      <c r="D14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7" t="str">
        <f t="shared" si="23"/>
        <v/>
      </c>
    </row>
    <row r="1498" spans="4:8">
      <c r="D14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8" t="str">
        <f t="shared" si="23"/>
        <v/>
      </c>
    </row>
    <row r="1499" spans="4:8">
      <c r="D14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499" t="str">
        <f t="shared" si="23"/>
        <v/>
      </c>
    </row>
    <row r="1500" spans="4:8">
      <c r="D15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0" t="str">
        <f t="shared" si="23"/>
        <v/>
      </c>
    </row>
    <row r="1501" spans="4:8">
      <c r="D15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1" t="str">
        <f t="shared" si="23"/>
        <v/>
      </c>
    </row>
    <row r="1502" spans="4:8">
      <c r="D15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2" t="str">
        <f t="shared" si="23"/>
        <v/>
      </c>
    </row>
    <row r="1503" spans="4:8">
      <c r="D15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3" t="str">
        <f t="shared" si="23"/>
        <v/>
      </c>
    </row>
    <row r="1504" spans="4:8">
      <c r="D15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4" t="str">
        <f t="shared" si="23"/>
        <v/>
      </c>
    </row>
    <row r="1505" spans="4:8">
      <c r="D15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5" t="str">
        <f t="shared" si="23"/>
        <v/>
      </c>
    </row>
    <row r="1506" spans="4:8">
      <c r="D15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6" t="str">
        <f t="shared" si="23"/>
        <v/>
      </c>
    </row>
    <row r="1507" spans="4:8">
      <c r="D15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7" t="str">
        <f t="shared" si="23"/>
        <v/>
      </c>
    </row>
    <row r="1508" spans="4:8">
      <c r="D15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8" t="str">
        <f t="shared" si="23"/>
        <v/>
      </c>
    </row>
    <row r="1509" spans="4:8">
      <c r="D15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09" t="str">
        <f t="shared" si="23"/>
        <v/>
      </c>
    </row>
    <row r="1510" spans="4:8">
      <c r="D15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0" t="str">
        <f t="shared" si="23"/>
        <v/>
      </c>
    </row>
    <row r="1511" spans="4:8">
      <c r="D15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1" t="str">
        <f t="shared" si="23"/>
        <v/>
      </c>
    </row>
    <row r="1512" spans="4:8">
      <c r="D15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2" t="str">
        <f t="shared" si="23"/>
        <v/>
      </c>
    </row>
    <row r="1513" spans="4:8">
      <c r="D15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3" t="str">
        <f t="shared" si="23"/>
        <v/>
      </c>
    </row>
    <row r="1514" spans="4:8">
      <c r="D15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4" t="str">
        <f t="shared" si="23"/>
        <v/>
      </c>
    </row>
    <row r="1515" spans="4:8">
      <c r="D15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5" t="str">
        <f t="shared" si="23"/>
        <v/>
      </c>
    </row>
    <row r="1516" spans="4:8">
      <c r="D15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6" t="str">
        <f t="shared" si="23"/>
        <v/>
      </c>
    </row>
    <row r="1517" spans="4:8">
      <c r="D15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7" t="str">
        <f t="shared" si="23"/>
        <v/>
      </c>
    </row>
    <row r="1518" spans="4:8">
      <c r="D15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8" t="str">
        <f t="shared" si="23"/>
        <v/>
      </c>
    </row>
    <row r="1519" spans="4:8">
      <c r="D15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19" t="str">
        <f t="shared" si="23"/>
        <v/>
      </c>
    </row>
    <row r="1520" spans="4:8">
      <c r="D15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0" t="str">
        <f t="shared" si="23"/>
        <v/>
      </c>
    </row>
    <row r="1521" spans="4:8">
      <c r="D15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1" t="str">
        <f t="shared" si="23"/>
        <v/>
      </c>
    </row>
    <row r="1522" spans="4:8">
      <c r="D15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2" t="str">
        <f t="shared" si="23"/>
        <v/>
      </c>
    </row>
    <row r="1523" spans="4:8">
      <c r="D15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3" t="str">
        <f t="shared" si="23"/>
        <v/>
      </c>
    </row>
    <row r="1524" spans="4:8">
      <c r="D15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4" t="str">
        <f t="shared" si="23"/>
        <v/>
      </c>
    </row>
    <row r="1525" spans="4:8">
      <c r="D15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5" t="str">
        <f t="shared" si="23"/>
        <v/>
      </c>
    </row>
    <row r="1526" spans="4:8">
      <c r="D15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6" t="str">
        <f t="shared" si="23"/>
        <v/>
      </c>
    </row>
    <row r="1527" spans="4:8">
      <c r="D15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7" t="str">
        <f t="shared" si="23"/>
        <v/>
      </c>
    </row>
    <row r="1528" spans="4:8">
      <c r="D15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8" t="str">
        <f t="shared" si="23"/>
        <v/>
      </c>
    </row>
    <row r="1529" spans="4:8">
      <c r="D15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29" t="str">
        <f t="shared" si="23"/>
        <v/>
      </c>
    </row>
    <row r="1530" spans="4:8">
      <c r="D15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0" t="str">
        <f t="shared" si="23"/>
        <v/>
      </c>
    </row>
    <row r="1531" spans="4:8">
      <c r="D15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1" t="str">
        <f t="shared" si="23"/>
        <v/>
      </c>
    </row>
    <row r="1532" spans="4:8">
      <c r="D15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2" t="str">
        <f t="shared" si="23"/>
        <v/>
      </c>
    </row>
    <row r="1533" spans="4:8">
      <c r="D15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3" t="str">
        <f t="shared" si="23"/>
        <v/>
      </c>
    </row>
    <row r="1534" spans="4:8">
      <c r="D15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4" t="str">
        <f t="shared" si="23"/>
        <v/>
      </c>
    </row>
    <row r="1535" spans="4:8">
      <c r="D15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5" t="str">
        <f t="shared" si="23"/>
        <v/>
      </c>
    </row>
    <row r="1536" spans="4:8">
      <c r="D15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6" t="str">
        <f t="shared" si="23"/>
        <v/>
      </c>
    </row>
    <row r="1537" spans="4:8">
      <c r="D15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7" t="str">
        <f t="shared" si="23"/>
        <v/>
      </c>
    </row>
    <row r="1538" spans="4:8">
      <c r="D15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8" t="str">
        <f t="shared" ref="H1538:H1601" si="24">IF((F1538*G1538)&lt;&gt;0,F1538*G1538,"")</f>
        <v/>
      </c>
    </row>
    <row r="1539" spans="4:8">
      <c r="D15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39" t="str">
        <f t="shared" si="24"/>
        <v/>
      </c>
    </row>
    <row r="1540" spans="4:8">
      <c r="D15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0" t="str">
        <f t="shared" si="24"/>
        <v/>
      </c>
    </row>
    <row r="1541" spans="4:8">
      <c r="D15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1" t="str">
        <f t="shared" si="24"/>
        <v/>
      </c>
    </row>
    <row r="1542" spans="4:8">
      <c r="D15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2" t="str">
        <f t="shared" si="24"/>
        <v/>
      </c>
    </row>
    <row r="1543" spans="4:8">
      <c r="D15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3" t="str">
        <f t="shared" si="24"/>
        <v/>
      </c>
    </row>
    <row r="1544" spans="4:8">
      <c r="D15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4" t="str">
        <f t="shared" si="24"/>
        <v/>
      </c>
    </row>
    <row r="1545" spans="4:8">
      <c r="D15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5" t="str">
        <f t="shared" si="24"/>
        <v/>
      </c>
    </row>
    <row r="1546" spans="4:8">
      <c r="D15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6" t="str">
        <f t="shared" si="24"/>
        <v/>
      </c>
    </row>
    <row r="1547" spans="4:8">
      <c r="D15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7" t="str">
        <f t="shared" si="24"/>
        <v/>
      </c>
    </row>
    <row r="1548" spans="4:8">
      <c r="D15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8" t="str">
        <f t="shared" si="24"/>
        <v/>
      </c>
    </row>
    <row r="1549" spans="4:8">
      <c r="D15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49" t="str">
        <f t="shared" si="24"/>
        <v/>
      </c>
    </row>
    <row r="1550" spans="4:8">
      <c r="D15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0" t="str">
        <f t="shared" si="24"/>
        <v/>
      </c>
    </row>
    <row r="1551" spans="4:8">
      <c r="D15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1" t="str">
        <f t="shared" si="24"/>
        <v/>
      </c>
    </row>
    <row r="1552" spans="4:8">
      <c r="D15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2" t="str">
        <f t="shared" si="24"/>
        <v/>
      </c>
    </row>
    <row r="1553" spans="4:8">
      <c r="D15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3" t="str">
        <f t="shared" si="24"/>
        <v/>
      </c>
    </row>
    <row r="1554" spans="4:8">
      <c r="D15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4" t="str">
        <f t="shared" si="24"/>
        <v/>
      </c>
    </row>
    <row r="1555" spans="4:8">
      <c r="D15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5" t="str">
        <f t="shared" si="24"/>
        <v/>
      </c>
    </row>
    <row r="1556" spans="4:8">
      <c r="D15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6" t="str">
        <f t="shared" si="24"/>
        <v/>
      </c>
    </row>
    <row r="1557" spans="4:8">
      <c r="D15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7" t="str">
        <f t="shared" si="24"/>
        <v/>
      </c>
    </row>
    <row r="1558" spans="4:8">
      <c r="D15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8" t="str">
        <f t="shared" si="24"/>
        <v/>
      </c>
    </row>
    <row r="1559" spans="4:8">
      <c r="D15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59" t="str">
        <f t="shared" si="24"/>
        <v/>
      </c>
    </row>
    <row r="1560" spans="4:8">
      <c r="D15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0" t="str">
        <f t="shared" si="24"/>
        <v/>
      </c>
    </row>
    <row r="1561" spans="4:8">
      <c r="D15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1" t="str">
        <f t="shared" si="24"/>
        <v/>
      </c>
    </row>
    <row r="1562" spans="4:8">
      <c r="D15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2" t="str">
        <f t="shared" si="24"/>
        <v/>
      </c>
    </row>
    <row r="1563" spans="4:8">
      <c r="D15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3" t="str">
        <f t="shared" si="24"/>
        <v/>
      </c>
    </row>
    <row r="1564" spans="4:8">
      <c r="D15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4" t="str">
        <f t="shared" si="24"/>
        <v/>
      </c>
    </row>
    <row r="1565" spans="4:8">
      <c r="D15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5" t="str">
        <f t="shared" si="24"/>
        <v/>
      </c>
    </row>
    <row r="1566" spans="4:8">
      <c r="D15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6" t="str">
        <f t="shared" si="24"/>
        <v/>
      </c>
    </row>
    <row r="1567" spans="4:8">
      <c r="D15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7" t="str">
        <f t="shared" si="24"/>
        <v/>
      </c>
    </row>
    <row r="1568" spans="4:8">
      <c r="D15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8" t="str">
        <f t="shared" si="24"/>
        <v/>
      </c>
    </row>
    <row r="1569" spans="4:8">
      <c r="D15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69" t="str">
        <f t="shared" si="24"/>
        <v/>
      </c>
    </row>
    <row r="1570" spans="4:8">
      <c r="D15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0" t="str">
        <f t="shared" si="24"/>
        <v/>
      </c>
    </row>
    <row r="1571" spans="4:8">
      <c r="D15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1" t="str">
        <f t="shared" si="24"/>
        <v/>
      </c>
    </row>
    <row r="1572" spans="4:8">
      <c r="D15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2" t="str">
        <f t="shared" si="24"/>
        <v/>
      </c>
    </row>
    <row r="1573" spans="4:8">
      <c r="D15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3" t="str">
        <f t="shared" si="24"/>
        <v/>
      </c>
    </row>
    <row r="1574" spans="4:8">
      <c r="D15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4" t="str">
        <f t="shared" si="24"/>
        <v/>
      </c>
    </row>
    <row r="1575" spans="4:8">
      <c r="D15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5" t="str">
        <f t="shared" si="24"/>
        <v/>
      </c>
    </row>
    <row r="1576" spans="4:8">
      <c r="D15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6" t="str">
        <f t="shared" si="24"/>
        <v/>
      </c>
    </row>
    <row r="1577" spans="4:8">
      <c r="D15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7" t="str">
        <f t="shared" si="24"/>
        <v/>
      </c>
    </row>
    <row r="1578" spans="4:8">
      <c r="D15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8" t="str">
        <f t="shared" si="24"/>
        <v/>
      </c>
    </row>
    <row r="1579" spans="4:8">
      <c r="D15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79" t="str">
        <f t="shared" si="24"/>
        <v/>
      </c>
    </row>
    <row r="1580" spans="4:8">
      <c r="D15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0" t="str">
        <f t="shared" si="24"/>
        <v/>
      </c>
    </row>
    <row r="1581" spans="4:8">
      <c r="D15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1" t="str">
        <f t="shared" si="24"/>
        <v/>
      </c>
    </row>
    <row r="1582" spans="4:8">
      <c r="D15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2" t="str">
        <f t="shared" si="24"/>
        <v/>
      </c>
    </row>
    <row r="1583" spans="4:8">
      <c r="D15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3" t="str">
        <f t="shared" si="24"/>
        <v/>
      </c>
    </row>
    <row r="1584" spans="4:8">
      <c r="D15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4" t="str">
        <f t="shared" si="24"/>
        <v/>
      </c>
    </row>
    <row r="1585" spans="4:8">
      <c r="D15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5" t="str">
        <f t="shared" si="24"/>
        <v/>
      </c>
    </row>
    <row r="1586" spans="4:8">
      <c r="D15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6" t="str">
        <f t="shared" si="24"/>
        <v/>
      </c>
    </row>
    <row r="1587" spans="4:8">
      <c r="D15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7" t="str">
        <f t="shared" si="24"/>
        <v/>
      </c>
    </row>
    <row r="1588" spans="4:8">
      <c r="D15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8" t="str">
        <f t="shared" si="24"/>
        <v/>
      </c>
    </row>
    <row r="1589" spans="4:8">
      <c r="D15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89" t="str">
        <f t="shared" si="24"/>
        <v/>
      </c>
    </row>
    <row r="1590" spans="4:8">
      <c r="D15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0" t="str">
        <f t="shared" si="24"/>
        <v/>
      </c>
    </row>
    <row r="1591" spans="4:8">
      <c r="D15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1" t="str">
        <f t="shared" si="24"/>
        <v/>
      </c>
    </row>
    <row r="1592" spans="4:8">
      <c r="D15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2" t="str">
        <f t="shared" si="24"/>
        <v/>
      </c>
    </row>
    <row r="1593" spans="4:8">
      <c r="D15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3" t="str">
        <f t="shared" si="24"/>
        <v/>
      </c>
    </row>
    <row r="1594" spans="4:8">
      <c r="D15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4" t="str">
        <f t="shared" si="24"/>
        <v/>
      </c>
    </row>
    <row r="1595" spans="4:8">
      <c r="D15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5" t="str">
        <f t="shared" si="24"/>
        <v/>
      </c>
    </row>
    <row r="1596" spans="4:8">
      <c r="D15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6" t="str">
        <f t="shared" si="24"/>
        <v/>
      </c>
    </row>
    <row r="1597" spans="4:8">
      <c r="D15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7" t="str">
        <f t="shared" si="24"/>
        <v/>
      </c>
    </row>
    <row r="1598" spans="4:8">
      <c r="D15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8" t="str">
        <f t="shared" si="24"/>
        <v/>
      </c>
    </row>
    <row r="1599" spans="4:8">
      <c r="D15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599" t="str">
        <f t="shared" si="24"/>
        <v/>
      </c>
    </row>
    <row r="1600" spans="4:8">
      <c r="D16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0" t="str">
        <f t="shared" si="24"/>
        <v/>
      </c>
    </row>
    <row r="1601" spans="4:8">
      <c r="D16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1" t="str">
        <f t="shared" si="24"/>
        <v/>
      </c>
    </row>
    <row r="1602" spans="4:8">
      <c r="D16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2" t="str">
        <f t="shared" ref="H1602:H1665" si="25">IF((F1602*G1602)&lt;&gt;0,F1602*G1602,"")</f>
        <v/>
      </c>
    </row>
    <row r="1603" spans="4:8">
      <c r="D16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3" t="str">
        <f t="shared" si="25"/>
        <v/>
      </c>
    </row>
    <row r="1604" spans="4:8">
      <c r="D16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4" t="str">
        <f t="shared" si="25"/>
        <v/>
      </c>
    </row>
    <row r="1605" spans="4:8">
      <c r="D16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5" t="str">
        <f t="shared" si="25"/>
        <v/>
      </c>
    </row>
    <row r="1606" spans="4:8">
      <c r="D16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6" t="str">
        <f t="shared" si="25"/>
        <v/>
      </c>
    </row>
    <row r="1607" spans="4:8">
      <c r="D16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7" t="str">
        <f t="shared" si="25"/>
        <v/>
      </c>
    </row>
    <row r="1608" spans="4:8">
      <c r="D16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8" t="str">
        <f t="shared" si="25"/>
        <v/>
      </c>
    </row>
    <row r="1609" spans="4:8">
      <c r="D16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09" t="str">
        <f t="shared" si="25"/>
        <v/>
      </c>
    </row>
    <row r="1610" spans="4:8">
      <c r="D16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0" t="str">
        <f t="shared" si="25"/>
        <v/>
      </c>
    </row>
    <row r="1611" spans="4:8">
      <c r="D16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1" t="str">
        <f t="shared" si="25"/>
        <v/>
      </c>
    </row>
    <row r="1612" spans="4:8">
      <c r="D16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2" t="str">
        <f t="shared" si="25"/>
        <v/>
      </c>
    </row>
    <row r="1613" spans="4:8">
      <c r="D16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3" t="str">
        <f t="shared" si="25"/>
        <v/>
      </c>
    </row>
    <row r="1614" spans="4:8">
      <c r="D16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4" t="str">
        <f t="shared" si="25"/>
        <v/>
      </c>
    </row>
    <row r="1615" spans="4:8">
      <c r="D16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5" t="str">
        <f t="shared" si="25"/>
        <v/>
      </c>
    </row>
    <row r="1616" spans="4:8">
      <c r="D16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6" t="str">
        <f t="shared" si="25"/>
        <v/>
      </c>
    </row>
    <row r="1617" spans="4:8">
      <c r="D16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7" t="str">
        <f t="shared" si="25"/>
        <v/>
      </c>
    </row>
    <row r="1618" spans="4:8">
      <c r="D16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8" t="str">
        <f t="shared" si="25"/>
        <v/>
      </c>
    </row>
    <row r="1619" spans="4:8">
      <c r="D16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19" t="str">
        <f t="shared" si="25"/>
        <v/>
      </c>
    </row>
    <row r="1620" spans="4:8">
      <c r="D16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0" t="str">
        <f t="shared" si="25"/>
        <v/>
      </c>
    </row>
    <row r="1621" spans="4:8">
      <c r="D16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1" t="str">
        <f t="shared" si="25"/>
        <v/>
      </c>
    </row>
    <row r="1622" spans="4:8">
      <c r="D16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2" t="str">
        <f t="shared" si="25"/>
        <v/>
      </c>
    </row>
    <row r="1623" spans="4:8">
      <c r="D16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3" t="str">
        <f t="shared" si="25"/>
        <v/>
      </c>
    </row>
    <row r="1624" spans="4:8">
      <c r="D16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4" t="str">
        <f t="shared" si="25"/>
        <v/>
      </c>
    </row>
    <row r="1625" spans="4:8">
      <c r="D16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5" t="str">
        <f t="shared" si="25"/>
        <v/>
      </c>
    </row>
    <row r="1626" spans="4:8">
      <c r="D16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6" t="str">
        <f t="shared" si="25"/>
        <v/>
      </c>
    </row>
    <row r="1627" spans="4:8">
      <c r="D16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7" t="str">
        <f t="shared" si="25"/>
        <v/>
      </c>
    </row>
    <row r="1628" spans="4:8">
      <c r="D16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8" t="str">
        <f t="shared" si="25"/>
        <v/>
      </c>
    </row>
    <row r="1629" spans="4:8">
      <c r="D16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29" t="str">
        <f t="shared" si="25"/>
        <v/>
      </c>
    </row>
    <row r="1630" spans="4:8">
      <c r="D16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0" t="str">
        <f t="shared" si="25"/>
        <v/>
      </c>
    </row>
    <row r="1631" spans="4:8">
      <c r="D16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1" t="str">
        <f t="shared" si="25"/>
        <v/>
      </c>
    </row>
    <row r="1632" spans="4:8">
      <c r="D16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2" t="str">
        <f t="shared" si="25"/>
        <v/>
      </c>
    </row>
    <row r="1633" spans="4:8">
      <c r="D16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3" t="str">
        <f t="shared" si="25"/>
        <v/>
      </c>
    </row>
    <row r="1634" spans="4:8">
      <c r="D16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4" t="str">
        <f t="shared" si="25"/>
        <v/>
      </c>
    </row>
    <row r="1635" spans="4:8">
      <c r="D16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5" t="str">
        <f t="shared" si="25"/>
        <v/>
      </c>
    </row>
    <row r="1636" spans="4:8">
      <c r="D16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6" t="str">
        <f t="shared" si="25"/>
        <v/>
      </c>
    </row>
    <row r="1637" spans="4:8">
      <c r="D16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7" t="str">
        <f t="shared" si="25"/>
        <v/>
      </c>
    </row>
    <row r="1638" spans="4:8">
      <c r="D16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8" t="str">
        <f t="shared" si="25"/>
        <v/>
      </c>
    </row>
    <row r="1639" spans="4:8">
      <c r="D16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39" t="str">
        <f t="shared" si="25"/>
        <v/>
      </c>
    </row>
    <row r="1640" spans="4:8">
      <c r="D16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0" t="str">
        <f t="shared" si="25"/>
        <v/>
      </c>
    </row>
    <row r="1641" spans="4:8">
      <c r="D16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1" t="str">
        <f t="shared" si="25"/>
        <v/>
      </c>
    </row>
    <row r="1642" spans="4:8">
      <c r="D16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2" t="str">
        <f t="shared" si="25"/>
        <v/>
      </c>
    </row>
    <row r="1643" spans="4:8">
      <c r="D16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3" t="str">
        <f t="shared" si="25"/>
        <v/>
      </c>
    </row>
    <row r="1644" spans="4:8">
      <c r="D16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4" t="str">
        <f t="shared" si="25"/>
        <v/>
      </c>
    </row>
    <row r="1645" spans="4:8">
      <c r="D16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5" t="str">
        <f t="shared" si="25"/>
        <v/>
      </c>
    </row>
    <row r="1646" spans="4:8">
      <c r="D16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6" t="str">
        <f t="shared" si="25"/>
        <v/>
      </c>
    </row>
    <row r="1647" spans="4:8">
      <c r="D16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7" t="str">
        <f t="shared" si="25"/>
        <v/>
      </c>
    </row>
    <row r="1648" spans="4:8">
      <c r="D16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8" t="str">
        <f t="shared" si="25"/>
        <v/>
      </c>
    </row>
    <row r="1649" spans="4:8">
      <c r="D16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49" t="str">
        <f t="shared" si="25"/>
        <v/>
      </c>
    </row>
    <row r="1650" spans="4:8">
      <c r="D16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0" t="str">
        <f t="shared" si="25"/>
        <v/>
      </c>
    </row>
    <row r="1651" spans="4:8">
      <c r="D16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1" t="str">
        <f t="shared" si="25"/>
        <v/>
      </c>
    </row>
    <row r="1652" spans="4:8">
      <c r="D16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2" t="str">
        <f t="shared" si="25"/>
        <v/>
      </c>
    </row>
    <row r="1653" spans="4:8">
      <c r="D16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3" t="str">
        <f t="shared" si="25"/>
        <v/>
      </c>
    </row>
    <row r="1654" spans="4:8">
      <c r="D16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4" t="str">
        <f t="shared" si="25"/>
        <v/>
      </c>
    </row>
    <row r="1655" spans="4:8">
      <c r="D16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5" t="str">
        <f t="shared" si="25"/>
        <v/>
      </c>
    </row>
    <row r="1656" spans="4:8">
      <c r="D16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6" t="str">
        <f t="shared" si="25"/>
        <v/>
      </c>
    </row>
    <row r="1657" spans="4:8">
      <c r="D16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7" t="str">
        <f t="shared" si="25"/>
        <v/>
      </c>
    </row>
    <row r="1658" spans="4:8">
      <c r="D16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8" t="str">
        <f t="shared" si="25"/>
        <v/>
      </c>
    </row>
    <row r="1659" spans="4:8">
      <c r="D16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59" t="str">
        <f t="shared" si="25"/>
        <v/>
      </c>
    </row>
    <row r="1660" spans="4:8">
      <c r="D16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0" t="str">
        <f t="shared" si="25"/>
        <v/>
      </c>
    </row>
    <row r="1661" spans="4:8">
      <c r="D16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1" t="str">
        <f t="shared" si="25"/>
        <v/>
      </c>
    </row>
    <row r="1662" spans="4:8">
      <c r="D16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2" t="str">
        <f t="shared" si="25"/>
        <v/>
      </c>
    </row>
    <row r="1663" spans="4:8">
      <c r="D16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3" t="str">
        <f t="shared" si="25"/>
        <v/>
      </c>
    </row>
    <row r="1664" spans="4:8">
      <c r="D16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4" t="str">
        <f t="shared" si="25"/>
        <v/>
      </c>
    </row>
    <row r="1665" spans="4:8">
      <c r="D16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5" t="str">
        <f t="shared" si="25"/>
        <v/>
      </c>
    </row>
    <row r="1666" spans="4:8">
      <c r="D16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6" t="str">
        <f t="shared" ref="H1666:H1729" si="26">IF((F1666*G1666)&lt;&gt;0,F1666*G1666,"")</f>
        <v/>
      </c>
    </row>
    <row r="1667" spans="4:8">
      <c r="D16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7" t="str">
        <f t="shared" si="26"/>
        <v/>
      </c>
    </row>
    <row r="1668" spans="4:8">
      <c r="D16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8" t="str">
        <f t="shared" si="26"/>
        <v/>
      </c>
    </row>
    <row r="1669" spans="4:8">
      <c r="D16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69" t="str">
        <f t="shared" si="26"/>
        <v/>
      </c>
    </row>
    <row r="1670" spans="4:8">
      <c r="D16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0" t="str">
        <f t="shared" si="26"/>
        <v/>
      </c>
    </row>
    <row r="1671" spans="4:8">
      <c r="D16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1" t="str">
        <f t="shared" si="26"/>
        <v/>
      </c>
    </row>
    <row r="1672" spans="4:8">
      <c r="D16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2" t="str">
        <f t="shared" si="26"/>
        <v/>
      </c>
    </row>
    <row r="1673" spans="4:8">
      <c r="D16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3" t="str">
        <f t="shared" si="26"/>
        <v/>
      </c>
    </row>
    <row r="1674" spans="4:8">
      <c r="D16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4" t="str">
        <f t="shared" si="26"/>
        <v/>
      </c>
    </row>
    <row r="1675" spans="4:8">
      <c r="D16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5" t="str">
        <f t="shared" si="26"/>
        <v/>
      </c>
    </row>
    <row r="1676" spans="4:8">
      <c r="D16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6" t="str">
        <f t="shared" si="26"/>
        <v/>
      </c>
    </row>
    <row r="1677" spans="4:8">
      <c r="D16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7" t="str">
        <f t="shared" si="26"/>
        <v/>
      </c>
    </row>
    <row r="1678" spans="4:8">
      <c r="D16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8" t="str">
        <f t="shared" si="26"/>
        <v/>
      </c>
    </row>
    <row r="1679" spans="4:8">
      <c r="D16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79" t="str">
        <f t="shared" si="26"/>
        <v/>
      </c>
    </row>
    <row r="1680" spans="4:8">
      <c r="D16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0" t="str">
        <f t="shared" si="26"/>
        <v/>
      </c>
    </row>
    <row r="1681" spans="4:8">
      <c r="D16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1" t="str">
        <f t="shared" si="26"/>
        <v/>
      </c>
    </row>
    <row r="1682" spans="4:8">
      <c r="D16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2" t="str">
        <f t="shared" si="26"/>
        <v/>
      </c>
    </row>
    <row r="1683" spans="4:8">
      <c r="D16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3" t="str">
        <f t="shared" si="26"/>
        <v/>
      </c>
    </row>
    <row r="1684" spans="4:8">
      <c r="D16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4" t="str">
        <f t="shared" si="26"/>
        <v/>
      </c>
    </row>
    <row r="1685" spans="4:8">
      <c r="D16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5" t="str">
        <f t="shared" si="26"/>
        <v/>
      </c>
    </row>
    <row r="1686" spans="4:8">
      <c r="D16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6" t="str">
        <f t="shared" si="26"/>
        <v/>
      </c>
    </row>
    <row r="1687" spans="4:8">
      <c r="D16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7" t="str">
        <f t="shared" si="26"/>
        <v/>
      </c>
    </row>
    <row r="1688" spans="4:8">
      <c r="D16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8" t="str">
        <f t="shared" si="26"/>
        <v/>
      </c>
    </row>
    <row r="1689" spans="4:8">
      <c r="D16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89" t="str">
        <f t="shared" si="26"/>
        <v/>
      </c>
    </row>
    <row r="1690" spans="4:8">
      <c r="D16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0" t="str">
        <f t="shared" si="26"/>
        <v/>
      </c>
    </row>
    <row r="1691" spans="4:8">
      <c r="D16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1" t="str">
        <f t="shared" si="26"/>
        <v/>
      </c>
    </row>
    <row r="1692" spans="4:8">
      <c r="D16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2" t="str">
        <f t="shared" si="26"/>
        <v/>
      </c>
    </row>
    <row r="1693" spans="4:8">
      <c r="D16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3" t="str">
        <f t="shared" si="26"/>
        <v/>
      </c>
    </row>
    <row r="1694" spans="4:8">
      <c r="D16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4" t="str">
        <f t="shared" si="26"/>
        <v/>
      </c>
    </row>
    <row r="1695" spans="4:8">
      <c r="D16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5" t="str">
        <f t="shared" si="26"/>
        <v/>
      </c>
    </row>
    <row r="1696" spans="4:8">
      <c r="D16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6" t="str">
        <f t="shared" si="26"/>
        <v/>
      </c>
    </row>
    <row r="1697" spans="4:8">
      <c r="D16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7" t="str">
        <f t="shared" si="26"/>
        <v/>
      </c>
    </row>
    <row r="1698" spans="4:8">
      <c r="D16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8" t="str">
        <f t="shared" si="26"/>
        <v/>
      </c>
    </row>
    <row r="1699" spans="4:8">
      <c r="D16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699" t="str">
        <f t="shared" si="26"/>
        <v/>
      </c>
    </row>
    <row r="1700" spans="4:8">
      <c r="D17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0" t="str">
        <f t="shared" si="26"/>
        <v/>
      </c>
    </row>
    <row r="1701" spans="4:8">
      <c r="D17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1" t="str">
        <f t="shared" si="26"/>
        <v/>
      </c>
    </row>
    <row r="1702" spans="4:8">
      <c r="D17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2" t="str">
        <f t="shared" si="26"/>
        <v/>
      </c>
    </row>
    <row r="1703" spans="4:8">
      <c r="D17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3" t="str">
        <f t="shared" si="26"/>
        <v/>
      </c>
    </row>
    <row r="1704" spans="4:8">
      <c r="D17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4" t="str">
        <f t="shared" si="26"/>
        <v/>
      </c>
    </row>
    <row r="1705" spans="4:8">
      <c r="D17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5" t="str">
        <f t="shared" si="26"/>
        <v/>
      </c>
    </row>
    <row r="1706" spans="4:8">
      <c r="D17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6" t="str">
        <f t="shared" si="26"/>
        <v/>
      </c>
    </row>
    <row r="1707" spans="4:8">
      <c r="D17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7" t="str">
        <f t="shared" si="26"/>
        <v/>
      </c>
    </row>
    <row r="1708" spans="4:8">
      <c r="D17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8" t="str">
        <f t="shared" si="26"/>
        <v/>
      </c>
    </row>
    <row r="1709" spans="4:8">
      <c r="D17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09" t="str">
        <f t="shared" si="26"/>
        <v/>
      </c>
    </row>
    <row r="1710" spans="4:8">
      <c r="D17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0" t="str">
        <f t="shared" si="26"/>
        <v/>
      </c>
    </row>
    <row r="1711" spans="4:8">
      <c r="D17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1" t="str">
        <f t="shared" si="26"/>
        <v/>
      </c>
    </row>
    <row r="1712" spans="4:8">
      <c r="D17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2" t="str">
        <f t="shared" si="26"/>
        <v/>
      </c>
    </row>
    <row r="1713" spans="4:8">
      <c r="D17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3" t="str">
        <f t="shared" si="26"/>
        <v/>
      </c>
    </row>
    <row r="1714" spans="4:8">
      <c r="D17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4" t="str">
        <f t="shared" si="26"/>
        <v/>
      </c>
    </row>
    <row r="1715" spans="4:8">
      <c r="D17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5" t="str">
        <f t="shared" si="26"/>
        <v/>
      </c>
    </row>
    <row r="1716" spans="4:8">
      <c r="D17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6" t="str">
        <f t="shared" si="26"/>
        <v/>
      </c>
    </row>
    <row r="1717" spans="4:8">
      <c r="D17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7" t="str">
        <f t="shared" si="26"/>
        <v/>
      </c>
    </row>
    <row r="1718" spans="4:8">
      <c r="D17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8" t="str">
        <f t="shared" si="26"/>
        <v/>
      </c>
    </row>
    <row r="1719" spans="4:8">
      <c r="D17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19" t="str">
        <f t="shared" si="26"/>
        <v/>
      </c>
    </row>
    <row r="1720" spans="4:8">
      <c r="D17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0" t="str">
        <f t="shared" si="26"/>
        <v/>
      </c>
    </row>
    <row r="1721" spans="4:8">
      <c r="D17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1" t="str">
        <f t="shared" si="26"/>
        <v/>
      </c>
    </row>
    <row r="1722" spans="4:8">
      <c r="D17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2" t="str">
        <f t="shared" si="26"/>
        <v/>
      </c>
    </row>
    <row r="1723" spans="4:8">
      <c r="D17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3" t="str">
        <f t="shared" si="26"/>
        <v/>
      </c>
    </row>
    <row r="1724" spans="4:8">
      <c r="D17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4" t="str">
        <f t="shared" si="26"/>
        <v/>
      </c>
    </row>
    <row r="1725" spans="4:8">
      <c r="D17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5" t="str">
        <f t="shared" si="26"/>
        <v/>
      </c>
    </row>
    <row r="1726" spans="4:8">
      <c r="D17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6" t="str">
        <f t="shared" si="26"/>
        <v/>
      </c>
    </row>
    <row r="1727" spans="4:8">
      <c r="D17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7" t="str">
        <f t="shared" si="26"/>
        <v/>
      </c>
    </row>
    <row r="1728" spans="4:8">
      <c r="D17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8" t="str">
        <f t="shared" si="26"/>
        <v/>
      </c>
    </row>
    <row r="1729" spans="4:8">
      <c r="D17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29" t="str">
        <f t="shared" si="26"/>
        <v/>
      </c>
    </row>
    <row r="1730" spans="4:8">
      <c r="D17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0" t="str">
        <f t="shared" ref="H1730:H1793" si="27">IF((F1730*G1730)&lt;&gt;0,F1730*G1730,"")</f>
        <v/>
      </c>
    </row>
    <row r="1731" spans="4:8">
      <c r="D17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1" t="str">
        <f t="shared" si="27"/>
        <v/>
      </c>
    </row>
    <row r="1732" spans="4:8">
      <c r="D17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2" t="str">
        <f t="shared" si="27"/>
        <v/>
      </c>
    </row>
    <row r="1733" spans="4:8">
      <c r="D17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3" t="str">
        <f t="shared" si="27"/>
        <v/>
      </c>
    </row>
    <row r="1734" spans="4:8">
      <c r="D17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4" t="str">
        <f t="shared" si="27"/>
        <v/>
      </c>
    </row>
    <row r="1735" spans="4:8">
      <c r="D17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5" t="str">
        <f t="shared" si="27"/>
        <v/>
      </c>
    </row>
    <row r="1736" spans="4:8">
      <c r="D17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6" t="str">
        <f t="shared" si="27"/>
        <v/>
      </c>
    </row>
    <row r="1737" spans="4:8">
      <c r="D17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7" t="str">
        <f t="shared" si="27"/>
        <v/>
      </c>
    </row>
    <row r="1738" spans="4:8">
      <c r="D17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8" t="str">
        <f t="shared" si="27"/>
        <v/>
      </c>
    </row>
    <row r="1739" spans="4:8">
      <c r="D17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39" t="str">
        <f t="shared" si="27"/>
        <v/>
      </c>
    </row>
    <row r="1740" spans="4:8">
      <c r="D17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0" t="str">
        <f t="shared" si="27"/>
        <v/>
      </c>
    </row>
    <row r="1741" spans="4:8">
      <c r="D17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1" t="str">
        <f t="shared" si="27"/>
        <v/>
      </c>
    </row>
    <row r="1742" spans="4:8">
      <c r="D17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2" t="str">
        <f t="shared" si="27"/>
        <v/>
      </c>
    </row>
    <row r="1743" spans="4:8">
      <c r="D17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3" t="str">
        <f t="shared" si="27"/>
        <v/>
      </c>
    </row>
    <row r="1744" spans="4:8">
      <c r="D17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4" t="str">
        <f t="shared" si="27"/>
        <v/>
      </c>
    </row>
    <row r="1745" spans="4:8">
      <c r="D17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5" t="str">
        <f t="shared" si="27"/>
        <v/>
      </c>
    </row>
    <row r="1746" spans="4:8">
      <c r="D17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6" t="str">
        <f t="shared" si="27"/>
        <v/>
      </c>
    </row>
    <row r="1747" spans="4:8">
      <c r="D17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7" t="str">
        <f t="shared" si="27"/>
        <v/>
      </c>
    </row>
    <row r="1748" spans="4:8">
      <c r="D17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8" t="str">
        <f t="shared" si="27"/>
        <v/>
      </c>
    </row>
    <row r="1749" spans="4:8">
      <c r="D17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49" t="str">
        <f t="shared" si="27"/>
        <v/>
      </c>
    </row>
    <row r="1750" spans="4:8">
      <c r="D17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0" t="str">
        <f t="shared" si="27"/>
        <v/>
      </c>
    </row>
    <row r="1751" spans="4:8">
      <c r="D17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1" t="str">
        <f t="shared" si="27"/>
        <v/>
      </c>
    </row>
    <row r="1752" spans="4:8">
      <c r="D17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2" t="str">
        <f t="shared" si="27"/>
        <v/>
      </c>
    </row>
    <row r="1753" spans="4:8">
      <c r="D17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3" t="str">
        <f t="shared" si="27"/>
        <v/>
      </c>
    </row>
    <row r="1754" spans="4:8">
      <c r="D17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4" t="str">
        <f t="shared" si="27"/>
        <v/>
      </c>
    </row>
    <row r="1755" spans="4:8">
      <c r="D17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5" t="str">
        <f t="shared" si="27"/>
        <v/>
      </c>
    </row>
    <row r="1756" spans="4:8">
      <c r="D17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6" t="str">
        <f t="shared" si="27"/>
        <v/>
      </c>
    </row>
    <row r="1757" spans="4:8">
      <c r="D17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7" t="str">
        <f t="shared" si="27"/>
        <v/>
      </c>
    </row>
    <row r="1758" spans="4:8">
      <c r="D17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8" t="str">
        <f t="shared" si="27"/>
        <v/>
      </c>
    </row>
    <row r="1759" spans="4:8">
      <c r="D17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59" t="str">
        <f t="shared" si="27"/>
        <v/>
      </c>
    </row>
    <row r="1760" spans="4:8">
      <c r="D17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0" t="str">
        <f t="shared" si="27"/>
        <v/>
      </c>
    </row>
    <row r="1761" spans="4:8">
      <c r="D17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1" t="str">
        <f t="shared" si="27"/>
        <v/>
      </c>
    </row>
    <row r="1762" spans="4:8">
      <c r="D17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2" t="str">
        <f t="shared" si="27"/>
        <v/>
      </c>
    </row>
    <row r="1763" spans="4:8">
      <c r="D17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3" t="str">
        <f t="shared" si="27"/>
        <v/>
      </c>
    </row>
    <row r="1764" spans="4:8">
      <c r="D17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4" t="str">
        <f t="shared" si="27"/>
        <v/>
      </c>
    </row>
    <row r="1765" spans="4:8">
      <c r="D17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5" t="str">
        <f t="shared" si="27"/>
        <v/>
      </c>
    </row>
    <row r="1766" spans="4:8">
      <c r="D17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6" t="str">
        <f t="shared" si="27"/>
        <v/>
      </c>
    </row>
    <row r="1767" spans="4:8">
      <c r="D17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7" t="str">
        <f t="shared" si="27"/>
        <v/>
      </c>
    </row>
    <row r="1768" spans="4:8">
      <c r="D17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8" t="str">
        <f t="shared" si="27"/>
        <v/>
      </c>
    </row>
    <row r="1769" spans="4:8">
      <c r="D17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69" t="str">
        <f t="shared" si="27"/>
        <v/>
      </c>
    </row>
    <row r="1770" spans="4:8">
      <c r="D17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0" t="str">
        <f t="shared" si="27"/>
        <v/>
      </c>
    </row>
    <row r="1771" spans="4:8">
      <c r="D17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1" t="str">
        <f t="shared" si="27"/>
        <v/>
      </c>
    </row>
    <row r="1772" spans="4:8">
      <c r="D17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2" t="str">
        <f t="shared" si="27"/>
        <v/>
      </c>
    </row>
    <row r="1773" spans="4:8">
      <c r="D17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3" t="str">
        <f t="shared" si="27"/>
        <v/>
      </c>
    </row>
    <row r="1774" spans="4:8">
      <c r="D17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4" t="str">
        <f t="shared" si="27"/>
        <v/>
      </c>
    </row>
    <row r="1775" spans="4:8">
      <c r="D17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5" t="str">
        <f t="shared" si="27"/>
        <v/>
      </c>
    </row>
    <row r="1776" spans="4:8">
      <c r="D17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6" t="str">
        <f t="shared" si="27"/>
        <v/>
      </c>
    </row>
    <row r="1777" spans="4:8">
      <c r="D17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7" t="str">
        <f t="shared" si="27"/>
        <v/>
      </c>
    </row>
    <row r="1778" spans="4:8">
      <c r="D17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8" t="str">
        <f t="shared" si="27"/>
        <v/>
      </c>
    </row>
    <row r="1779" spans="4:8">
      <c r="D17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79" t="str">
        <f t="shared" si="27"/>
        <v/>
      </c>
    </row>
    <row r="1780" spans="4:8">
      <c r="D17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0" t="str">
        <f t="shared" si="27"/>
        <v/>
      </c>
    </row>
    <row r="1781" spans="4:8">
      <c r="D17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1" t="str">
        <f t="shared" si="27"/>
        <v/>
      </c>
    </row>
    <row r="1782" spans="4:8">
      <c r="D17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2" t="str">
        <f t="shared" si="27"/>
        <v/>
      </c>
    </row>
    <row r="1783" spans="4:8">
      <c r="D17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3" t="str">
        <f t="shared" si="27"/>
        <v/>
      </c>
    </row>
    <row r="1784" spans="4:8">
      <c r="D17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4" t="str">
        <f t="shared" si="27"/>
        <v/>
      </c>
    </row>
    <row r="1785" spans="4:8">
      <c r="D17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5" t="str">
        <f t="shared" si="27"/>
        <v/>
      </c>
    </row>
    <row r="1786" spans="4:8">
      <c r="D17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6" t="str">
        <f t="shared" si="27"/>
        <v/>
      </c>
    </row>
    <row r="1787" spans="4:8">
      <c r="D17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7" t="str">
        <f t="shared" si="27"/>
        <v/>
      </c>
    </row>
    <row r="1788" spans="4:8">
      <c r="D17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8" t="str">
        <f t="shared" si="27"/>
        <v/>
      </c>
    </row>
    <row r="1789" spans="4:8">
      <c r="D17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89" t="str">
        <f t="shared" si="27"/>
        <v/>
      </c>
    </row>
    <row r="1790" spans="4:8">
      <c r="D17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0" t="str">
        <f t="shared" si="27"/>
        <v/>
      </c>
    </row>
    <row r="1791" spans="4:8">
      <c r="D17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1" t="str">
        <f t="shared" si="27"/>
        <v/>
      </c>
    </row>
    <row r="1792" spans="4:8">
      <c r="D17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2" t="str">
        <f t="shared" si="27"/>
        <v/>
      </c>
    </row>
    <row r="1793" spans="4:8">
      <c r="D17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3" t="str">
        <f t="shared" si="27"/>
        <v/>
      </c>
    </row>
    <row r="1794" spans="4:8">
      <c r="D17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4" t="str">
        <f t="shared" ref="H1794:H1857" si="28">IF((F1794*G1794)&lt;&gt;0,F1794*G1794,"")</f>
        <v/>
      </c>
    </row>
    <row r="1795" spans="4:8">
      <c r="D17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5" t="str">
        <f t="shared" si="28"/>
        <v/>
      </c>
    </row>
    <row r="1796" spans="4:8">
      <c r="D17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6" t="str">
        <f t="shared" si="28"/>
        <v/>
      </c>
    </row>
    <row r="1797" spans="4:8">
      <c r="D17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7" t="str">
        <f t="shared" si="28"/>
        <v/>
      </c>
    </row>
    <row r="1798" spans="4:8">
      <c r="D17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8" t="str">
        <f t="shared" si="28"/>
        <v/>
      </c>
    </row>
    <row r="1799" spans="4:8">
      <c r="D17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799" t="str">
        <f t="shared" si="28"/>
        <v/>
      </c>
    </row>
    <row r="1800" spans="4:8">
      <c r="D18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0" t="str">
        <f t="shared" si="28"/>
        <v/>
      </c>
    </row>
    <row r="1801" spans="4:8">
      <c r="D18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1" t="str">
        <f t="shared" si="28"/>
        <v/>
      </c>
    </row>
    <row r="1802" spans="4:8">
      <c r="D18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2" t="str">
        <f t="shared" si="28"/>
        <v/>
      </c>
    </row>
    <row r="1803" spans="4:8">
      <c r="D18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3" t="str">
        <f t="shared" si="28"/>
        <v/>
      </c>
    </row>
    <row r="1804" spans="4:8">
      <c r="D18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4" t="str">
        <f t="shared" si="28"/>
        <v/>
      </c>
    </row>
    <row r="1805" spans="4:8">
      <c r="D18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5" t="str">
        <f t="shared" si="28"/>
        <v/>
      </c>
    </row>
    <row r="1806" spans="4:8">
      <c r="D18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6" t="str">
        <f t="shared" si="28"/>
        <v/>
      </c>
    </row>
    <row r="1807" spans="4:8">
      <c r="D18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7" t="str">
        <f t="shared" si="28"/>
        <v/>
      </c>
    </row>
    <row r="1808" spans="4:8">
      <c r="D18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8" t="str">
        <f t="shared" si="28"/>
        <v/>
      </c>
    </row>
    <row r="1809" spans="4:8">
      <c r="D18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09" t="str">
        <f t="shared" si="28"/>
        <v/>
      </c>
    </row>
    <row r="1810" spans="4:8">
      <c r="D18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0" t="str">
        <f t="shared" si="28"/>
        <v/>
      </c>
    </row>
    <row r="1811" spans="4:8">
      <c r="D18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1" t="str">
        <f t="shared" si="28"/>
        <v/>
      </c>
    </row>
    <row r="1812" spans="4:8">
      <c r="D18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2" t="str">
        <f t="shared" si="28"/>
        <v/>
      </c>
    </row>
    <row r="1813" spans="4:8">
      <c r="D18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3" t="str">
        <f t="shared" si="28"/>
        <v/>
      </c>
    </row>
    <row r="1814" spans="4:8">
      <c r="D18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4" t="str">
        <f t="shared" si="28"/>
        <v/>
      </c>
    </row>
    <row r="1815" spans="4:8">
      <c r="D18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5" t="str">
        <f t="shared" si="28"/>
        <v/>
      </c>
    </row>
    <row r="1816" spans="4:8">
      <c r="D18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6" t="str">
        <f t="shared" si="28"/>
        <v/>
      </c>
    </row>
    <row r="1817" spans="4:8">
      <c r="D18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7" t="str">
        <f t="shared" si="28"/>
        <v/>
      </c>
    </row>
    <row r="1818" spans="4:8">
      <c r="D18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8" t="str">
        <f t="shared" si="28"/>
        <v/>
      </c>
    </row>
    <row r="1819" spans="4:8">
      <c r="D18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19" t="str">
        <f t="shared" si="28"/>
        <v/>
      </c>
    </row>
    <row r="1820" spans="4:8">
      <c r="D18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0" t="str">
        <f t="shared" si="28"/>
        <v/>
      </c>
    </row>
    <row r="1821" spans="4:8">
      <c r="D18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1" t="str">
        <f t="shared" si="28"/>
        <v/>
      </c>
    </row>
    <row r="1822" spans="4:8">
      <c r="D18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2" t="str">
        <f t="shared" si="28"/>
        <v/>
      </c>
    </row>
    <row r="1823" spans="4:8">
      <c r="D18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3" t="str">
        <f t="shared" si="28"/>
        <v/>
      </c>
    </row>
    <row r="1824" spans="4:8">
      <c r="D18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4" t="str">
        <f t="shared" si="28"/>
        <v/>
      </c>
    </row>
    <row r="1825" spans="4:8">
      <c r="D18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5" t="str">
        <f t="shared" si="28"/>
        <v/>
      </c>
    </row>
    <row r="1826" spans="4:8">
      <c r="D18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6" t="str">
        <f t="shared" si="28"/>
        <v/>
      </c>
    </row>
    <row r="1827" spans="4:8">
      <c r="D18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7" t="str">
        <f t="shared" si="28"/>
        <v/>
      </c>
    </row>
    <row r="1828" spans="4:8">
      <c r="D18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8" t="str">
        <f t="shared" si="28"/>
        <v/>
      </c>
    </row>
    <row r="1829" spans="4:8">
      <c r="D18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29" t="str">
        <f t="shared" si="28"/>
        <v/>
      </c>
    </row>
    <row r="1830" spans="4:8">
      <c r="D18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0" t="str">
        <f t="shared" si="28"/>
        <v/>
      </c>
    </row>
    <row r="1831" spans="4:8">
      <c r="D18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1" t="str">
        <f t="shared" si="28"/>
        <v/>
      </c>
    </row>
    <row r="1832" spans="4:8">
      <c r="D18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2" t="str">
        <f t="shared" si="28"/>
        <v/>
      </c>
    </row>
    <row r="1833" spans="4:8">
      <c r="D18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3" t="str">
        <f t="shared" si="28"/>
        <v/>
      </c>
    </row>
    <row r="1834" spans="4:8">
      <c r="D18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4" t="str">
        <f t="shared" si="28"/>
        <v/>
      </c>
    </row>
    <row r="1835" spans="4:8">
      <c r="D18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5" t="str">
        <f t="shared" si="28"/>
        <v/>
      </c>
    </row>
    <row r="1836" spans="4:8">
      <c r="D18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6" t="str">
        <f t="shared" si="28"/>
        <v/>
      </c>
    </row>
    <row r="1837" spans="4:8">
      <c r="D18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7" t="str">
        <f t="shared" si="28"/>
        <v/>
      </c>
    </row>
    <row r="1838" spans="4:8">
      <c r="D18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8" t="str">
        <f t="shared" si="28"/>
        <v/>
      </c>
    </row>
    <row r="1839" spans="4:8">
      <c r="D18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39" t="str">
        <f t="shared" si="28"/>
        <v/>
      </c>
    </row>
    <row r="1840" spans="4:8">
      <c r="D18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0" t="str">
        <f t="shared" si="28"/>
        <v/>
      </c>
    </row>
    <row r="1841" spans="4:8">
      <c r="D18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1" t="str">
        <f t="shared" si="28"/>
        <v/>
      </c>
    </row>
    <row r="1842" spans="4:8">
      <c r="D18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2" t="str">
        <f t="shared" si="28"/>
        <v/>
      </c>
    </row>
    <row r="1843" spans="4:8">
      <c r="D18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3" t="str">
        <f t="shared" si="28"/>
        <v/>
      </c>
    </row>
    <row r="1844" spans="4:8">
      <c r="D18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4" t="str">
        <f t="shared" si="28"/>
        <v/>
      </c>
    </row>
    <row r="1845" spans="4:8">
      <c r="D18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5" t="str">
        <f t="shared" si="28"/>
        <v/>
      </c>
    </row>
    <row r="1846" spans="4:8">
      <c r="D18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6" t="str">
        <f t="shared" si="28"/>
        <v/>
      </c>
    </row>
    <row r="1847" spans="4:8">
      <c r="D18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7" t="str">
        <f t="shared" si="28"/>
        <v/>
      </c>
    </row>
    <row r="1848" spans="4:8">
      <c r="D18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8" t="str">
        <f t="shared" si="28"/>
        <v/>
      </c>
    </row>
    <row r="1849" spans="4:8">
      <c r="D18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49" t="str">
        <f t="shared" si="28"/>
        <v/>
      </c>
    </row>
    <row r="1850" spans="4:8">
      <c r="D18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0" t="str">
        <f t="shared" si="28"/>
        <v/>
      </c>
    </row>
    <row r="1851" spans="4:8">
      <c r="D18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1" t="str">
        <f t="shared" si="28"/>
        <v/>
      </c>
    </row>
    <row r="1852" spans="4:8">
      <c r="D18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2" t="str">
        <f t="shared" si="28"/>
        <v/>
      </c>
    </row>
    <row r="1853" spans="4:8">
      <c r="D18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3" t="str">
        <f t="shared" si="28"/>
        <v/>
      </c>
    </row>
    <row r="1854" spans="4:8">
      <c r="D18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4" t="str">
        <f t="shared" si="28"/>
        <v/>
      </c>
    </row>
    <row r="1855" spans="4:8">
      <c r="D18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5" t="str">
        <f t="shared" si="28"/>
        <v/>
      </c>
    </row>
    <row r="1856" spans="4:8">
      <c r="D18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6" t="str">
        <f t="shared" si="28"/>
        <v/>
      </c>
    </row>
    <row r="1857" spans="4:8">
      <c r="D18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7" t="str">
        <f t="shared" si="28"/>
        <v/>
      </c>
    </row>
    <row r="1858" spans="4:8">
      <c r="D18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8" t="str">
        <f t="shared" ref="H1858:H1921" si="29">IF((F1858*G1858)&lt;&gt;0,F1858*G1858,"")</f>
        <v/>
      </c>
    </row>
    <row r="1859" spans="4:8">
      <c r="D18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59" t="str">
        <f t="shared" si="29"/>
        <v/>
      </c>
    </row>
    <row r="1860" spans="4:8">
      <c r="D18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0" t="str">
        <f t="shared" si="29"/>
        <v/>
      </c>
    </row>
    <row r="1861" spans="4:8">
      <c r="D18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1" t="str">
        <f t="shared" si="29"/>
        <v/>
      </c>
    </row>
    <row r="1862" spans="4:8">
      <c r="D18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2" t="str">
        <f t="shared" si="29"/>
        <v/>
      </c>
    </row>
    <row r="1863" spans="4:8">
      <c r="D18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3" t="str">
        <f t="shared" si="29"/>
        <v/>
      </c>
    </row>
    <row r="1864" spans="4:8">
      <c r="D18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4" t="str">
        <f t="shared" si="29"/>
        <v/>
      </c>
    </row>
    <row r="1865" spans="4:8">
      <c r="D18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5" t="str">
        <f t="shared" si="29"/>
        <v/>
      </c>
    </row>
    <row r="1866" spans="4:8">
      <c r="D18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6" t="str">
        <f t="shared" si="29"/>
        <v/>
      </c>
    </row>
    <row r="1867" spans="4:8">
      <c r="D18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7" t="str">
        <f t="shared" si="29"/>
        <v/>
      </c>
    </row>
    <row r="1868" spans="4:8">
      <c r="D18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8" t="str">
        <f t="shared" si="29"/>
        <v/>
      </c>
    </row>
    <row r="1869" spans="4:8">
      <c r="D18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69" t="str">
        <f t="shared" si="29"/>
        <v/>
      </c>
    </row>
    <row r="1870" spans="4:8">
      <c r="D18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0" t="str">
        <f t="shared" si="29"/>
        <v/>
      </c>
    </row>
    <row r="1871" spans="4:8">
      <c r="D18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1" t="str">
        <f t="shared" si="29"/>
        <v/>
      </c>
    </row>
    <row r="1872" spans="4:8">
      <c r="D18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2" t="str">
        <f t="shared" si="29"/>
        <v/>
      </c>
    </row>
    <row r="1873" spans="4:8">
      <c r="D18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3" t="str">
        <f t="shared" si="29"/>
        <v/>
      </c>
    </row>
    <row r="1874" spans="4:8">
      <c r="D18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4" t="str">
        <f t="shared" si="29"/>
        <v/>
      </c>
    </row>
    <row r="1875" spans="4:8">
      <c r="D18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5" t="str">
        <f t="shared" si="29"/>
        <v/>
      </c>
    </row>
    <row r="1876" spans="4:8">
      <c r="D18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6" t="str">
        <f t="shared" si="29"/>
        <v/>
      </c>
    </row>
    <row r="1877" spans="4:8">
      <c r="D18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7" t="str">
        <f t="shared" si="29"/>
        <v/>
      </c>
    </row>
    <row r="1878" spans="4:8">
      <c r="D18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8" t="str">
        <f t="shared" si="29"/>
        <v/>
      </c>
    </row>
    <row r="1879" spans="4:8">
      <c r="D18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79" t="str">
        <f t="shared" si="29"/>
        <v/>
      </c>
    </row>
    <row r="1880" spans="4:8">
      <c r="D18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0" t="str">
        <f t="shared" si="29"/>
        <v/>
      </c>
    </row>
    <row r="1881" spans="4:8">
      <c r="D18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1" t="str">
        <f t="shared" si="29"/>
        <v/>
      </c>
    </row>
    <row r="1882" spans="4:8">
      <c r="D18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2" t="str">
        <f t="shared" si="29"/>
        <v/>
      </c>
    </row>
    <row r="1883" spans="4:8">
      <c r="D18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3" t="str">
        <f t="shared" si="29"/>
        <v/>
      </c>
    </row>
    <row r="1884" spans="4:8">
      <c r="D18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4" t="str">
        <f t="shared" si="29"/>
        <v/>
      </c>
    </row>
    <row r="1885" spans="4:8">
      <c r="D18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5" t="str">
        <f t="shared" si="29"/>
        <v/>
      </c>
    </row>
    <row r="1886" spans="4:8">
      <c r="D18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6" t="str">
        <f t="shared" si="29"/>
        <v/>
      </c>
    </row>
    <row r="1887" spans="4:8">
      <c r="D18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7" t="str">
        <f t="shared" si="29"/>
        <v/>
      </c>
    </row>
    <row r="1888" spans="4:8">
      <c r="D18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8" t="str">
        <f t="shared" si="29"/>
        <v/>
      </c>
    </row>
    <row r="1889" spans="4:8">
      <c r="D18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89" t="str">
        <f t="shared" si="29"/>
        <v/>
      </c>
    </row>
    <row r="1890" spans="4:8">
      <c r="D18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0" t="str">
        <f t="shared" si="29"/>
        <v/>
      </c>
    </row>
    <row r="1891" spans="4:8">
      <c r="D18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1" t="str">
        <f t="shared" si="29"/>
        <v/>
      </c>
    </row>
    <row r="1892" spans="4:8">
      <c r="D18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2" t="str">
        <f t="shared" si="29"/>
        <v/>
      </c>
    </row>
    <row r="1893" spans="4:8">
      <c r="D18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3" t="str">
        <f t="shared" si="29"/>
        <v/>
      </c>
    </row>
    <row r="1894" spans="4:8">
      <c r="D18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4" t="str">
        <f t="shared" si="29"/>
        <v/>
      </c>
    </row>
    <row r="1895" spans="4:8">
      <c r="D18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5" t="str">
        <f t="shared" si="29"/>
        <v/>
      </c>
    </row>
    <row r="1896" spans="4:8">
      <c r="D18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6" t="str">
        <f t="shared" si="29"/>
        <v/>
      </c>
    </row>
    <row r="1897" spans="4:8">
      <c r="D18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7" t="str">
        <f t="shared" si="29"/>
        <v/>
      </c>
    </row>
    <row r="1898" spans="4:8">
      <c r="D18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8" t="str">
        <f t="shared" si="29"/>
        <v/>
      </c>
    </row>
    <row r="1899" spans="4:8">
      <c r="D18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899" t="str">
        <f t="shared" si="29"/>
        <v/>
      </c>
    </row>
    <row r="1900" spans="4:8">
      <c r="D190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0" t="str">
        <f t="shared" si="29"/>
        <v/>
      </c>
    </row>
    <row r="1901" spans="4:8">
      <c r="D190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1" t="str">
        <f t="shared" si="29"/>
        <v/>
      </c>
    </row>
    <row r="1902" spans="4:8">
      <c r="D190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2" t="str">
        <f t="shared" si="29"/>
        <v/>
      </c>
    </row>
    <row r="1903" spans="4:8">
      <c r="D190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3" t="str">
        <f t="shared" si="29"/>
        <v/>
      </c>
    </row>
    <row r="1904" spans="4:8">
      <c r="D190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4" t="str">
        <f t="shared" si="29"/>
        <v/>
      </c>
    </row>
    <row r="1905" spans="4:8">
      <c r="D190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5" t="str">
        <f t="shared" si="29"/>
        <v/>
      </c>
    </row>
    <row r="1906" spans="4:8">
      <c r="D190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6" t="str">
        <f t="shared" si="29"/>
        <v/>
      </c>
    </row>
    <row r="1907" spans="4:8">
      <c r="D190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7" t="str">
        <f t="shared" si="29"/>
        <v/>
      </c>
    </row>
    <row r="1908" spans="4:8">
      <c r="D190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8" t="str">
        <f t="shared" si="29"/>
        <v/>
      </c>
    </row>
    <row r="1909" spans="4:8">
      <c r="D190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09" t="str">
        <f t="shared" si="29"/>
        <v/>
      </c>
    </row>
    <row r="1910" spans="4:8">
      <c r="D191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0" t="str">
        <f t="shared" si="29"/>
        <v/>
      </c>
    </row>
    <row r="1911" spans="4:8">
      <c r="D191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1" t="str">
        <f t="shared" si="29"/>
        <v/>
      </c>
    </row>
    <row r="1912" spans="4:8">
      <c r="D191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2" t="str">
        <f t="shared" si="29"/>
        <v/>
      </c>
    </row>
    <row r="1913" spans="4:8">
      <c r="D191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3" t="str">
        <f t="shared" si="29"/>
        <v/>
      </c>
    </row>
    <row r="1914" spans="4:8">
      <c r="D191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4" t="str">
        <f t="shared" si="29"/>
        <v/>
      </c>
    </row>
    <row r="1915" spans="4:8">
      <c r="D191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5" t="str">
        <f t="shared" si="29"/>
        <v/>
      </c>
    </row>
    <row r="1916" spans="4:8">
      <c r="D191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6" t="str">
        <f t="shared" si="29"/>
        <v/>
      </c>
    </row>
    <row r="1917" spans="4:8">
      <c r="D191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7" t="str">
        <f t="shared" si="29"/>
        <v/>
      </c>
    </row>
    <row r="1918" spans="4:8">
      <c r="D191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8" t="str">
        <f t="shared" si="29"/>
        <v/>
      </c>
    </row>
    <row r="1919" spans="4:8">
      <c r="D191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19" t="str">
        <f t="shared" si="29"/>
        <v/>
      </c>
    </row>
    <row r="1920" spans="4:8">
      <c r="D192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0" t="str">
        <f t="shared" si="29"/>
        <v/>
      </c>
    </row>
    <row r="1921" spans="4:8">
      <c r="D192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1" t="str">
        <f t="shared" si="29"/>
        <v/>
      </c>
    </row>
    <row r="1922" spans="4:8">
      <c r="D192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2" t="str">
        <f t="shared" ref="H1922:H1985" si="30">IF((F1922*G1922)&lt;&gt;0,F1922*G1922,"")</f>
        <v/>
      </c>
    </row>
    <row r="1923" spans="4:8">
      <c r="D192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3" t="str">
        <f t="shared" si="30"/>
        <v/>
      </c>
    </row>
    <row r="1924" spans="4:8">
      <c r="D192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4" t="str">
        <f t="shared" si="30"/>
        <v/>
      </c>
    </row>
    <row r="1925" spans="4:8">
      <c r="D192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5" t="str">
        <f t="shared" si="30"/>
        <v/>
      </c>
    </row>
    <row r="1926" spans="4:8">
      <c r="D192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6" t="str">
        <f t="shared" si="30"/>
        <v/>
      </c>
    </row>
    <row r="1927" spans="4:8">
      <c r="D192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7" t="str">
        <f t="shared" si="30"/>
        <v/>
      </c>
    </row>
    <row r="1928" spans="4:8">
      <c r="D192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8" t="str">
        <f t="shared" si="30"/>
        <v/>
      </c>
    </row>
    <row r="1929" spans="4:8">
      <c r="D192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29" t="str">
        <f t="shared" si="30"/>
        <v/>
      </c>
    </row>
    <row r="1930" spans="4:8">
      <c r="D193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0" t="str">
        <f t="shared" si="30"/>
        <v/>
      </c>
    </row>
    <row r="1931" spans="4:8">
      <c r="D193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1" t="str">
        <f t="shared" si="30"/>
        <v/>
      </c>
    </row>
    <row r="1932" spans="4:8">
      <c r="D193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2" t="str">
        <f t="shared" si="30"/>
        <v/>
      </c>
    </row>
    <row r="1933" spans="4:8">
      <c r="D193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3" t="str">
        <f t="shared" si="30"/>
        <v/>
      </c>
    </row>
    <row r="1934" spans="4:8">
      <c r="D193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4" t="str">
        <f t="shared" si="30"/>
        <v/>
      </c>
    </row>
    <row r="1935" spans="4:8">
      <c r="D193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5" t="str">
        <f t="shared" si="30"/>
        <v/>
      </c>
    </row>
    <row r="1936" spans="4:8">
      <c r="D193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6" t="str">
        <f t="shared" si="30"/>
        <v/>
      </c>
    </row>
    <row r="1937" spans="4:8">
      <c r="D193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7" t="str">
        <f t="shared" si="30"/>
        <v/>
      </c>
    </row>
    <row r="1938" spans="4:8">
      <c r="D193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8" t="str">
        <f t="shared" si="30"/>
        <v/>
      </c>
    </row>
    <row r="1939" spans="4:8">
      <c r="D193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39" t="str">
        <f t="shared" si="30"/>
        <v/>
      </c>
    </row>
    <row r="1940" spans="4:8">
      <c r="D194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0" t="str">
        <f t="shared" si="30"/>
        <v/>
      </c>
    </row>
    <row r="1941" spans="4:8">
      <c r="D194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1" t="str">
        <f t="shared" si="30"/>
        <v/>
      </c>
    </row>
    <row r="1942" spans="4:8">
      <c r="D194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2" t="str">
        <f t="shared" si="30"/>
        <v/>
      </c>
    </row>
    <row r="1943" spans="4:8">
      <c r="D194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3" t="str">
        <f t="shared" si="30"/>
        <v/>
      </c>
    </row>
    <row r="1944" spans="4:8">
      <c r="D194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4" t="str">
        <f t="shared" si="30"/>
        <v/>
      </c>
    </row>
    <row r="1945" spans="4:8">
      <c r="D194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5" t="str">
        <f t="shared" si="30"/>
        <v/>
      </c>
    </row>
    <row r="1946" spans="4:8">
      <c r="D194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6" t="str">
        <f t="shared" si="30"/>
        <v/>
      </c>
    </row>
    <row r="1947" spans="4:8">
      <c r="D194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7" t="str">
        <f t="shared" si="30"/>
        <v/>
      </c>
    </row>
    <row r="1948" spans="4:8">
      <c r="D194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8" t="str">
        <f t="shared" si="30"/>
        <v/>
      </c>
    </row>
    <row r="1949" spans="4:8">
      <c r="D194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49" t="str">
        <f t="shared" si="30"/>
        <v/>
      </c>
    </row>
    <row r="1950" spans="4:8">
      <c r="D195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0" t="str">
        <f t="shared" si="30"/>
        <v/>
      </c>
    </row>
    <row r="1951" spans="4:8">
      <c r="D195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1" t="str">
        <f t="shared" si="30"/>
        <v/>
      </c>
    </row>
    <row r="1952" spans="4:8">
      <c r="D195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2" t="str">
        <f t="shared" si="30"/>
        <v/>
      </c>
    </row>
    <row r="1953" spans="4:8">
      <c r="D195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3" t="str">
        <f t="shared" si="30"/>
        <v/>
      </c>
    </row>
    <row r="1954" spans="4:8">
      <c r="D195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4" t="str">
        <f t="shared" si="30"/>
        <v/>
      </c>
    </row>
    <row r="1955" spans="4:8">
      <c r="D195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5" t="str">
        <f t="shared" si="30"/>
        <v/>
      </c>
    </row>
    <row r="1956" spans="4:8">
      <c r="D195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6" t="str">
        <f t="shared" si="30"/>
        <v/>
      </c>
    </row>
    <row r="1957" spans="4:8">
      <c r="D195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7" t="str">
        <f t="shared" si="30"/>
        <v/>
      </c>
    </row>
    <row r="1958" spans="4:8">
      <c r="D195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8" t="str">
        <f t="shared" si="30"/>
        <v/>
      </c>
    </row>
    <row r="1959" spans="4:8">
      <c r="D195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59" t="str">
        <f t="shared" si="30"/>
        <v/>
      </c>
    </row>
    <row r="1960" spans="4:8">
      <c r="D196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0" t="str">
        <f t="shared" si="30"/>
        <v/>
      </c>
    </row>
    <row r="1961" spans="4:8">
      <c r="D196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1" t="str">
        <f t="shared" si="30"/>
        <v/>
      </c>
    </row>
    <row r="1962" spans="4:8">
      <c r="D196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2" t="str">
        <f t="shared" si="30"/>
        <v/>
      </c>
    </row>
    <row r="1963" spans="4:8">
      <c r="D196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3" t="str">
        <f t="shared" si="30"/>
        <v/>
      </c>
    </row>
    <row r="1964" spans="4:8">
      <c r="D196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4" t="str">
        <f t="shared" si="30"/>
        <v/>
      </c>
    </row>
    <row r="1965" spans="4:8">
      <c r="D196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5" t="str">
        <f t="shared" si="30"/>
        <v/>
      </c>
    </row>
    <row r="1966" spans="4:8">
      <c r="D196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6" t="str">
        <f t="shared" si="30"/>
        <v/>
      </c>
    </row>
    <row r="1967" spans="4:8">
      <c r="D196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7" t="str">
        <f t="shared" si="30"/>
        <v/>
      </c>
    </row>
    <row r="1968" spans="4:8">
      <c r="D196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8" t="str">
        <f t="shared" si="30"/>
        <v/>
      </c>
    </row>
    <row r="1969" spans="4:8">
      <c r="D196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69" t="str">
        <f t="shared" si="30"/>
        <v/>
      </c>
    </row>
    <row r="1970" spans="4:8">
      <c r="D197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0" t="str">
        <f t="shared" si="30"/>
        <v/>
      </c>
    </row>
    <row r="1971" spans="4:8">
      <c r="D197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1" t="str">
        <f t="shared" si="30"/>
        <v/>
      </c>
    </row>
    <row r="1972" spans="4:8">
      <c r="D197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2" t="str">
        <f t="shared" si="30"/>
        <v/>
      </c>
    </row>
    <row r="1973" spans="4:8">
      <c r="D197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3" t="str">
        <f t="shared" si="30"/>
        <v/>
      </c>
    </row>
    <row r="1974" spans="4:8">
      <c r="D197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4" t="str">
        <f t="shared" si="30"/>
        <v/>
      </c>
    </row>
    <row r="1975" spans="4:8">
      <c r="D197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5" t="str">
        <f t="shared" si="30"/>
        <v/>
      </c>
    </row>
    <row r="1976" spans="4:8">
      <c r="D197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6" t="str">
        <f t="shared" si="30"/>
        <v/>
      </c>
    </row>
    <row r="1977" spans="4:8">
      <c r="D197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7" t="str">
        <f t="shared" si="30"/>
        <v/>
      </c>
    </row>
    <row r="1978" spans="4:8">
      <c r="D197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8" t="str">
        <f t="shared" si="30"/>
        <v/>
      </c>
    </row>
    <row r="1979" spans="4:8">
      <c r="D197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79" t="str">
        <f t="shared" si="30"/>
        <v/>
      </c>
    </row>
    <row r="1980" spans="4:8">
      <c r="D198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0" t="str">
        <f t="shared" si="30"/>
        <v/>
      </c>
    </row>
    <row r="1981" spans="4:8">
      <c r="D198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1" t="str">
        <f t="shared" si="30"/>
        <v/>
      </c>
    </row>
    <row r="1982" spans="4:8">
      <c r="D198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2" t="str">
        <f t="shared" si="30"/>
        <v/>
      </c>
    </row>
    <row r="1983" spans="4:8">
      <c r="D198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3" t="str">
        <f t="shared" si="30"/>
        <v/>
      </c>
    </row>
    <row r="1984" spans="4:8">
      <c r="D198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4" t="str">
        <f t="shared" si="30"/>
        <v/>
      </c>
    </row>
    <row r="1985" spans="4:8">
      <c r="D198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5" t="str">
        <f t="shared" si="30"/>
        <v/>
      </c>
    </row>
    <row r="1986" spans="4:8">
      <c r="D198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6" t="str">
        <f t="shared" ref="H1986:H2049" si="31">IF((F1986*G1986)&lt;&gt;0,F1986*G1986,"")</f>
        <v/>
      </c>
    </row>
    <row r="1987" spans="4:8">
      <c r="D198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7" t="str">
        <f t="shared" si="31"/>
        <v/>
      </c>
    </row>
    <row r="1988" spans="4:8">
      <c r="D198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8" t="str">
        <f t="shared" si="31"/>
        <v/>
      </c>
    </row>
    <row r="1989" spans="4:8">
      <c r="D198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89" t="str">
        <f t="shared" si="31"/>
        <v/>
      </c>
    </row>
    <row r="1990" spans="4:8">
      <c r="D1990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0" t="str">
        <f t="shared" si="31"/>
        <v/>
      </c>
    </row>
    <row r="1991" spans="4:8">
      <c r="D1991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1" t="str">
        <f t="shared" si="31"/>
        <v/>
      </c>
    </row>
    <row r="1992" spans="4:8">
      <c r="D1992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2" t="str">
        <f t="shared" si="31"/>
        <v/>
      </c>
    </row>
    <row r="1993" spans="4:8">
      <c r="D1993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3" t="str">
        <f t="shared" si="31"/>
        <v/>
      </c>
    </row>
    <row r="1994" spans="4:8">
      <c r="D1994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4" t="str">
        <f t="shared" si="31"/>
        <v/>
      </c>
    </row>
    <row r="1995" spans="4:8">
      <c r="D1995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5" t="str">
        <f t="shared" si="31"/>
        <v/>
      </c>
    </row>
    <row r="1996" spans="4:8">
      <c r="D1996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6" t="str">
        <f t="shared" si="31"/>
        <v/>
      </c>
    </row>
    <row r="1997" spans="4:8">
      <c r="D1997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7" t="str">
        <f t="shared" si="31"/>
        <v/>
      </c>
    </row>
    <row r="1998" spans="4:8">
      <c r="D1998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8" t="str">
        <f t="shared" si="31"/>
        <v/>
      </c>
    </row>
    <row r="1999" spans="4:8">
      <c r="D1999" s="3" t="str">
        <f>IF(_xlfn.XLOOKUP(Purchases[[#This Row],[Product Name]],Inventory[Product Name],Inventory[Product ID])="","",_xlfn.XLOOKUP(Purchases[[#This Row],[Product Name]],Inventory[Product Name],Inventory[Product ID]))</f>
        <v/>
      </c>
      <c r="H1999" t="str">
        <f t="shared" si="31"/>
        <v/>
      </c>
    </row>
    <row r="2000" spans="4:8">
      <c r="D2000" s="3" t="str">
        <f>IF(_xlfn.XLOOKUP(Purchases[[#This Row],[Product Name]],Inventory[Product Name],Inventory[Product ID])="","",_xlfn.XLOOKUP(Purchases[[#This Row],[Product Name]],Inventory[Product Name],Inventory[Product ID]))</f>
        <v/>
      </c>
      <c r="H2000" t="str">
        <f t="shared" si="31"/>
        <v/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740A1F-F25B-47E0-A65D-D6A6A82DE8A1}">
          <x14:formula1>
            <xm:f>Inventory!$B$8:$B$1006</xm:f>
          </x14:formula1>
          <xm:sqref>E2:E2000</xm:sqref>
        </x14:dataValidation>
        <x14:dataValidation type="list" allowBlank="1" showInputMessage="1" showErrorMessage="1" xr:uid="{2E1781CE-32C7-4AB5-8A0B-F4D743579D23}">
          <x14:formula1>
            <xm:f>Suppliers!$B$2:$B$4</xm:f>
          </x14:formula1>
          <xm:sqref>B2:B2000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004"/>
  <sheetViews>
    <sheetView zoomScaleNormal="100" workbookViewId="0">
      <selection activeCell="E10" sqref="E10"/>
    </sheetView>
  </sheetViews>
  <sheetFormatPr defaultRowHeight="15" customHeight="1"/>
  <cols>
    <col min="1" max="1" width="17.7109375" style="14" customWidth="1"/>
    <col min="2" max="2" width="25.42578125" style="14" customWidth="1"/>
    <col min="3" max="3" width="24.7109375" style="14" customWidth="1"/>
    <col min="4" max="4" width="24.28515625" style="14" customWidth="1"/>
    <col min="5" max="5" width="24.5703125" style="14" customWidth="1"/>
    <col min="6" max="6" width="18.42578125" style="14" customWidth="1"/>
    <col min="7" max="8" width="22.42578125" style="14" bestFit="1" customWidth="1"/>
    <col min="9" max="10" width="20.28515625" style="14" customWidth="1"/>
    <col min="11" max="11" width="16.7109375" style="14" customWidth="1"/>
    <col min="12" max="12" width="21.85546875" style="14" customWidth="1"/>
    <col min="13" max="14" width="9.140625" style="14"/>
    <col min="15" max="15" width="17.140625" style="14" customWidth="1"/>
    <col min="16" max="16" width="17.42578125" style="14" customWidth="1"/>
    <col min="17" max="16384" width="9.140625" style="14"/>
  </cols>
  <sheetData>
    <row r="1" spans="1:16" ht="29.25" customHeight="1">
      <c r="A1" s="11" t="s">
        <v>84</v>
      </c>
      <c r="B1" s="12" t="s">
        <v>85</v>
      </c>
      <c r="C1" s="11" t="s">
        <v>86</v>
      </c>
      <c r="D1" s="11" t="s">
        <v>87</v>
      </c>
      <c r="E1" s="11" t="s">
        <v>88</v>
      </c>
      <c r="F1" s="13" t="s">
        <v>89</v>
      </c>
      <c r="G1" s="11" t="s">
        <v>90</v>
      </c>
      <c r="H1" s="11" t="s">
        <v>91</v>
      </c>
      <c r="I1" s="11" t="s">
        <v>92</v>
      </c>
      <c r="J1" s="11" t="s">
        <v>93</v>
      </c>
    </row>
    <row r="2" spans="1:16" ht="14.45" customHeight="1">
      <c r="A2" s="36">
        <f ca="1">COUNTIF(Sales[Date],TODAY())</f>
        <v>0</v>
      </c>
      <c r="B2" s="41">
        <f ca="1">SUMIF(Sales[Date],TODAY(),Sales[Sales Value])</f>
        <v>0</v>
      </c>
      <c r="C2" s="40">
        <f ca="1">SUMIFS(Sales[Sales Value],Sales[Work Shift],"Day",Sales[Date],TODAY())</f>
        <v>0</v>
      </c>
      <c r="D2" s="40">
        <f ca="1">SUMIFS(Sales[Sales Value],Sales[Work Shift],"Night",Sales[Date],TODAY())</f>
        <v>0</v>
      </c>
      <c r="E2" s="38">
        <f>SUMIF(Sales[Sales Status],"",Sales[Sales Value])</f>
        <v>896700</v>
      </c>
      <c r="F2" s="40">
        <f>SUM(Sales[Discount])</f>
        <v>0</v>
      </c>
      <c r="G2" s="38">
        <f>E2-F2</f>
        <v>896700</v>
      </c>
      <c r="H2" s="38">
        <f>SUMIF(Sales[Payment Mode],"Cash",Sales[Sales Value])</f>
        <v>14000</v>
      </c>
      <c r="I2" s="38">
        <f>SUMIF(Sales[Payment Mode],"Transfer",Sales[Sales Value])</f>
        <v>27500</v>
      </c>
      <c r="J2" s="38">
        <f>SUMIF(Sales[Payment Mode],"POS",Sales[Sales Value])</f>
        <v>90000</v>
      </c>
    </row>
    <row r="3" spans="1:16" ht="14.45" customHeight="1">
      <c r="A3" s="37"/>
      <c r="B3" s="42"/>
      <c r="C3" s="39"/>
      <c r="D3" s="39"/>
      <c r="E3" s="39"/>
      <c r="F3" s="39"/>
      <c r="G3" s="39"/>
      <c r="H3" s="39"/>
      <c r="I3" s="39"/>
      <c r="J3" s="39"/>
    </row>
    <row r="5" spans="1:16" ht="21">
      <c r="A5" s="15" t="s">
        <v>94</v>
      </c>
      <c r="B5" s="15" t="s">
        <v>95</v>
      </c>
      <c r="C5" s="15" t="s">
        <v>76</v>
      </c>
      <c r="D5" s="15" t="s">
        <v>96</v>
      </c>
      <c r="E5" s="15" t="s">
        <v>5</v>
      </c>
      <c r="F5" s="15" t="s">
        <v>6</v>
      </c>
      <c r="G5" s="15" t="s">
        <v>97</v>
      </c>
      <c r="H5" s="15" t="s">
        <v>98</v>
      </c>
      <c r="I5" s="15" t="s">
        <v>99</v>
      </c>
      <c r="J5" s="15" t="s">
        <v>100</v>
      </c>
      <c r="K5" s="15" t="s">
        <v>101</v>
      </c>
      <c r="L5" s="15" t="s">
        <v>102</v>
      </c>
      <c r="M5" s="15"/>
    </row>
    <row r="6" spans="1:16" ht="21">
      <c r="A6" s="14">
        <v>1</v>
      </c>
      <c r="B6" s="14" t="s">
        <v>103</v>
      </c>
      <c r="C6" s="16">
        <v>46174</v>
      </c>
      <c r="D6" s="14" t="str">
        <f>IF(Sales[[#This Row],[Product ID]]="","",Sales[[#This Row],[Date]]&amp;Sales[[#This Row],[Invoice no]])</f>
        <v>461741</v>
      </c>
      <c r="E6" s="17" t="str">
        <f>IF(_xlfn.XLOOKUP(Sales[[#This Row],[Product Name]],Inventory[Product Name],Inventory[Product ID],"-")="","",_xlfn.XLOOKUP(Sales[[#This Row],[Product Name]],Inventory[Product Name],Inventory[Product ID],"-"))</f>
        <v>CM001</v>
      </c>
      <c r="F6" s="18" t="s">
        <v>22</v>
      </c>
      <c r="G6" s="14">
        <v>20</v>
      </c>
      <c r="H6" s="19">
        <f>IF(_xlfn.XLOOKUP(Sales[[#This Row],[Product Name]],Inventory[Product Name],Inventory[Sale Price],"")=0,"",_xlfn.XLOOKUP(Sales[[#This Row],[Product Name]],Inventory[Product Name],Inventory[Sale Price]))</f>
        <v>700</v>
      </c>
      <c r="I6" s="19">
        <f>IFERROR(G6*H6,"")</f>
        <v>14000</v>
      </c>
      <c r="J6" s="19"/>
      <c r="L6" s="14" t="s">
        <v>104</v>
      </c>
    </row>
    <row r="7" spans="1:16" ht="14.25" customHeight="1">
      <c r="A7" s="14">
        <v>2</v>
      </c>
      <c r="B7" s="14" t="s">
        <v>103</v>
      </c>
      <c r="C7" s="16">
        <v>46176</v>
      </c>
      <c r="D7" s="14" t="str">
        <f>IF(Sales[[#This Row],[Product ID]]="","",Sales[[#This Row],[Date]]&amp;Sales[[#This Row],[Invoice no]])</f>
        <v>461762</v>
      </c>
      <c r="E7" s="17" t="str">
        <f>IF(_xlfn.XLOOKUP(Sales[[#This Row],[Product Name]],Inventory[Product Name],Inventory[Product ID],"-")="","",_xlfn.XLOOKUP(Sales[[#This Row],[Product Name]],Inventory[Product Name],Inventory[Product ID],"-"))</f>
        <v>CM002</v>
      </c>
      <c r="F7" s="20" t="s">
        <v>26</v>
      </c>
      <c r="G7" s="14">
        <v>15</v>
      </c>
      <c r="H7" s="19">
        <f>IF(_xlfn.XLOOKUP(Sales[[#This Row],[Product Name]],Inventory[Product Name],Inventory[Sale Price],"")=0,"",_xlfn.XLOOKUP(Sales[[#This Row],[Product Name]],Inventory[Product Name],Inventory[Sale Price]))</f>
        <v>500</v>
      </c>
      <c r="I7" s="19">
        <f>IFERROR(G7*H7,"")</f>
        <v>7500</v>
      </c>
      <c r="J7" s="19"/>
      <c r="K7" s="14" t="s">
        <v>105</v>
      </c>
      <c r="L7" s="14" t="s">
        <v>106</v>
      </c>
      <c r="P7" s="21" t="s">
        <v>107</v>
      </c>
    </row>
    <row r="8" spans="1:16" ht="21">
      <c r="A8" s="14">
        <v>3</v>
      </c>
      <c r="B8" s="14" t="s">
        <v>103</v>
      </c>
      <c r="C8" s="16">
        <v>46176</v>
      </c>
      <c r="D8" s="14" t="str">
        <f>IF(Sales[[#This Row],[Product ID]]="","",Sales[[#This Row],[Date]]&amp;Sales[[#This Row],[Invoice no]])</f>
        <v>461763</v>
      </c>
      <c r="E8" s="17" t="str">
        <f>IF(_xlfn.XLOOKUP(Sales[[#This Row],[Product Name]],Inventory[Product Name],Inventory[Product ID],"-")="","",_xlfn.XLOOKUP(Sales[[#This Row],[Product Name]],Inventory[Product Name],Inventory[Product ID],"-"))</f>
        <v>CM014</v>
      </c>
      <c r="F8" s="18" t="s">
        <v>54</v>
      </c>
      <c r="G8" s="14">
        <v>20</v>
      </c>
      <c r="H8" s="19">
        <f>IF(_xlfn.XLOOKUP(Sales[[#This Row],[Product Name]],Inventory[Product Name],Inventory[Sale Price],"")=0,"",_xlfn.XLOOKUP(Sales[[#This Row],[Product Name]],Inventory[Product Name],Inventory[Sale Price]))</f>
        <v>4500</v>
      </c>
      <c r="I8" s="19">
        <f>IFERROR(G8*H8,"")</f>
        <v>90000</v>
      </c>
      <c r="J8" s="19"/>
      <c r="L8" s="14" t="s">
        <v>108</v>
      </c>
    </row>
    <row r="9" spans="1:16" ht="21">
      <c r="A9" s="14">
        <v>4</v>
      </c>
      <c r="B9" s="14" t="s">
        <v>103</v>
      </c>
      <c r="C9" s="16">
        <v>46176</v>
      </c>
      <c r="D9" s="14" t="str">
        <f>IF(Sales[[#This Row],[Product ID]]="","",Sales[[#This Row],[Date]]&amp;Sales[[#This Row],[Invoice no]])</f>
        <v>461764</v>
      </c>
      <c r="E9" s="17" t="str">
        <f>IF(_xlfn.XLOOKUP(Sales[[#This Row],[Product Name]],Inventory[Product Name],Inventory[Product ID],"-")="","",_xlfn.XLOOKUP(Sales[[#This Row],[Product Name]],Inventory[Product Name],Inventory[Product ID],"-"))</f>
        <v>CM004</v>
      </c>
      <c r="F9" s="20" t="s">
        <v>31</v>
      </c>
      <c r="G9" s="14">
        <v>15</v>
      </c>
      <c r="H9" s="19">
        <f>IF(_xlfn.XLOOKUP(Sales[[#This Row],[Product Name]],Inventory[Product Name],Inventory[Sale Price],"")=0,"",_xlfn.XLOOKUP(Sales[[#This Row],[Product Name]],Inventory[Product Name],Inventory[Sale Price]))</f>
        <v>800</v>
      </c>
      <c r="I9" s="19">
        <f>IFERROR(G9*H9,"")</f>
        <v>12000</v>
      </c>
      <c r="J9" s="19"/>
      <c r="O9" s="22">
        <f ca="1">NOW()</f>
        <v>46203.883492592591</v>
      </c>
    </row>
    <row r="10" spans="1:16" ht="21">
      <c r="A10" s="14">
        <v>5</v>
      </c>
      <c r="B10" s="14" t="s">
        <v>103</v>
      </c>
      <c r="C10" s="16">
        <v>46176</v>
      </c>
      <c r="D10" s="14" t="str">
        <f>IF(Sales[[#This Row],[Product ID]]="","",Sales[[#This Row],[Date]]&amp;Sales[[#This Row],[Invoice no]])</f>
        <v>461765</v>
      </c>
      <c r="E10" s="17" t="str">
        <f>IF(_xlfn.XLOOKUP(Sales[[#This Row],[Product Name]],Inventory[Product Name],Inventory[Product ID],"-")="","",_xlfn.XLOOKUP(Sales[[#This Row],[Product Name]],Inventory[Product Name],Inventory[Product ID],"-"))</f>
        <v>CM005</v>
      </c>
      <c r="F10" s="18" t="s">
        <v>34</v>
      </c>
      <c r="G10" s="14">
        <v>20</v>
      </c>
      <c r="H10" s="19">
        <f>IF(_xlfn.XLOOKUP(Sales[[#This Row],[Product Name]],Inventory[Product Name],Inventory[Sale Price],"")=0,"",_xlfn.XLOOKUP(Sales[[#This Row],[Product Name]],Inventory[Product Name],Inventory[Sale Price]))</f>
        <v>1000</v>
      </c>
      <c r="I10" s="19">
        <f>IFERROR(G10*H10,"")</f>
        <v>20000</v>
      </c>
      <c r="J10" s="19"/>
      <c r="L10" s="14" t="s">
        <v>106</v>
      </c>
    </row>
    <row r="11" spans="1:16" ht="21">
      <c r="A11" s="14">
        <v>6</v>
      </c>
      <c r="B11" s="14" t="s">
        <v>109</v>
      </c>
      <c r="C11" s="16">
        <v>46178</v>
      </c>
      <c r="D11" s="14" t="str">
        <f>IF(Sales[[#This Row],[Product ID]]="","",Sales[[#This Row],[Date]]&amp;Sales[[#This Row],[Invoice no]])</f>
        <v>461786</v>
      </c>
      <c r="E11" s="17" t="str">
        <f>IF(_xlfn.XLOOKUP(Sales[[#This Row],[Product Name]],Inventory[Product Name],Inventory[Product ID],"-")="","",_xlfn.XLOOKUP(Sales[[#This Row],[Product Name]],Inventory[Product Name],Inventory[Product ID],"-"))</f>
        <v>CM002</v>
      </c>
      <c r="F11" s="20" t="s">
        <v>26</v>
      </c>
      <c r="G11" s="14">
        <v>15</v>
      </c>
      <c r="H11" s="19">
        <f>IF(_xlfn.XLOOKUP(Sales[[#This Row],[Product Name]],Inventory[Product Name],Inventory[Sale Price],"")=0,"",_xlfn.XLOOKUP(Sales[[#This Row],[Product Name]],Inventory[Product Name],Inventory[Sale Price]))</f>
        <v>500</v>
      </c>
      <c r="I11" s="19">
        <f>IFERROR(G11*H11,"")</f>
        <v>7500</v>
      </c>
      <c r="J11" s="19"/>
    </row>
    <row r="12" spans="1:16" ht="21">
      <c r="A12" s="14">
        <v>7</v>
      </c>
      <c r="B12" s="14" t="s">
        <v>103</v>
      </c>
      <c r="C12" s="16">
        <v>46178</v>
      </c>
      <c r="D12" s="14" t="str">
        <f>IF(Sales[[#This Row],[Product ID]]="","",Sales[[#This Row],[Date]]&amp;Sales[[#This Row],[Invoice no]])</f>
        <v>461787</v>
      </c>
      <c r="E12" s="17" t="str">
        <f>IF(_xlfn.XLOOKUP(Sales[[#This Row],[Product Name]],Inventory[Product Name],Inventory[Product ID],"-")="","",_xlfn.XLOOKUP(Sales[[#This Row],[Product Name]],Inventory[Product Name],Inventory[Product ID],"-"))</f>
        <v>CM012</v>
      </c>
      <c r="F12" s="18" t="s">
        <v>50</v>
      </c>
      <c r="G12" s="14">
        <v>10</v>
      </c>
      <c r="H12" s="19">
        <f>IF(_xlfn.XLOOKUP(Sales[[#This Row],[Product Name]],Inventory[Product Name],Inventory[Sale Price],"")=0,"",_xlfn.XLOOKUP(Sales[[#This Row],[Product Name]],Inventory[Product Name],Inventory[Sale Price]))</f>
        <v>15000</v>
      </c>
      <c r="I12" s="19">
        <f>IFERROR(G12*H12,"")</f>
        <v>150000</v>
      </c>
      <c r="J12" s="19"/>
    </row>
    <row r="13" spans="1:16" ht="21">
      <c r="A13" s="14">
        <v>8</v>
      </c>
      <c r="B13" s="14" t="s">
        <v>109</v>
      </c>
      <c r="C13" s="16">
        <v>46178</v>
      </c>
      <c r="D13" s="14" t="str">
        <f>IF(Sales[[#This Row],[Product ID]]="","",Sales[[#This Row],[Date]]&amp;Sales[[#This Row],[Invoice no]])</f>
        <v>461788</v>
      </c>
      <c r="E13" s="17" t="str">
        <f>IF(_xlfn.XLOOKUP(Sales[[#This Row],[Product Name]],Inventory[Product Name],Inventory[Product ID],"-")="","",_xlfn.XLOOKUP(Sales[[#This Row],[Product Name]],Inventory[Product Name],Inventory[Product ID],"-"))</f>
        <v>CM005</v>
      </c>
      <c r="F13" s="20" t="s">
        <v>34</v>
      </c>
      <c r="G13" s="14">
        <v>15</v>
      </c>
      <c r="H13" s="19">
        <f>IF(_xlfn.XLOOKUP(Sales[[#This Row],[Product Name]],Inventory[Product Name],Inventory[Sale Price],"")=0,"",_xlfn.XLOOKUP(Sales[[#This Row],[Product Name]],Inventory[Product Name],Inventory[Sale Price]))</f>
        <v>1000</v>
      </c>
      <c r="I13" s="19">
        <f>IFERROR(G13*H13,"")</f>
        <v>15000</v>
      </c>
      <c r="J13" s="19"/>
    </row>
    <row r="14" spans="1:16" ht="21">
      <c r="A14" s="14">
        <v>9</v>
      </c>
      <c r="B14" s="14" t="s">
        <v>109</v>
      </c>
      <c r="C14" s="16">
        <v>46178</v>
      </c>
      <c r="D14" s="14" t="str">
        <f>IF(Sales[[#This Row],[Product ID]]="","",Sales[[#This Row],[Date]]&amp;Sales[[#This Row],[Invoice no]])</f>
        <v>461789</v>
      </c>
      <c r="E14" s="17" t="str">
        <f>IF(_xlfn.XLOOKUP(Sales[[#This Row],[Product Name]],Inventory[Product Name],Inventory[Product ID],"-")="","",_xlfn.XLOOKUP(Sales[[#This Row],[Product Name]],Inventory[Product Name],Inventory[Product ID],"-"))</f>
        <v>CM013</v>
      </c>
      <c r="F14" s="18" t="s">
        <v>52</v>
      </c>
      <c r="G14" s="14">
        <v>20</v>
      </c>
      <c r="H14" s="19">
        <f>IF(_xlfn.XLOOKUP(Sales[[#This Row],[Product Name]],Inventory[Product Name],Inventory[Sale Price],"")=0,"",_xlfn.XLOOKUP(Sales[[#This Row],[Product Name]],Inventory[Product Name],Inventory[Sale Price]))</f>
        <v>5000</v>
      </c>
      <c r="I14" s="19">
        <f>IFERROR(G14*H14,"")</f>
        <v>100000</v>
      </c>
      <c r="J14" s="19"/>
    </row>
    <row r="15" spans="1:16" ht="21">
      <c r="A15" s="14">
        <v>10</v>
      </c>
      <c r="B15" s="14" t="s">
        <v>109</v>
      </c>
      <c r="C15" s="16">
        <v>46194</v>
      </c>
      <c r="D15" s="14" t="str">
        <f>IF(Sales[[#This Row],[Product ID]]="","",Sales[[#This Row],[Date]]&amp;Sales[[#This Row],[Invoice no]])</f>
        <v>4619410</v>
      </c>
      <c r="E15" s="17" t="str">
        <f>IF(_xlfn.XLOOKUP(Sales[[#This Row],[Product Name]],Inventory[Product Name],Inventory[Product ID],"-")="","",_xlfn.XLOOKUP(Sales[[#This Row],[Product Name]],Inventory[Product Name],Inventory[Product ID],"-"))</f>
        <v>CM014</v>
      </c>
      <c r="F15" s="20" t="s">
        <v>54</v>
      </c>
      <c r="G15" s="14">
        <v>30</v>
      </c>
      <c r="H15" s="19">
        <f>IF(_xlfn.XLOOKUP(Sales[[#This Row],[Product Name]],Inventory[Product Name],Inventory[Sale Price],"")=0,"",_xlfn.XLOOKUP(Sales[[#This Row],[Product Name]],Inventory[Product Name],Inventory[Sale Price]))</f>
        <v>4500</v>
      </c>
      <c r="I15" s="19">
        <f>IFERROR(G15*H15,"")</f>
        <v>135000</v>
      </c>
      <c r="J15" s="19"/>
    </row>
    <row r="16" spans="1:16" ht="21">
      <c r="A16" s="14">
        <v>11</v>
      </c>
      <c r="B16" s="14" t="s">
        <v>109</v>
      </c>
      <c r="C16" s="16">
        <v>46194</v>
      </c>
      <c r="D16" s="14" t="str">
        <f>IF(Sales[[#This Row],[Product ID]]="","",Sales[[#This Row],[Date]]&amp;Sales[[#This Row],[Invoice no]])</f>
        <v>4619411</v>
      </c>
      <c r="E16" s="17" t="str">
        <f>IF(_xlfn.XLOOKUP(Sales[[#This Row],[Product Name]],Inventory[Product Name],Inventory[Product ID],"-")="","",_xlfn.XLOOKUP(Sales[[#This Row],[Product Name]],Inventory[Product Name],Inventory[Product ID],"-"))</f>
        <v>CM005</v>
      </c>
      <c r="F16" s="18" t="s">
        <v>34</v>
      </c>
      <c r="G16" s="14">
        <v>25</v>
      </c>
      <c r="H16" s="19">
        <f>IF(_xlfn.XLOOKUP(Sales[[#This Row],[Product Name]],Inventory[Product Name],Inventory[Sale Price],"")=0,"",_xlfn.XLOOKUP(Sales[[#This Row],[Product Name]],Inventory[Product Name],Inventory[Sale Price]))</f>
        <v>1000</v>
      </c>
      <c r="I16" s="19">
        <f>IFERROR(G16*H16,"")</f>
        <v>25000</v>
      </c>
      <c r="J16" s="19"/>
    </row>
    <row r="17" spans="1:10" ht="21">
      <c r="A17" s="14">
        <v>12</v>
      </c>
      <c r="B17" s="14" t="s">
        <v>109</v>
      </c>
      <c r="C17" s="16">
        <v>46194</v>
      </c>
      <c r="D17" s="14" t="str">
        <f>IF(Sales[[#This Row],[Product ID]]="","",Sales[[#This Row],[Date]]&amp;Sales[[#This Row],[Invoice no]])</f>
        <v>4619412</v>
      </c>
      <c r="E17" s="17" t="str">
        <f>IF(_xlfn.XLOOKUP(Sales[[#This Row],[Product Name]],Inventory[Product Name],Inventory[Product ID],"-")="","",_xlfn.XLOOKUP(Sales[[#This Row],[Product Name]],Inventory[Product Name],Inventory[Product ID],"-"))</f>
        <v>CM020</v>
      </c>
      <c r="F17" s="20" t="s">
        <v>67</v>
      </c>
      <c r="G17" s="14">
        <v>15</v>
      </c>
      <c r="H17" s="19" t="str">
        <f>IF(_xlfn.XLOOKUP(Sales[[#This Row],[Product Name]],Inventory[Product Name],Inventory[Sale Price],"")=0,"",_xlfn.XLOOKUP(Sales[[#This Row],[Product Name]],Inventory[Product Name],Inventory[Sale Price]))</f>
        <v/>
      </c>
      <c r="I17" s="19" t="str">
        <f>IFERROR(G17*H17,"")</f>
        <v/>
      </c>
      <c r="J17" s="19"/>
    </row>
    <row r="18" spans="1:10" ht="21">
      <c r="A18" s="14">
        <v>13</v>
      </c>
      <c r="B18" s="14" t="s">
        <v>103</v>
      </c>
      <c r="C18" s="16">
        <v>46194</v>
      </c>
      <c r="D18" s="14" t="str">
        <f>IF(Sales[[#This Row],[Product ID]]="","",Sales[[#This Row],[Date]]&amp;Sales[[#This Row],[Invoice no]])</f>
        <v>4619413</v>
      </c>
      <c r="E18" s="17" t="str">
        <f>IF(_xlfn.XLOOKUP(Sales[[#This Row],[Product Name]],Inventory[Product Name],Inventory[Product ID],"-")="","",_xlfn.XLOOKUP(Sales[[#This Row],[Product Name]],Inventory[Product Name],Inventory[Product ID],"-"))</f>
        <v>CM014</v>
      </c>
      <c r="F18" s="18" t="s">
        <v>54</v>
      </c>
      <c r="G18" s="14">
        <v>20</v>
      </c>
      <c r="H18" s="19">
        <f>IF(_xlfn.XLOOKUP(Sales[[#This Row],[Product Name]],Inventory[Product Name],Inventory[Sale Price],"")=0,"",_xlfn.XLOOKUP(Sales[[#This Row],[Product Name]],Inventory[Product Name],Inventory[Sale Price]))</f>
        <v>4500</v>
      </c>
      <c r="I18" s="19">
        <f>IFERROR(G18*H18,"")</f>
        <v>90000</v>
      </c>
      <c r="J18" s="19"/>
    </row>
    <row r="19" spans="1:10" ht="21">
      <c r="A19" s="14">
        <v>14</v>
      </c>
      <c r="B19" s="14" t="s">
        <v>109</v>
      </c>
      <c r="C19" s="16">
        <v>46194</v>
      </c>
      <c r="D19" s="14" t="str">
        <f>IF(Sales[[#This Row],[Product ID]]="","",Sales[[#This Row],[Date]]&amp;Sales[[#This Row],[Invoice no]])</f>
        <v>4619414</v>
      </c>
      <c r="E19" s="17" t="str">
        <f>IF(_xlfn.XLOOKUP(Sales[[#This Row],[Product Name]],Inventory[Product Name],Inventory[Product ID],"-")="","",_xlfn.XLOOKUP(Sales[[#This Row],[Product Name]],Inventory[Product Name],Inventory[Product ID],"-"))</f>
        <v>CM019</v>
      </c>
      <c r="F19" s="20" t="s">
        <v>65</v>
      </c>
      <c r="G19" s="14">
        <v>15</v>
      </c>
      <c r="H19" s="19">
        <f>IF(_xlfn.XLOOKUP(Sales[[#This Row],[Product Name]],Inventory[Product Name],Inventory[Sale Price],"")=0,"",_xlfn.XLOOKUP(Sales[[#This Row],[Product Name]],Inventory[Product Name],Inventory[Sale Price]))</f>
        <v>7500</v>
      </c>
      <c r="I19" s="19">
        <f>IFERROR(G19*H19,"")</f>
        <v>112500</v>
      </c>
      <c r="J19" s="19"/>
    </row>
    <row r="20" spans="1:10" ht="21">
      <c r="A20" s="14">
        <v>15</v>
      </c>
      <c r="C20" s="16">
        <v>46194</v>
      </c>
      <c r="D20" s="14" t="str">
        <f>IF(Sales[[#This Row],[Product ID]]="","",Sales[[#This Row],[Date]]&amp;Sales[[#This Row],[Invoice no]])</f>
        <v>4619415</v>
      </c>
      <c r="E20" s="17" t="str">
        <f>IF(_xlfn.XLOOKUP(Sales[[#This Row],[Product Name]],Inventory[Product Name],Inventory[Product ID],"-")="","",_xlfn.XLOOKUP(Sales[[#This Row],[Product Name]],Inventory[Product Name],Inventory[Product ID],"-"))</f>
        <v>CM008</v>
      </c>
      <c r="F20" s="18" t="s">
        <v>41</v>
      </c>
      <c r="G20" s="14">
        <v>20</v>
      </c>
      <c r="H20" s="19">
        <f>IF(_xlfn.XLOOKUP(Sales[[#This Row],[Product Name]],Inventory[Product Name],Inventory[Sale Price],"")=0,"",_xlfn.XLOOKUP(Sales[[#This Row],[Product Name]],Inventory[Product Name],Inventory[Sale Price]))</f>
        <v>700</v>
      </c>
      <c r="I20" s="19">
        <f>IFERROR(G20*H20,"")</f>
        <v>14000</v>
      </c>
      <c r="J20" s="19"/>
    </row>
    <row r="21" spans="1:10" ht="21">
      <c r="A21" s="14">
        <v>16</v>
      </c>
      <c r="C21" s="16">
        <v>46194</v>
      </c>
      <c r="D21" s="14" t="str">
        <f>IF(Sales[[#This Row],[Product ID]]="","",Sales[[#This Row],[Date]]&amp;Sales[[#This Row],[Invoice no]])</f>
        <v>4619416</v>
      </c>
      <c r="E21" s="17" t="str">
        <f>IF(_xlfn.XLOOKUP(Sales[[#This Row],[Product Name]],Inventory[Product Name],Inventory[Product ID],"-")="","",_xlfn.XLOOKUP(Sales[[#This Row],[Product Name]],Inventory[Product Name],Inventory[Product ID],"-"))</f>
        <v>CM008</v>
      </c>
      <c r="F21" s="14" t="s">
        <v>41</v>
      </c>
      <c r="G21" s="14">
        <v>5</v>
      </c>
      <c r="H21" s="19">
        <f>IF(_xlfn.XLOOKUP(Sales[[#This Row],[Product Name]],Inventory[Product Name],Inventory[Sale Price],"")=0,"",_xlfn.XLOOKUP(Sales[[#This Row],[Product Name]],Inventory[Product Name],Inventory[Sale Price]))</f>
        <v>700</v>
      </c>
      <c r="I21" s="19">
        <f>IFERROR(G21*H21,"")</f>
        <v>3500</v>
      </c>
      <c r="J21" s="19"/>
    </row>
    <row r="22" spans="1:10" ht="21">
      <c r="A22" s="14">
        <v>17</v>
      </c>
      <c r="C22" s="16">
        <v>46194</v>
      </c>
      <c r="D22" s="14" t="str">
        <f>IF(Sales[[#This Row],[Product ID]]="","",Sales[[#This Row],[Date]]&amp;Sales[[#This Row],[Invoice no]])</f>
        <v>4619417</v>
      </c>
      <c r="E22" s="17" t="str">
        <f>IF(_xlfn.XLOOKUP(Sales[[#This Row],[Product Name]],Inventory[Product Name],Inventory[Product ID],"-")="","",_xlfn.XLOOKUP(Sales[[#This Row],[Product Name]],Inventory[Product Name],Inventory[Product ID],"-"))</f>
        <v>CM012</v>
      </c>
      <c r="F22" s="14" t="s">
        <v>50</v>
      </c>
      <c r="G22" s="14">
        <v>3</v>
      </c>
      <c r="H22" s="19">
        <f>IF(_xlfn.XLOOKUP(Sales[[#This Row],[Product Name]],Inventory[Product Name],Inventory[Sale Price],"")=0,"",_xlfn.XLOOKUP(Sales[[#This Row],[Product Name]],Inventory[Product Name],Inventory[Sale Price]))</f>
        <v>15000</v>
      </c>
      <c r="I22" s="19">
        <f>IFERROR(G22*H22,"")</f>
        <v>45000</v>
      </c>
      <c r="J22" s="19"/>
    </row>
    <row r="23" spans="1:10" ht="21">
      <c r="A23" s="14">
        <v>18</v>
      </c>
      <c r="C23" s="16">
        <v>46194</v>
      </c>
      <c r="D23" s="14" t="str">
        <f>IF(Sales[[#This Row],[Product ID]]="","",Sales[[#This Row],[Date]]&amp;Sales[[#This Row],[Invoice no]])</f>
        <v>4619418</v>
      </c>
      <c r="E23" s="17" t="str">
        <f>IF(_xlfn.XLOOKUP(Sales[[#This Row],[Product Name]],Inventory[Product Name],Inventory[Product ID],"-")="","",_xlfn.XLOOKUP(Sales[[#This Row],[Product Name]],Inventory[Product Name],Inventory[Product ID],"-"))</f>
        <v>CM003</v>
      </c>
      <c r="F23" s="14" t="s">
        <v>28</v>
      </c>
      <c r="G23" s="14">
        <v>4</v>
      </c>
      <c r="H23" s="19">
        <f>IF(_xlfn.XLOOKUP(Sales[[#This Row],[Product Name]],Inventory[Product Name],Inventory[Sale Price],"")=0,"",_xlfn.XLOOKUP(Sales[[#This Row],[Product Name]],Inventory[Product Name],Inventory[Sale Price]))</f>
        <v>300</v>
      </c>
      <c r="I23" s="19">
        <f>IFERROR(G23*H23,"")</f>
        <v>1200</v>
      </c>
      <c r="J23" s="19"/>
    </row>
    <row r="24" spans="1:10" ht="21">
      <c r="A24" s="14">
        <v>19</v>
      </c>
      <c r="C24" s="16">
        <v>46194</v>
      </c>
      <c r="D24" s="14" t="str">
        <f>IF(Sales[[#This Row],[Product ID]]="","",Sales[[#This Row],[Date]]&amp;Sales[[#This Row],[Invoice no]])</f>
        <v>4619419</v>
      </c>
      <c r="E24" s="17" t="str">
        <f>IF(_xlfn.XLOOKUP(Sales[[#This Row],[Product Name]],Inventory[Product Name],Inventory[Product ID],"-")="","",_xlfn.XLOOKUP(Sales[[#This Row],[Product Name]],Inventory[Product Name],Inventory[Product ID],"-"))</f>
        <v>CM002</v>
      </c>
      <c r="F24" s="14" t="s">
        <v>26</v>
      </c>
      <c r="G24" s="14">
        <v>7</v>
      </c>
      <c r="H24" s="19">
        <f>IF(_xlfn.XLOOKUP(Sales[[#This Row],[Product Name]],Inventory[Product Name],Inventory[Sale Price],"")=0,"",_xlfn.XLOOKUP(Sales[[#This Row],[Product Name]],Inventory[Product Name],Inventory[Sale Price]))</f>
        <v>500</v>
      </c>
      <c r="I24" s="19">
        <f>IFERROR(G24*H24,"")</f>
        <v>3500</v>
      </c>
      <c r="J24" s="19"/>
    </row>
    <row r="25" spans="1:10" ht="21">
      <c r="A25" s="14">
        <v>20</v>
      </c>
      <c r="C25" s="16">
        <v>46194</v>
      </c>
      <c r="D25" s="14" t="str">
        <f>IF(Sales[[#This Row],[Product ID]]="","",Sales[[#This Row],[Date]]&amp;Sales[[#This Row],[Invoice no]])</f>
        <v>4619420</v>
      </c>
      <c r="E25" s="17" t="str">
        <f>IF(_xlfn.XLOOKUP(Sales[[#This Row],[Product Name]],Inventory[Product Name],Inventory[Product ID],"-")="","",_xlfn.XLOOKUP(Sales[[#This Row],[Product Name]],Inventory[Product Name],Inventory[Product ID],"-"))</f>
        <v>CM001</v>
      </c>
      <c r="F25" s="14" t="s">
        <v>22</v>
      </c>
      <c r="G25" s="14">
        <v>53</v>
      </c>
      <c r="H25" s="19">
        <f>IF(_xlfn.XLOOKUP(Sales[[#This Row],[Product Name]],Inventory[Product Name],Inventory[Sale Price],"")=0,"",_xlfn.XLOOKUP(Sales[[#This Row],[Product Name]],Inventory[Product Name],Inventory[Sale Price]))</f>
        <v>700</v>
      </c>
      <c r="I25" s="19">
        <f>IFERROR(G25*H25,"")</f>
        <v>37100</v>
      </c>
      <c r="J25" s="19"/>
    </row>
    <row r="26" spans="1:10" ht="21">
      <c r="A26" s="14">
        <v>21</v>
      </c>
      <c r="C26" s="16">
        <v>46194</v>
      </c>
      <c r="D26" s="14" t="str">
        <f>IF(Sales[[#This Row],[Product ID]]="","",Sales[[#This Row],[Date]]&amp;Sales[[#This Row],[Invoice no]])</f>
        <v>4619421</v>
      </c>
      <c r="E26" s="17" t="str">
        <f>IF(_xlfn.XLOOKUP(Sales[[#This Row],[Product Name]],Inventory[Product Name],Inventory[Product ID],"-")="","",_xlfn.XLOOKUP(Sales[[#This Row],[Product Name]],Inventory[Product Name],Inventory[Product ID],"-"))</f>
        <v>CM005</v>
      </c>
      <c r="F26" s="14" t="s">
        <v>34</v>
      </c>
      <c r="G26" s="14">
        <v>6</v>
      </c>
      <c r="H26" s="19">
        <f>IF(_xlfn.XLOOKUP(Sales[[#This Row],[Product Name]],Inventory[Product Name],Inventory[Sale Price],"")=0,"",_xlfn.XLOOKUP(Sales[[#This Row],[Product Name]],Inventory[Product Name],Inventory[Sale Price]))</f>
        <v>1000</v>
      </c>
      <c r="I26" s="19">
        <f>IFERROR(G26*H26,"")</f>
        <v>6000</v>
      </c>
      <c r="J26" s="19"/>
    </row>
    <row r="27" spans="1:10" ht="21">
      <c r="A27" s="14">
        <v>22</v>
      </c>
      <c r="C27" s="16"/>
      <c r="D27" s="14" t="str">
        <f>IF(Sales[[#This Row],[Product ID]]="","",Sales[[#This Row],[Date]]&amp;Sales[[#This Row],[Invoice no]])</f>
        <v>22</v>
      </c>
      <c r="E27" s="17" t="str">
        <f>IF(_xlfn.XLOOKUP(Sales[[#This Row],[Product Name]],Inventory[Product Name],Inventory[Product ID],"-")="","",_xlfn.XLOOKUP(Sales[[#This Row],[Product Name]],Inventory[Product Name],Inventory[Product ID],"-"))</f>
        <v>CM002</v>
      </c>
      <c r="F27" s="14" t="s">
        <v>26</v>
      </c>
      <c r="G27" s="14">
        <v>6</v>
      </c>
      <c r="H27" s="19">
        <f>IF(_xlfn.XLOOKUP(Sales[[#This Row],[Product Name]],Inventory[Product Name],Inventory[Sale Price],"")=0,"",_xlfn.XLOOKUP(Sales[[#This Row],[Product Name]],Inventory[Product Name],Inventory[Sale Price]))</f>
        <v>500</v>
      </c>
      <c r="I27" s="19">
        <f>IFERROR(G27*H27,"")</f>
        <v>3000</v>
      </c>
      <c r="J27" s="19"/>
    </row>
    <row r="28" spans="1:10" ht="21">
      <c r="A28" s="14">
        <v>23</v>
      </c>
      <c r="C28" s="16"/>
      <c r="D28" s="14" t="str">
        <f>IF(Sales[[#This Row],[Product ID]]="","",Sales[[#This Row],[Date]]&amp;Sales[[#This Row],[Invoice no]])</f>
        <v>23</v>
      </c>
      <c r="E28" s="17" t="str">
        <f>IF(_xlfn.XLOOKUP(Sales[[#This Row],[Product Name]],Inventory[Product Name],Inventory[Product ID],"-")="","",_xlfn.XLOOKUP(Sales[[#This Row],[Product Name]],Inventory[Product Name],Inventory[Product ID],"-"))</f>
        <v>CM002</v>
      </c>
      <c r="F28" s="14" t="s">
        <v>26</v>
      </c>
      <c r="G28" s="14">
        <v>7</v>
      </c>
      <c r="H28" s="19">
        <f>IF(_xlfn.XLOOKUP(Sales[[#This Row],[Product Name]],Inventory[Product Name],Inventory[Sale Price],"")=0,"",_xlfn.XLOOKUP(Sales[[#This Row],[Product Name]],Inventory[Product Name],Inventory[Sale Price]))</f>
        <v>500</v>
      </c>
      <c r="I28" s="19">
        <f>IFERROR(G28*H28,"")</f>
        <v>3500</v>
      </c>
      <c r="J28" s="19"/>
    </row>
    <row r="29" spans="1:10" ht="21">
      <c r="A29" s="14">
        <v>24</v>
      </c>
      <c r="C29" s="16"/>
      <c r="D29" s="14" t="str">
        <f>IF(Sales[[#This Row],[Product ID]]="","",Sales[[#This Row],[Date]]&amp;Sales[[#This Row],[Invoice no]])</f>
        <v>24</v>
      </c>
      <c r="E29" s="17" t="str">
        <f>IF(_xlfn.XLOOKUP(Sales[[#This Row],[Product Name]],Inventory[Product Name],Inventory[Product ID],"-")="","",_xlfn.XLOOKUP(Sales[[#This Row],[Product Name]],Inventory[Product Name],Inventory[Product ID],"-"))</f>
        <v>CM004</v>
      </c>
      <c r="F29" s="14" t="s">
        <v>31</v>
      </c>
      <c r="H29" s="19">
        <f>IF(_xlfn.XLOOKUP(Sales[[#This Row],[Product Name]],Inventory[Product Name],Inventory[Sale Price],"")=0,"",_xlfn.XLOOKUP(Sales[[#This Row],[Product Name]],Inventory[Product Name],Inventory[Sale Price]))</f>
        <v>800</v>
      </c>
      <c r="I29" s="19">
        <f>IFERROR(G29*H29,"")</f>
        <v>0</v>
      </c>
      <c r="J29" s="19"/>
    </row>
    <row r="30" spans="1:10" ht="21">
      <c r="A30" s="14">
        <v>25</v>
      </c>
      <c r="C30" s="16"/>
      <c r="D30" s="14" t="str">
        <f>IF(Sales[[#This Row],[Product ID]]="","",Sales[[#This Row],[Date]]&amp;Sales[[#This Row],[Invoice no]])</f>
        <v>25</v>
      </c>
      <c r="E30" s="17" t="str">
        <f>IF(_xlfn.XLOOKUP(Sales[[#This Row],[Product Name]],Inventory[Product Name],Inventory[Product ID],"-")="","",_xlfn.XLOOKUP(Sales[[#This Row],[Product Name]],Inventory[Product Name],Inventory[Product ID],"-"))</f>
        <v>CM001</v>
      </c>
      <c r="F30" s="14" t="s">
        <v>22</v>
      </c>
      <c r="G30" s="14">
        <v>7</v>
      </c>
      <c r="H30" s="19">
        <f>IF(_xlfn.XLOOKUP(Sales[[#This Row],[Product Name]],Inventory[Product Name],Inventory[Sale Price],"")=0,"",_xlfn.XLOOKUP(Sales[[#This Row],[Product Name]],Inventory[Product Name],Inventory[Sale Price]))</f>
        <v>700</v>
      </c>
      <c r="I30" s="19">
        <f>IFERROR(G30*H30,"")</f>
        <v>4900</v>
      </c>
      <c r="J30" s="19"/>
    </row>
    <row r="31" spans="1:10" ht="21">
      <c r="A31" s="14">
        <v>26</v>
      </c>
      <c r="C31" s="16"/>
      <c r="D31" s="14" t="str">
        <f>IF(Sales[[#This Row],[Product ID]]="","",Sales[[#This Row],[Date]]&amp;Sales[[#This Row],[Invoice no]])</f>
        <v>26</v>
      </c>
      <c r="E31" s="17" t="str">
        <f>IF(_xlfn.XLOOKUP(Sales[[#This Row],[Product Name]],Inventory[Product Name],Inventory[Product ID],"-")="","",_xlfn.XLOOKUP(Sales[[#This Row],[Product Name]],Inventory[Product Name],Inventory[Product ID],"-"))</f>
        <v>CM004</v>
      </c>
      <c r="F31" s="14" t="s">
        <v>31</v>
      </c>
      <c r="G31" s="14">
        <v>5</v>
      </c>
      <c r="H31" s="19">
        <f>IF(_xlfn.XLOOKUP(Sales[[#This Row],[Product Name]],Inventory[Product Name],Inventory[Sale Price],"")=0,"",_xlfn.XLOOKUP(Sales[[#This Row],[Product Name]],Inventory[Product Name],Inventory[Sale Price]))</f>
        <v>800</v>
      </c>
      <c r="I31" s="19">
        <f>IFERROR(G31*H31,"")</f>
        <v>4000</v>
      </c>
      <c r="J31" s="19"/>
    </row>
    <row r="32" spans="1:10" ht="21">
      <c r="A32" s="14">
        <v>27</v>
      </c>
      <c r="C32" s="16"/>
      <c r="D32" s="14" t="str">
        <f>IF(Sales[[#This Row],[Product ID]]="","",Sales[[#This Row],[Date]]&amp;Sales[[#This Row],[Invoice no]])</f>
        <v/>
      </c>
      <c r="E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" s="19" t="str">
        <f>IF(_xlfn.XLOOKUP(Sales[[#This Row],[Product Name]],Inventory[Product Name],Inventory[Sale Price],"")=0,"",_xlfn.XLOOKUP(Sales[[#This Row],[Product Name]],Inventory[Product Name],Inventory[Sale Price]))</f>
        <v/>
      </c>
      <c r="I32" s="19" t="str">
        <f>IFERROR(G32*H32,"")</f>
        <v/>
      </c>
      <c r="J32" s="19"/>
    </row>
    <row r="33" spans="1:10" ht="21">
      <c r="A33" s="14">
        <v>28</v>
      </c>
      <c r="C33" s="16"/>
      <c r="D33" s="14" t="str">
        <f>IF(Sales[[#This Row],[Product ID]]="","",Sales[[#This Row],[Date]]&amp;Sales[[#This Row],[Invoice no]])</f>
        <v/>
      </c>
      <c r="E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" s="19" t="str">
        <f>IF(_xlfn.XLOOKUP(Sales[[#This Row],[Product Name]],Inventory[Product Name],Inventory[Sale Price],"")=0,"",_xlfn.XLOOKUP(Sales[[#This Row],[Product Name]],Inventory[Product Name],Inventory[Sale Price]))</f>
        <v/>
      </c>
      <c r="I33" s="19" t="str">
        <f>IFERROR(G33*H33,"")</f>
        <v/>
      </c>
      <c r="J33" s="19"/>
    </row>
    <row r="34" spans="1:10" ht="21">
      <c r="A34" s="14">
        <v>29</v>
      </c>
      <c r="C34" s="16"/>
      <c r="D34" s="14" t="str">
        <f>IF(Sales[[#This Row],[Product ID]]="","",Sales[[#This Row],[Date]]&amp;Sales[[#This Row],[Invoice no]])</f>
        <v/>
      </c>
      <c r="E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" s="19" t="str">
        <f>IF(_xlfn.XLOOKUP(Sales[[#This Row],[Product Name]],Inventory[Product Name],Inventory[Sale Price],"")=0,"",_xlfn.XLOOKUP(Sales[[#This Row],[Product Name]],Inventory[Product Name],Inventory[Sale Price]))</f>
        <v/>
      </c>
      <c r="I34" s="19" t="str">
        <f>IFERROR(G34*H34,"")</f>
        <v/>
      </c>
      <c r="J34" s="19"/>
    </row>
    <row r="35" spans="1:10" ht="21">
      <c r="A35" s="14">
        <v>30</v>
      </c>
      <c r="C35" s="16"/>
      <c r="D35" s="14" t="str">
        <f>IF(Sales[[#This Row],[Product ID]]="","",Sales[[#This Row],[Date]]&amp;Sales[[#This Row],[Invoice no]])</f>
        <v/>
      </c>
      <c r="E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" s="19" t="str">
        <f>IF(_xlfn.XLOOKUP(Sales[[#This Row],[Product Name]],Inventory[Product Name],Inventory[Sale Price],"")=0,"",_xlfn.XLOOKUP(Sales[[#This Row],[Product Name]],Inventory[Product Name],Inventory[Sale Price]))</f>
        <v/>
      </c>
      <c r="I35" s="19" t="str">
        <f>IFERROR(G35*H35,"")</f>
        <v/>
      </c>
      <c r="J35" s="19"/>
    </row>
    <row r="36" spans="1:10" ht="21">
      <c r="A36" s="14">
        <v>31</v>
      </c>
      <c r="C36" s="16"/>
      <c r="D36" s="14" t="str">
        <f>IF(Sales[[#This Row],[Product ID]]="","",Sales[[#This Row],[Date]]&amp;Sales[[#This Row],[Invoice no]])</f>
        <v/>
      </c>
      <c r="E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" s="19" t="str">
        <f>IF(_xlfn.XLOOKUP(Sales[[#This Row],[Product Name]],Inventory[Product Name],Inventory[Sale Price],"")=0,"",_xlfn.XLOOKUP(Sales[[#This Row],[Product Name]],Inventory[Product Name],Inventory[Sale Price]))</f>
        <v/>
      </c>
      <c r="I36" s="19" t="str">
        <f>IFERROR(G36*H36,"")</f>
        <v/>
      </c>
      <c r="J36" s="19"/>
    </row>
    <row r="37" spans="1:10" ht="21">
      <c r="A37" s="14">
        <v>32</v>
      </c>
      <c r="C37" s="16"/>
      <c r="D37" s="14" t="str">
        <f>IF(Sales[[#This Row],[Product ID]]="","",Sales[[#This Row],[Date]]&amp;Sales[[#This Row],[Invoice no]])</f>
        <v/>
      </c>
      <c r="E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" s="19" t="str">
        <f>IF(_xlfn.XLOOKUP(Sales[[#This Row],[Product Name]],Inventory[Product Name],Inventory[Sale Price],"")=0,"",_xlfn.XLOOKUP(Sales[[#This Row],[Product Name]],Inventory[Product Name],Inventory[Sale Price]))</f>
        <v/>
      </c>
      <c r="I37" s="19" t="str">
        <f>IFERROR(G37*H37,"")</f>
        <v/>
      </c>
      <c r="J37" s="19"/>
    </row>
    <row r="38" spans="1:10" ht="21">
      <c r="A38" s="14">
        <v>33</v>
      </c>
      <c r="C38" s="16"/>
      <c r="D38" s="14" t="str">
        <f>IF(Sales[[#This Row],[Product ID]]="","",Sales[[#This Row],[Date]]&amp;Sales[[#This Row],[Invoice no]])</f>
        <v/>
      </c>
      <c r="E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" s="19" t="str">
        <f>IF(_xlfn.XLOOKUP(Sales[[#This Row],[Product Name]],Inventory[Product Name],Inventory[Sale Price],"")=0,"",_xlfn.XLOOKUP(Sales[[#This Row],[Product Name]],Inventory[Product Name],Inventory[Sale Price]))</f>
        <v/>
      </c>
      <c r="I38" s="19" t="str">
        <f>IFERROR(G38*H38,"")</f>
        <v/>
      </c>
      <c r="J38" s="19"/>
    </row>
    <row r="39" spans="1:10" ht="21">
      <c r="A39" s="14">
        <v>34</v>
      </c>
      <c r="C39" s="16"/>
      <c r="D39" s="14" t="str">
        <f>IF(Sales[[#This Row],[Product ID]]="","",Sales[[#This Row],[Date]]&amp;Sales[[#This Row],[Invoice no]])</f>
        <v/>
      </c>
      <c r="E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" s="19" t="str">
        <f>IF(_xlfn.XLOOKUP(Sales[[#This Row],[Product Name]],Inventory[Product Name],Inventory[Sale Price],"")=0,"",_xlfn.XLOOKUP(Sales[[#This Row],[Product Name]],Inventory[Product Name],Inventory[Sale Price]))</f>
        <v/>
      </c>
      <c r="I39" s="19" t="str">
        <f>IFERROR(G39*H39,"")</f>
        <v/>
      </c>
      <c r="J39" s="19"/>
    </row>
    <row r="40" spans="1:10" ht="21">
      <c r="A40" s="14">
        <v>35</v>
      </c>
      <c r="C40" s="16"/>
      <c r="D40" s="14" t="str">
        <f>IF(Sales[[#This Row],[Product ID]]="","",Sales[[#This Row],[Date]]&amp;Sales[[#This Row],[Invoice no]])</f>
        <v/>
      </c>
      <c r="E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" s="19" t="str">
        <f>IF(_xlfn.XLOOKUP(Sales[[#This Row],[Product Name]],Inventory[Product Name],Inventory[Sale Price],"")=0,"",_xlfn.XLOOKUP(Sales[[#This Row],[Product Name]],Inventory[Product Name],Inventory[Sale Price]))</f>
        <v/>
      </c>
      <c r="I40" s="19" t="str">
        <f>IFERROR(G40*H40,"")</f>
        <v/>
      </c>
      <c r="J40" s="19"/>
    </row>
    <row r="41" spans="1:10" ht="21">
      <c r="A41" s="14">
        <v>36</v>
      </c>
      <c r="C41" s="16"/>
      <c r="D41" s="14" t="str">
        <f>IF(Sales[[#This Row],[Product ID]]="","",Sales[[#This Row],[Date]]&amp;Sales[[#This Row],[Invoice no]])</f>
        <v/>
      </c>
      <c r="E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" s="19" t="str">
        <f>IF(_xlfn.XLOOKUP(Sales[[#This Row],[Product Name]],Inventory[Product Name],Inventory[Sale Price],"")=0,"",_xlfn.XLOOKUP(Sales[[#This Row],[Product Name]],Inventory[Product Name],Inventory[Sale Price]))</f>
        <v/>
      </c>
      <c r="I41" s="19" t="str">
        <f>IFERROR(G41*H41,"")</f>
        <v/>
      </c>
      <c r="J41" s="19"/>
    </row>
    <row r="42" spans="1:10" ht="21">
      <c r="A42" s="14">
        <v>37</v>
      </c>
      <c r="C42" s="16"/>
      <c r="D42" s="14" t="str">
        <f>IF(Sales[[#This Row],[Product ID]]="","",Sales[[#This Row],[Date]]&amp;Sales[[#This Row],[Invoice no]])</f>
        <v/>
      </c>
      <c r="E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" s="19" t="str">
        <f>IF(_xlfn.XLOOKUP(Sales[[#This Row],[Product Name]],Inventory[Product Name],Inventory[Sale Price],"")=0,"",_xlfn.XLOOKUP(Sales[[#This Row],[Product Name]],Inventory[Product Name],Inventory[Sale Price]))</f>
        <v/>
      </c>
      <c r="I42" s="19" t="str">
        <f>IFERROR(G42*H42,"")</f>
        <v/>
      </c>
      <c r="J42" s="19"/>
    </row>
    <row r="43" spans="1:10" ht="21">
      <c r="A43" s="14">
        <v>38</v>
      </c>
      <c r="C43" s="16"/>
      <c r="D43" s="14" t="str">
        <f>IF(Sales[[#This Row],[Product ID]]="","",Sales[[#This Row],[Date]]&amp;Sales[[#This Row],[Invoice no]])</f>
        <v/>
      </c>
      <c r="E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" s="19" t="str">
        <f>IF(_xlfn.XLOOKUP(Sales[[#This Row],[Product Name]],Inventory[Product Name],Inventory[Sale Price],"")=0,"",_xlfn.XLOOKUP(Sales[[#This Row],[Product Name]],Inventory[Product Name],Inventory[Sale Price]))</f>
        <v/>
      </c>
      <c r="I43" s="19" t="str">
        <f>IFERROR(G43*H43,"")</f>
        <v/>
      </c>
      <c r="J43" s="19"/>
    </row>
    <row r="44" spans="1:10" ht="21">
      <c r="A44" s="14">
        <v>39</v>
      </c>
      <c r="C44" s="16"/>
      <c r="D44" s="14" t="str">
        <f>IF(Sales[[#This Row],[Product ID]]="","",Sales[[#This Row],[Date]]&amp;Sales[[#This Row],[Invoice no]])</f>
        <v/>
      </c>
      <c r="E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" s="19" t="str">
        <f>IF(_xlfn.XLOOKUP(Sales[[#This Row],[Product Name]],Inventory[Product Name],Inventory[Sale Price],"")=0,"",_xlfn.XLOOKUP(Sales[[#This Row],[Product Name]],Inventory[Product Name],Inventory[Sale Price]))</f>
        <v/>
      </c>
      <c r="I44" s="19" t="str">
        <f>IFERROR(G44*H44,"")</f>
        <v/>
      </c>
      <c r="J44" s="19"/>
    </row>
    <row r="45" spans="1:10" ht="21">
      <c r="A45" s="14">
        <v>40</v>
      </c>
      <c r="C45" s="16"/>
      <c r="D45" s="14" t="str">
        <f>IF(Sales[[#This Row],[Product ID]]="","",Sales[[#This Row],[Date]]&amp;Sales[[#This Row],[Invoice no]])</f>
        <v/>
      </c>
      <c r="E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" s="19" t="str">
        <f>IF(_xlfn.XLOOKUP(Sales[[#This Row],[Product Name]],Inventory[Product Name],Inventory[Sale Price],"")=0,"",_xlfn.XLOOKUP(Sales[[#This Row],[Product Name]],Inventory[Product Name],Inventory[Sale Price]))</f>
        <v/>
      </c>
      <c r="I45" s="19" t="str">
        <f>IFERROR(G45*H45,"")</f>
        <v/>
      </c>
      <c r="J45" s="19"/>
    </row>
    <row r="46" spans="1:10" ht="21">
      <c r="A46" s="14">
        <v>41</v>
      </c>
      <c r="C46" s="16"/>
      <c r="D46" s="14" t="str">
        <f>IF(Sales[[#This Row],[Product ID]]="","",Sales[[#This Row],[Date]]&amp;Sales[[#This Row],[Invoice no]])</f>
        <v/>
      </c>
      <c r="E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" s="19" t="str">
        <f>IF(_xlfn.XLOOKUP(Sales[[#This Row],[Product Name]],Inventory[Product Name],Inventory[Sale Price],"")=0,"",_xlfn.XLOOKUP(Sales[[#This Row],[Product Name]],Inventory[Product Name],Inventory[Sale Price]))</f>
        <v/>
      </c>
      <c r="I46" s="19" t="str">
        <f>IFERROR(G46*H46,"")</f>
        <v/>
      </c>
      <c r="J46" s="19"/>
    </row>
    <row r="47" spans="1:10" ht="21">
      <c r="A47" s="14">
        <v>42</v>
      </c>
      <c r="C47" s="16"/>
      <c r="D47" s="14" t="str">
        <f>IF(Sales[[#This Row],[Product ID]]="","",Sales[[#This Row],[Date]]&amp;Sales[[#This Row],[Invoice no]])</f>
        <v/>
      </c>
      <c r="E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" s="19" t="str">
        <f>IF(_xlfn.XLOOKUP(Sales[[#This Row],[Product Name]],Inventory[Product Name],Inventory[Sale Price],"")=0,"",_xlfn.XLOOKUP(Sales[[#This Row],[Product Name]],Inventory[Product Name],Inventory[Sale Price]))</f>
        <v/>
      </c>
      <c r="I47" s="19" t="str">
        <f>IFERROR(G47*H47,"")</f>
        <v/>
      </c>
      <c r="J47" s="19"/>
    </row>
    <row r="48" spans="1:10" ht="21">
      <c r="A48" s="14">
        <v>43</v>
      </c>
      <c r="C48" s="16"/>
      <c r="D48" s="14" t="str">
        <f>IF(Sales[[#This Row],[Product ID]]="","",Sales[[#This Row],[Date]]&amp;Sales[[#This Row],[Invoice no]])</f>
        <v/>
      </c>
      <c r="E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" s="19" t="str">
        <f>IF(_xlfn.XLOOKUP(Sales[[#This Row],[Product Name]],Inventory[Product Name],Inventory[Sale Price],"")=0,"",_xlfn.XLOOKUP(Sales[[#This Row],[Product Name]],Inventory[Product Name],Inventory[Sale Price]))</f>
        <v/>
      </c>
      <c r="I48" s="19" t="str">
        <f>IFERROR(G48*H48,"")</f>
        <v/>
      </c>
      <c r="J48" s="19"/>
    </row>
    <row r="49" spans="1:10" ht="21">
      <c r="A49" s="14">
        <v>44</v>
      </c>
      <c r="C49" s="16"/>
      <c r="D49" s="14" t="str">
        <f>IF(Sales[[#This Row],[Product ID]]="","",Sales[[#This Row],[Date]]&amp;Sales[[#This Row],[Invoice no]])</f>
        <v/>
      </c>
      <c r="E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" s="19" t="str">
        <f>IF(_xlfn.XLOOKUP(Sales[[#This Row],[Product Name]],Inventory[Product Name],Inventory[Sale Price],"")=0,"",_xlfn.XLOOKUP(Sales[[#This Row],[Product Name]],Inventory[Product Name],Inventory[Sale Price]))</f>
        <v/>
      </c>
      <c r="I49" s="19" t="str">
        <f>IFERROR(G49*H49,"")</f>
        <v/>
      </c>
      <c r="J49" s="19"/>
    </row>
    <row r="50" spans="1:10" ht="21">
      <c r="A50" s="14">
        <v>45</v>
      </c>
      <c r="C50" s="16"/>
      <c r="D50" s="14" t="str">
        <f>IF(Sales[[#This Row],[Product ID]]="","",Sales[[#This Row],[Date]]&amp;Sales[[#This Row],[Invoice no]])</f>
        <v/>
      </c>
      <c r="E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" s="19" t="str">
        <f>IF(_xlfn.XLOOKUP(Sales[[#This Row],[Product Name]],Inventory[Product Name],Inventory[Sale Price],"")=0,"",_xlfn.XLOOKUP(Sales[[#This Row],[Product Name]],Inventory[Product Name],Inventory[Sale Price]))</f>
        <v/>
      </c>
      <c r="I50" s="19" t="str">
        <f>IFERROR(G50*H50,"")</f>
        <v/>
      </c>
      <c r="J50" s="19"/>
    </row>
    <row r="51" spans="1:10" ht="21">
      <c r="A51" s="14">
        <v>46</v>
      </c>
      <c r="C51" s="16"/>
      <c r="D51" s="14" t="str">
        <f>IF(Sales[[#This Row],[Product ID]]="","",Sales[[#This Row],[Date]]&amp;Sales[[#This Row],[Invoice no]])</f>
        <v/>
      </c>
      <c r="E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" s="19" t="str">
        <f>IF(_xlfn.XLOOKUP(Sales[[#This Row],[Product Name]],Inventory[Product Name],Inventory[Sale Price],"")=0,"",_xlfn.XLOOKUP(Sales[[#This Row],[Product Name]],Inventory[Product Name],Inventory[Sale Price]))</f>
        <v/>
      </c>
      <c r="I51" s="19" t="str">
        <f>IFERROR(G51*H51,"")</f>
        <v/>
      </c>
      <c r="J51" s="19"/>
    </row>
    <row r="52" spans="1:10" ht="21">
      <c r="A52" s="14">
        <v>47</v>
      </c>
      <c r="C52" s="16"/>
      <c r="D52" s="14" t="str">
        <f>IF(Sales[[#This Row],[Product ID]]="","",Sales[[#This Row],[Date]]&amp;Sales[[#This Row],[Invoice no]])</f>
        <v/>
      </c>
      <c r="E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" s="19" t="str">
        <f>IF(_xlfn.XLOOKUP(Sales[[#This Row],[Product Name]],Inventory[Product Name],Inventory[Sale Price],"")=0,"",_xlfn.XLOOKUP(Sales[[#This Row],[Product Name]],Inventory[Product Name],Inventory[Sale Price]))</f>
        <v/>
      </c>
      <c r="I52" s="19" t="str">
        <f>IFERROR(G52*H52,"")</f>
        <v/>
      </c>
      <c r="J52" s="19"/>
    </row>
    <row r="53" spans="1:10" ht="21">
      <c r="A53" s="14">
        <v>48</v>
      </c>
      <c r="C53" s="16"/>
      <c r="D53" s="14" t="str">
        <f>IF(Sales[[#This Row],[Product ID]]="","",Sales[[#This Row],[Date]]&amp;Sales[[#This Row],[Invoice no]])</f>
        <v/>
      </c>
      <c r="E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" s="19" t="str">
        <f>IF(_xlfn.XLOOKUP(Sales[[#This Row],[Product Name]],Inventory[Product Name],Inventory[Sale Price],"")=0,"",_xlfn.XLOOKUP(Sales[[#This Row],[Product Name]],Inventory[Product Name],Inventory[Sale Price]))</f>
        <v/>
      </c>
      <c r="I53" s="19" t="str">
        <f>IFERROR(G53*H53,"")</f>
        <v/>
      </c>
      <c r="J53" s="19"/>
    </row>
    <row r="54" spans="1:10" ht="21">
      <c r="A54" s="14">
        <v>49</v>
      </c>
      <c r="C54" s="16"/>
      <c r="D54" s="14" t="str">
        <f>IF(Sales[[#This Row],[Product ID]]="","",Sales[[#This Row],[Date]]&amp;Sales[[#This Row],[Invoice no]])</f>
        <v/>
      </c>
      <c r="E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" s="19" t="str">
        <f>IF(_xlfn.XLOOKUP(Sales[[#This Row],[Product Name]],Inventory[Product Name],Inventory[Sale Price],"")=0,"",_xlfn.XLOOKUP(Sales[[#This Row],[Product Name]],Inventory[Product Name],Inventory[Sale Price]))</f>
        <v/>
      </c>
      <c r="I54" s="19" t="str">
        <f>IFERROR(G54*H54,"")</f>
        <v/>
      </c>
      <c r="J54" s="19"/>
    </row>
    <row r="55" spans="1:10" ht="21">
      <c r="A55" s="14">
        <v>50</v>
      </c>
      <c r="C55" s="16"/>
      <c r="D55" s="14" t="str">
        <f>IF(Sales[[#This Row],[Product ID]]="","",Sales[[#This Row],[Date]]&amp;Sales[[#This Row],[Invoice no]])</f>
        <v/>
      </c>
      <c r="E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" s="19" t="str">
        <f>IF(_xlfn.XLOOKUP(Sales[[#This Row],[Product Name]],Inventory[Product Name],Inventory[Sale Price],"")=0,"",_xlfn.XLOOKUP(Sales[[#This Row],[Product Name]],Inventory[Product Name],Inventory[Sale Price]))</f>
        <v/>
      </c>
      <c r="I55" s="19" t="str">
        <f>IFERROR(G55*H55,"")</f>
        <v/>
      </c>
      <c r="J55" s="19"/>
    </row>
    <row r="56" spans="1:10" ht="21">
      <c r="A56" s="14">
        <v>51</v>
      </c>
      <c r="C56" s="16"/>
      <c r="D56" s="14" t="str">
        <f>IF(Sales[[#This Row],[Product ID]]="","",Sales[[#This Row],[Date]]&amp;Sales[[#This Row],[Invoice no]])</f>
        <v/>
      </c>
      <c r="E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" s="19" t="str">
        <f>IF(_xlfn.XLOOKUP(Sales[[#This Row],[Product Name]],Inventory[Product Name],Inventory[Sale Price],"")=0,"",_xlfn.XLOOKUP(Sales[[#This Row],[Product Name]],Inventory[Product Name],Inventory[Sale Price]))</f>
        <v/>
      </c>
      <c r="I56" s="19" t="str">
        <f>IFERROR(G56*H56,"")</f>
        <v/>
      </c>
      <c r="J56" s="19"/>
    </row>
    <row r="57" spans="1:10" ht="21">
      <c r="A57" s="14">
        <v>52</v>
      </c>
      <c r="C57" s="16"/>
      <c r="D57" s="14" t="str">
        <f>IF(Sales[[#This Row],[Product ID]]="","",Sales[[#This Row],[Date]]&amp;Sales[[#This Row],[Invoice no]])</f>
        <v/>
      </c>
      <c r="E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" s="19" t="str">
        <f>IF(_xlfn.XLOOKUP(Sales[[#This Row],[Product Name]],Inventory[Product Name],Inventory[Sale Price],"")=0,"",_xlfn.XLOOKUP(Sales[[#This Row],[Product Name]],Inventory[Product Name],Inventory[Sale Price]))</f>
        <v/>
      </c>
      <c r="I57" s="19" t="str">
        <f>IFERROR(G57*H57,"")</f>
        <v/>
      </c>
      <c r="J57" s="19"/>
    </row>
    <row r="58" spans="1:10" ht="21">
      <c r="A58" s="14">
        <v>53</v>
      </c>
      <c r="C58" s="16"/>
      <c r="D58" s="14" t="str">
        <f>IF(Sales[[#This Row],[Product ID]]="","",Sales[[#This Row],[Date]]&amp;Sales[[#This Row],[Invoice no]])</f>
        <v/>
      </c>
      <c r="E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" s="19" t="str">
        <f>IF(_xlfn.XLOOKUP(Sales[[#This Row],[Product Name]],Inventory[Product Name],Inventory[Sale Price],"")=0,"",_xlfn.XLOOKUP(Sales[[#This Row],[Product Name]],Inventory[Product Name],Inventory[Sale Price]))</f>
        <v/>
      </c>
      <c r="I58" s="19" t="str">
        <f>IFERROR(G58*H58,"")</f>
        <v/>
      </c>
      <c r="J58" s="19"/>
    </row>
    <row r="59" spans="1:10" ht="21">
      <c r="A59" s="14">
        <v>54</v>
      </c>
      <c r="C59" s="16"/>
      <c r="D59" s="14" t="str">
        <f>IF(Sales[[#This Row],[Product ID]]="","",Sales[[#This Row],[Date]]&amp;Sales[[#This Row],[Invoice no]])</f>
        <v/>
      </c>
      <c r="E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" s="19" t="str">
        <f>IF(_xlfn.XLOOKUP(Sales[[#This Row],[Product Name]],Inventory[Product Name],Inventory[Sale Price],"")=0,"",_xlfn.XLOOKUP(Sales[[#This Row],[Product Name]],Inventory[Product Name],Inventory[Sale Price]))</f>
        <v/>
      </c>
      <c r="I59" s="19" t="str">
        <f>IFERROR(G59*H59,"")</f>
        <v/>
      </c>
      <c r="J59" s="19"/>
    </row>
    <row r="60" spans="1:10" ht="21">
      <c r="A60" s="14">
        <v>55</v>
      </c>
      <c r="C60" s="16"/>
      <c r="D60" s="14" t="str">
        <f>IF(Sales[[#This Row],[Product ID]]="","",Sales[[#This Row],[Date]]&amp;Sales[[#This Row],[Invoice no]])</f>
        <v/>
      </c>
      <c r="E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" s="19" t="str">
        <f>IF(_xlfn.XLOOKUP(Sales[[#This Row],[Product Name]],Inventory[Product Name],Inventory[Sale Price],"")=0,"",_xlfn.XLOOKUP(Sales[[#This Row],[Product Name]],Inventory[Product Name],Inventory[Sale Price]))</f>
        <v/>
      </c>
      <c r="I60" s="19" t="str">
        <f>IFERROR(G60*H60,"")</f>
        <v/>
      </c>
      <c r="J60" s="19"/>
    </row>
    <row r="61" spans="1:10" ht="21">
      <c r="A61" s="14">
        <v>56</v>
      </c>
      <c r="C61" s="16"/>
      <c r="D61" s="14" t="str">
        <f>IF(Sales[[#This Row],[Product ID]]="","",Sales[[#This Row],[Date]]&amp;Sales[[#This Row],[Invoice no]])</f>
        <v/>
      </c>
      <c r="E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" s="19" t="str">
        <f>IF(_xlfn.XLOOKUP(Sales[[#This Row],[Product Name]],Inventory[Product Name],Inventory[Sale Price],"")=0,"",_xlfn.XLOOKUP(Sales[[#This Row],[Product Name]],Inventory[Product Name],Inventory[Sale Price]))</f>
        <v/>
      </c>
      <c r="I61" s="19" t="str">
        <f>IFERROR(G61*H61,"")</f>
        <v/>
      </c>
      <c r="J61" s="19"/>
    </row>
    <row r="62" spans="1:10" ht="21">
      <c r="A62" s="14">
        <v>57</v>
      </c>
      <c r="C62" s="16"/>
      <c r="D62" s="14" t="str">
        <f>IF(Sales[[#This Row],[Product ID]]="","",Sales[[#This Row],[Date]]&amp;Sales[[#This Row],[Invoice no]])</f>
        <v/>
      </c>
      <c r="E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" s="19" t="str">
        <f>IF(_xlfn.XLOOKUP(Sales[[#This Row],[Product Name]],Inventory[Product Name],Inventory[Sale Price],"")=0,"",_xlfn.XLOOKUP(Sales[[#This Row],[Product Name]],Inventory[Product Name],Inventory[Sale Price]))</f>
        <v/>
      </c>
      <c r="I62" s="19" t="str">
        <f>IFERROR(G62*H62,"")</f>
        <v/>
      </c>
      <c r="J62" s="19"/>
    </row>
    <row r="63" spans="1:10" ht="21">
      <c r="A63" s="14">
        <v>58</v>
      </c>
      <c r="C63" s="16"/>
      <c r="D63" s="14" t="str">
        <f>IF(Sales[[#This Row],[Product ID]]="","",Sales[[#This Row],[Date]]&amp;Sales[[#This Row],[Invoice no]])</f>
        <v/>
      </c>
      <c r="E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" s="19" t="str">
        <f>IF(_xlfn.XLOOKUP(Sales[[#This Row],[Product Name]],Inventory[Product Name],Inventory[Sale Price],"")=0,"",_xlfn.XLOOKUP(Sales[[#This Row],[Product Name]],Inventory[Product Name],Inventory[Sale Price]))</f>
        <v/>
      </c>
      <c r="I63" s="19" t="str">
        <f>IFERROR(G63*H63,"")</f>
        <v/>
      </c>
      <c r="J63" s="19"/>
    </row>
    <row r="64" spans="1:10" ht="21">
      <c r="A64" s="14">
        <v>59</v>
      </c>
      <c r="C64" s="16"/>
      <c r="D64" s="14" t="str">
        <f>IF(Sales[[#This Row],[Product ID]]="","",Sales[[#This Row],[Date]]&amp;Sales[[#This Row],[Invoice no]])</f>
        <v/>
      </c>
      <c r="E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" s="19" t="str">
        <f>IF(_xlfn.XLOOKUP(Sales[[#This Row],[Product Name]],Inventory[Product Name],Inventory[Sale Price],"")=0,"",_xlfn.XLOOKUP(Sales[[#This Row],[Product Name]],Inventory[Product Name],Inventory[Sale Price]))</f>
        <v/>
      </c>
      <c r="I64" s="19" t="str">
        <f>IFERROR(G64*H64,"")</f>
        <v/>
      </c>
      <c r="J64" s="19"/>
    </row>
    <row r="65" spans="1:10" ht="21">
      <c r="A65" s="14">
        <v>60</v>
      </c>
      <c r="C65" s="16"/>
      <c r="D65" s="14" t="str">
        <f>IF(Sales[[#This Row],[Product ID]]="","",Sales[[#This Row],[Date]]&amp;Sales[[#This Row],[Invoice no]])</f>
        <v/>
      </c>
      <c r="E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" s="19" t="str">
        <f>IF(_xlfn.XLOOKUP(Sales[[#This Row],[Product Name]],Inventory[Product Name],Inventory[Sale Price],"")=0,"",_xlfn.XLOOKUP(Sales[[#This Row],[Product Name]],Inventory[Product Name],Inventory[Sale Price]))</f>
        <v/>
      </c>
      <c r="I65" s="19" t="str">
        <f>IFERROR(G65*H65,"")</f>
        <v/>
      </c>
      <c r="J65" s="19"/>
    </row>
    <row r="66" spans="1:10" ht="21">
      <c r="A66" s="14">
        <v>61</v>
      </c>
      <c r="C66" s="16"/>
      <c r="D66" s="14" t="str">
        <f>IF(Sales[[#This Row],[Product ID]]="","",Sales[[#This Row],[Date]]&amp;Sales[[#This Row],[Invoice no]])</f>
        <v/>
      </c>
      <c r="E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" s="19" t="str">
        <f>IF(_xlfn.XLOOKUP(Sales[[#This Row],[Product Name]],Inventory[Product Name],Inventory[Sale Price],"")=0,"",_xlfn.XLOOKUP(Sales[[#This Row],[Product Name]],Inventory[Product Name],Inventory[Sale Price]))</f>
        <v/>
      </c>
      <c r="I66" s="19" t="str">
        <f>IFERROR(G66*H66,"")</f>
        <v/>
      </c>
      <c r="J66" s="19"/>
    </row>
    <row r="67" spans="1:10" ht="21">
      <c r="A67" s="14">
        <v>62</v>
      </c>
      <c r="C67" s="16"/>
      <c r="D67" s="14" t="str">
        <f>IF(Sales[[#This Row],[Product ID]]="","",Sales[[#This Row],[Date]]&amp;Sales[[#This Row],[Invoice no]])</f>
        <v/>
      </c>
      <c r="E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" s="19" t="str">
        <f>IF(_xlfn.XLOOKUP(Sales[[#This Row],[Product Name]],Inventory[Product Name],Inventory[Sale Price],"")=0,"",_xlfn.XLOOKUP(Sales[[#This Row],[Product Name]],Inventory[Product Name],Inventory[Sale Price]))</f>
        <v/>
      </c>
      <c r="I67" s="19" t="str">
        <f>IFERROR(G67*H67,"")</f>
        <v/>
      </c>
      <c r="J67" s="19"/>
    </row>
    <row r="68" spans="1:10" ht="21">
      <c r="A68" s="14">
        <v>63</v>
      </c>
      <c r="C68" s="16"/>
      <c r="D68" s="14" t="str">
        <f>IF(Sales[[#This Row],[Product ID]]="","",Sales[[#This Row],[Date]]&amp;Sales[[#This Row],[Invoice no]])</f>
        <v/>
      </c>
      <c r="E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" s="19" t="str">
        <f>IF(_xlfn.XLOOKUP(Sales[[#This Row],[Product Name]],Inventory[Product Name],Inventory[Sale Price],"")=0,"",_xlfn.XLOOKUP(Sales[[#This Row],[Product Name]],Inventory[Product Name],Inventory[Sale Price]))</f>
        <v/>
      </c>
      <c r="I68" s="19" t="str">
        <f>IFERROR(G68*H68,"")</f>
        <v/>
      </c>
      <c r="J68" s="19"/>
    </row>
    <row r="69" spans="1:10" ht="21">
      <c r="A69" s="14">
        <v>64</v>
      </c>
      <c r="C69" s="16"/>
      <c r="D69" s="14" t="str">
        <f>IF(Sales[[#This Row],[Product ID]]="","",Sales[[#This Row],[Date]]&amp;Sales[[#This Row],[Invoice no]])</f>
        <v/>
      </c>
      <c r="E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" s="19" t="str">
        <f>IF(_xlfn.XLOOKUP(Sales[[#This Row],[Product Name]],Inventory[Product Name],Inventory[Sale Price],"")=0,"",_xlfn.XLOOKUP(Sales[[#This Row],[Product Name]],Inventory[Product Name],Inventory[Sale Price]))</f>
        <v/>
      </c>
      <c r="I69" s="19" t="str">
        <f>IFERROR(G69*H69,"")</f>
        <v/>
      </c>
      <c r="J69" s="19"/>
    </row>
    <row r="70" spans="1:10" ht="21">
      <c r="A70" s="14">
        <v>65</v>
      </c>
      <c r="C70" s="16"/>
      <c r="D70" s="14" t="str">
        <f>IF(Sales[[#This Row],[Product ID]]="","",Sales[[#This Row],[Date]]&amp;Sales[[#This Row],[Invoice no]])</f>
        <v/>
      </c>
      <c r="E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" s="19" t="str">
        <f>IF(_xlfn.XLOOKUP(Sales[[#This Row],[Product Name]],Inventory[Product Name],Inventory[Sale Price],"")=0,"",_xlfn.XLOOKUP(Sales[[#This Row],[Product Name]],Inventory[Product Name],Inventory[Sale Price]))</f>
        <v/>
      </c>
      <c r="I70" s="19" t="str">
        <f>IFERROR(G70*H70,"")</f>
        <v/>
      </c>
      <c r="J70" s="19"/>
    </row>
    <row r="71" spans="1:10" ht="21">
      <c r="A71" s="14">
        <v>66</v>
      </c>
      <c r="C71" s="16"/>
      <c r="D71" s="14" t="str">
        <f>IF(Sales[[#This Row],[Product ID]]="","",Sales[[#This Row],[Date]]&amp;Sales[[#This Row],[Invoice no]])</f>
        <v/>
      </c>
      <c r="E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" s="19" t="str">
        <f>IF(_xlfn.XLOOKUP(Sales[[#This Row],[Product Name]],Inventory[Product Name],Inventory[Sale Price],"")=0,"",_xlfn.XLOOKUP(Sales[[#This Row],[Product Name]],Inventory[Product Name],Inventory[Sale Price]))</f>
        <v/>
      </c>
      <c r="I71" s="19" t="str">
        <f>IFERROR(G71*H71,"")</f>
        <v/>
      </c>
      <c r="J71" s="19"/>
    </row>
    <row r="72" spans="1:10" ht="21">
      <c r="A72" s="14">
        <v>67</v>
      </c>
      <c r="C72" s="16"/>
      <c r="D72" s="14" t="str">
        <f>IF(Sales[[#This Row],[Product ID]]="","",Sales[[#This Row],[Date]]&amp;Sales[[#This Row],[Invoice no]])</f>
        <v/>
      </c>
      <c r="E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" s="19" t="str">
        <f>IF(_xlfn.XLOOKUP(Sales[[#This Row],[Product Name]],Inventory[Product Name],Inventory[Sale Price],"")=0,"",_xlfn.XLOOKUP(Sales[[#This Row],[Product Name]],Inventory[Product Name],Inventory[Sale Price]))</f>
        <v/>
      </c>
      <c r="I72" s="19" t="str">
        <f>IFERROR(G72*H72,"")</f>
        <v/>
      </c>
      <c r="J72" s="19"/>
    </row>
    <row r="73" spans="1:10" ht="21">
      <c r="A73" s="14">
        <v>68</v>
      </c>
      <c r="C73" s="16"/>
      <c r="D73" s="14" t="str">
        <f>IF(Sales[[#This Row],[Product ID]]="","",Sales[[#This Row],[Date]]&amp;Sales[[#This Row],[Invoice no]])</f>
        <v/>
      </c>
      <c r="E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" s="19" t="str">
        <f>IF(_xlfn.XLOOKUP(Sales[[#This Row],[Product Name]],Inventory[Product Name],Inventory[Sale Price],"")=0,"",_xlfn.XLOOKUP(Sales[[#This Row],[Product Name]],Inventory[Product Name],Inventory[Sale Price]))</f>
        <v/>
      </c>
      <c r="I73" s="19" t="str">
        <f>IFERROR(G73*H73,"")</f>
        <v/>
      </c>
      <c r="J73" s="19"/>
    </row>
    <row r="74" spans="1:10" ht="21">
      <c r="A74" s="14">
        <v>69</v>
      </c>
      <c r="C74" s="16"/>
      <c r="D74" s="14" t="str">
        <f>IF(Sales[[#This Row],[Product ID]]="","",Sales[[#This Row],[Date]]&amp;Sales[[#This Row],[Invoice no]])</f>
        <v/>
      </c>
      <c r="E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" s="19" t="str">
        <f>IF(_xlfn.XLOOKUP(Sales[[#This Row],[Product Name]],Inventory[Product Name],Inventory[Sale Price],"")=0,"",_xlfn.XLOOKUP(Sales[[#This Row],[Product Name]],Inventory[Product Name],Inventory[Sale Price]))</f>
        <v/>
      </c>
      <c r="I74" s="19" t="str">
        <f>IFERROR(G74*H74,"")</f>
        <v/>
      </c>
      <c r="J74" s="19"/>
    </row>
    <row r="75" spans="1:10" ht="21">
      <c r="A75" s="14">
        <v>70</v>
      </c>
      <c r="C75" s="16"/>
      <c r="D75" s="14" t="str">
        <f>IF(Sales[[#This Row],[Product ID]]="","",Sales[[#This Row],[Date]]&amp;Sales[[#This Row],[Invoice no]])</f>
        <v/>
      </c>
      <c r="E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" s="19" t="str">
        <f>IF(_xlfn.XLOOKUP(Sales[[#This Row],[Product Name]],Inventory[Product Name],Inventory[Sale Price],"")=0,"",_xlfn.XLOOKUP(Sales[[#This Row],[Product Name]],Inventory[Product Name],Inventory[Sale Price]))</f>
        <v/>
      </c>
      <c r="I75" s="19" t="str">
        <f>IFERROR(G75*H75,"")</f>
        <v/>
      </c>
      <c r="J75" s="19"/>
    </row>
    <row r="76" spans="1:10" ht="21">
      <c r="A76" s="14">
        <v>71</v>
      </c>
      <c r="C76" s="16"/>
      <c r="D76" s="14" t="str">
        <f>IF(Sales[[#This Row],[Product ID]]="","",Sales[[#This Row],[Date]]&amp;Sales[[#This Row],[Invoice no]])</f>
        <v/>
      </c>
      <c r="E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" s="19" t="str">
        <f>IF(_xlfn.XLOOKUP(Sales[[#This Row],[Product Name]],Inventory[Product Name],Inventory[Sale Price],"")=0,"",_xlfn.XLOOKUP(Sales[[#This Row],[Product Name]],Inventory[Product Name],Inventory[Sale Price]))</f>
        <v/>
      </c>
      <c r="I76" s="19" t="str">
        <f>IFERROR(G76*H76,"")</f>
        <v/>
      </c>
      <c r="J76" s="19"/>
    </row>
    <row r="77" spans="1:10" ht="21">
      <c r="A77" s="14">
        <v>72</v>
      </c>
      <c r="C77" s="16"/>
      <c r="D77" s="14" t="str">
        <f>IF(Sales[[#This Row],[Product ID]]="","",Sales[[#This Row],[Date]]&amp;Sales[[#This Row],[Invoice no]])</f>
        <v/>
      </c>
      <c r="E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" s="19" t="str">
        <f>IF(_xlfn.XLOOKUP(Sales[[#This Row],[Product Name]],Inventory[Product Name],Inventory[Sale Price],"")=0,"",_xlfn.XLOOKUP(Sales[[#This Row],[Product Name]],Inventory[Product Name],Inventory[Sale Price]))</f>
        <v/>
      </c>
      <c r="I77" s="19" t="str">
        <f>IFERROR(G77*H77,"")</f>
        <v/>
      </c>
      <c r="J77" s="19"/>
    </row>
    <row r="78" spans="1:10" ht="21">
      <c r="A78" s="14">
        <v>73</v>
      </c>
      <c r="C78" s="16"/>
      <c r="D78" s="14" t="str">
        <f>IF(Sales[[#This Row],[Product ID]]="","",Sales[[#This Row],[Date]]&amp;Sales[[#This Row],[Invoice no]])</f>
        <v/>
      </c>
      <c r="E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" s="19" t="str">
        <f>IF(_xlfn.XLOOKUP(Sales[[#This Row],[Product Name]],Inventory[Product Name],Inventory[Sale Price],"")=0,"",_xlfn.XLOOKUP(Sales[[#This Row],[Product Name]],Inventory[Product Name],Inventory[Sale Price]))</f>
        <v/>
      </c>
      <c r="I78" s="19" t="str">
        <f>IFERROR(G78*H78,"")</f>
        <v/>
      </c>
      <c r="J78" s="19"/>
    </row>
    <row r="79" spans="1:10" ht="21">
      <c r="A79" s="14">
        <v>74</v>
      </c>
      <c r="C79" s="16"/>
      <c r="D79" s="14" t="str">
        <f>IF(Sales[[#This Row],[Product ID]]="","",Sales[[#This Row],[Date]]&amp;Sales[[#This Row],[Invoice no]])</f>
        <v/>
      </c>
      <c r="E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" s="19" t="str">
        <f>IF(_xlfn.XLOOKUP(Sales[[#This Row],[Product Name]],Inventory[Product Name],Inventory[Sale Price],"")=0,"",_xlfn.XLOOKUP(Sales[[#This Row],[Product Name]],Inventory[Product Name],Inventory[Sale Price]))</f>
        <v/>
      </c>
      <c r="I79" s="19" t="str">
        <f>IFERROR(G79*H79,"")</f>
        <v/>
      </c>
      <c r="J79" s="19"/>
    </row>
    <row r="80" spans="1:10" ht="21">
      <c r="A80" s="14">
        <v>75</v>
      </c>
      <c r="C80" s="16"/>
      <c r="D80" s="14" t="str">
        <f>IF(Sales[[#This Row],[Product ID]]="","",Sales[[#This Row],[Date]]&amp;Sales[[#This Row],[Invoice no]])</f>
        <v/>
      </c>
      <c r="E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" s="19" t="str">
        <f>IF(_xlfn.XLOOKUP(Sales[[#This Row],[Product Name]],Inventory[Product Name],Inventory[Sale Price],"")=0,"",_xlfn.XLOOKUP(Sales[[#This Row],[Product Name]],Inventory[Product Name],Inventory[Sale Price]))</f>
        <v/>
      </c>
      <c r="I80" s="19" t="str">
        <f>IFERROR(G80*H80,"")</f>
        <v/>
      </c>
      <c r="J80" s="19"/>
    </row>
    <row r="81" spans="1:10" ht="21">
      <c r="A81" s="14">
        <v>76</v>
      </c>
      <c r="C81" s="16"/>
      <c r="D81" s="14" t="str">
        <f>IF(Sales[[#This Row],[Product ID]]="","",Sales[[#This Row],[Date]]&amp;Sales[[#This Row],[Invoice no]])</f>
        <v/>
      </c>
      <c r="E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" s="19" t="str">
        <f>IF(_xlfn.XLOOKUP(Sales[[#This Row],[Product Name]],Inventory[Product Name],Inventory[Sale Price],"")=0,"",_xlfn.XLOOKUP(Sales[[#This Row],[Product Name]],Inventory[Product Name],Inventory[Sale Price]))</f>
        <v/>
      </c>
      <c r="I81" s="19" t="str">
        <f>IFERROR(G81*H81,"")</f>
        <v/>
      </c>
      <c r="J81" s="19"/>
    </row>
    <row r="82" spans="1:10" ht="21">
      <c r="A82" s="14">
        <v>77</v>
      </c>
      <c r="C82" s="16"/>
      <c r="D82" s="14" t="str">
        <f>IF(Sales[[#This Row],[Product ID]]="","",Sales[[#This Row],[Date]]&amp;Sales[[#This Row],[Invoice no]])</f>
        <v/>
      </c>
      <c r="E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" s="19" t="str">
        <f>IF(_xlfn.XLOOKUP(Sales[[#This Row],[Product Name]],Inventory[Product Name],Inventory[Sale Price],"")=0,"",_xlfn.XLOOKUP(Sales[[#This Row],[Product Name]],Inventory[Product Name],Inventory[Sale Price]))</f>
        <v/>
      </c>
      <c r="I82" s="19" t="str">
        <f>IFERROR(G82*H82,"")</f>
        <v/>
      </c>
      <c r="J82" s="19"/>
    </row>
    <row r="83" spans="1:10" ht="21">
      <c r="A83" s="14">
        <v>78</v>
      </c>
      <c r="C83" s="16"/>
      <c r="D83" s="14" t="str">
        <f>IF(Sales[[#This Row],[Product ID]]="","",Sales[[#This Row],[Date]]&amp;Sales[[#This Row],[Invoice no]])</f>
        <v/>
      </c>
      <c r="E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" s="19" t="str">
        <f>IF(_xlfn.XLOOKUP(Sales[[#This Row],[Product Name]],Inventory[Product Name],Inventory[Sale Price],"")=0,"",_xlfn.XLOOKUP(Sales[[#This Row],[Product Name]],Inventory[Product Name],Inventory[Sale Price]))</f>
        <v/>
      </c>
      <c r="I83" s="19" t="str">
        <f>IFERROR(G83*H83,"")</f>
        <v/>
      </c>
      <c r="J83" s="19"/>
    </row>
    <row r="84" spans="1:10" ht="21">
      <c r="A84" s="14">
        <v>79</v>
      </c>
      <c r="C84" s="16"/>
      <c r="D84" s="14" t="str">
        <f>IF(Sales[[#This Row],[Product ID]]="","",Sales[[#This Row],[Date]]&amp;Sales[[#This Row],[Invoice no]])</f>
        <v/>
      </c>
      <c r="E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" s="19" t="str">
        <f>IF(_xlfn.XLOOKUP(Sales[[#This Row],[Product Name]],Inventory[Product Name],Inventory[Sale Price],"")=0,"",_xlfn.XLOOKUP(Sales[[#This Row],[Product Name]],Inventory[Product Name],Inventory[Sale Price]))</f>
        <v/>
      </c>
      <c r="I84" s="19" t="str">
        <f>IFERROR(G84*H84,"")</f>
        <v/>
      </c>
      <c r="J84" s="19"/>
    </row>
    <row r="85" spans="1:10" ht="21">
      <c r="A85" s="14">
        <v>80</v>
      </c>
      <c r="C85" s="16"/>
      <c r="D85" s="14" t="str">
        <f>IF(Sales[[#This Row],[Product ID]]="","",Sales[[#This Row],[Date]]&amp;Sales[[#This Row],[Invoice no]])</f>
        <v/>
      </c>
      <c r="E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" s="19" t="str">
        <f>IF(_xlfn.XLOOKUP(Sales[[#This Row],[Product Name]],Inventory[Product Name],Inventory[Sale Price],"")=0,"",_xlfn.XLOOKUP(Sales[[#This Row],[Product Name]],Inventory[Product Name],Inventory[Sale Price]))</f>
        <v/>
      </c>
      <c r="I85" s="19" t="str">
        <f>IFERROR(G85*H85,"")</f>
        <v/>
      </c>
      <c r="J85" s="19"/>
    </row>
    <row r="86" spans="1:10" ht="21">
      <c r="A86" s="14">
        <v>81</v>
      </c>
      <c r="C86" s="16"/>
      <c r="D86" s="14" t="str">
        <f>IF(Sales[[#This Row],[Product ID]]="","",Sales[[#This Row],[Date]]&amp;Sales[[#This Row],[Invoice no]])</f>
        <v/>
      </c>
      <c r="E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" s="19" t="str">
        <f>IF(_xlfn.XLOOKUP(Sales[[#This Row],[Product Name]],Inventory[Product Name],Inventory[Sale Price],"")=0,"",_xlfn.XLOOKUP(Sales[[#This Row],[Product Name]],Inventory[Product Name],Inventory[Sale Price]))</f>
        <v/>
      </c>
      <c r="I86" s="19" t="str">
        <f>IFERROR(G86*H86,"")</f>
        <v/>
      </c>
      <c r="J86" s="19"/>
    </row>
    <row r="87" spans="1:10" ht="21">
      <c r="A87" s="14">
        <v>82</v>
      </c>
      <c r="C87" s="16"/>
      <c r="D87" s="14" t="str">
        <f>IF(Sales[[#This Row],[Product ID]]="","",Sales[[#This Row],[Date]]&amp;Sales[[#This Row],[Invoice no]])</f>
        <v/>
      </c>
      <c r="E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" s="19" t="str">
        <f>IF(_xlfn.XLOOKUP(Sales[[#This Row],[Product Name]],Inventory[Product Name],Inventory[Sale Price],"")=0,"",_xlfn.XLOOKUP(Sales[[#This Row],[Product Name]],Inventory[Product Name],Inventory[Sale Price]))</f>
        <v/>
      </c>
      <c r="I87" s="19" t="str">
        <f>IFERROR(G87*H87,"")</f>
        <v/>
      </c>
      <c r="J87" s="19"/>
    </row>
    <row r="88" spans="1:10" ht="21">
      <c r="A88" s="14">
        <v>83</v>
      </c>
      <c r="C88" s="16"/>
      <c r="D88" s="14" t="str">
        <f>IF(Sales[[#This Row],[Product ID]]="","",Sales[[#This Row],[Date]]&amp;Sales[[#This Row],[Invoice no]])</f>
        <v/>
      </c>
      <c r="E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" s="19" t="str">
        <f>IF(_xlfn.XLOOKUP(Sales[[#This Row],[Product Name]],Inventory[Product Name],Inventory[Sale Price],"")=0,"",_xlfn.XLOOKUP(Sales[[#This Row],[Product Name]],Inventory[Product Name],Inventory[Sale Price]))</f>
        <v/>
      </c>
      <c r="I88" s="19" t="str">
        <f>IFERROR(G88*H88,"")</f>
        <v/>
      </c>
      <c r="J88" s="19"/>
    </row>
    <row r="89" spans="1:10" ht="21">
      <c r="A89" s="14">
        <v>84</v>
      </c>
      <c r="C89" s="16"/>
      <c r="D89" s="14" t="str">
        <f>IF(Sales[[#This Row],[Product ID]]="","",Sales[[#This Row],[Date]]&amp;Sales[[#This Row],[Invoice no]])</f>
        <v/>
      </c>
      <c r="E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" s="19" t="str">
        <f>IF(_xlfn.XLOOKUP(Sales[[#This Row],[Product Name]],Inventory[Product Name],Inventory[Sale Price],"")=0,"",_xlfn.XLOOKUP(Sales[[#This Row],[Product Name]],Inventory[Product Name],Inventory[Sale Price]))</f>
        <v/>
      </c>
      <c r="I89" s="19" t="str">
        <f>IFERROR(G89*H89,"")</f>
        <v/>
      </c>
      <c r="J89" s="19"/>
    </row>
    <row r="90" spans="1:10" ht="21">
      <c r="A90" s="14">
        <v>85</v>
      </c>
      <c r="C90" s="16"/>
      <c r="D90" s="14" t="str">
        <f>IF(Sales[[#This Row],[Product ID]]="","",Sales[[#This Row],[Date]]&amp;Sales[[#This Row],[Invoice no]])</f>
        <v/>
      </c>
      <c r="E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" s="19" t="str">
        <f>IF(_xlfn.XLOOKUP(Sales[[#This Row],[Product Name]],Inventory[Product Name],Inventory[Sale Price],"")=0,"",_xlfn.XLOOKUP(Sales[[#This Row],[Product Name]],Inventory[Product Name],Inventory[Sale Price]))</f>
        <v/>
      </c>
      <c r="I90" s="19" t="str">
        <f>IFERROR(G90*H90,"")</f>
        <v/>
      </c>
      <c r="J90" s="19"/>
    </row>
    <row r="91" spans="1:10" ht="21">
      <c r="A91" s="14">
        <v>86</v>
      </c>
      <c r="C91" s="16"/>
      <c r="D91" s="14" t="str">
        <f>IF(Sales[[#This Row],[Product ID]]="","",Sales[[#This Row],[Date]]&amp;Sales[[#This Row],[Invoice no]])</f>
        <v/>
      </c>
      <c r="E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" s="19" t="str">
        <f>IF(_xlfn.XLOOKUP(Sales[[#This Row],[Product Name]],Inventory[Product Name],Inventory[Sale Price],"")=0,"",_xlfn.XLOOKUP(Sales[[#This Row],[Product Name]],Inventory[Product Name],Inventory[Sale Price]))</f>
        <v/>
      </c>
      <c r="I91" s="19" t="str">
        <f>IFERROR(G91*H91,"")</f>
        <v/>
      </c>
      <c r="J91" s="19"/>
    </row>
    <row r="92" spans="1:10" ht="21">
      <c r="A92" s="14">
        <v>87</v>
      </c>
      <c r="C92" s="16"/>
      <c r="D92" s="14" t="str">
        <f>IF(Sales[[#This Row],[Product ID]]="","",Sales[[#This Row],[Date]]&amp;Sales[[#This Row],[Invoice no]])</f>
        <v/>
      </c>
      <c r="E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" s="19" t="str">
        <f>IF(_xlfn.XLOOKUP(Sales[[#This Row],[Product Name]],Inventory[Product Name],Inventory[Sale Price],"")=0,"",_xlfn.XLOOKUP(Sales[[#This Row],[Product Name]],Inventory[Product Name],Inventory[Sale Price]))</f>
        <v/>
      </c>
      <c r="I92" s="19" t="str">
        <f>IFERROR(G92*H92,"")</f>
        <v/>
      </c>
      <c r="J92" s="19"/>
    </row>
    <row r="93" spans="1:10" ht="21">
      <c r="A93" s="14">
        <v>88</v>
      </c>
      <c r="C93" s="16"/>
      <c r="D93" s="14" t="str">
        <f>IF(Sales[[#This Row],[Product ID]]="","",Sales[[#This Row],[Date]]&amp;Sales[[#This Row],[Invoice no]])</f>
        <v/>
      </c>
      <c r="E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" s="19" t="str">
        <f>IF(_xlfn.XLOOKUP(Sales[[#This Row],[Product Name]],Inventory[Product Name],Inventory[Sale Price],"")=0,"",_xlfn.XLOOKUP(Sales[[#This Row],[Product Name]],Inventory[Product Name],Inventory[Sale Price]))</f>
        <v/>
      </c>
      <c r="I93" s="19" t="str">
        <f>IFERROR(G93*H93,"")</f>
        <v/>
      </c>
      <c r="J93" s="19"/>
    </row>
    <row r="94" spans="1:10" ht="21">
      <c r="A94" s="14">
        <v>89</v>
      </c>
      <c r="C94" s="16"/>
      <c r="D94" s="14" t="str">
        <f>IF(Sales[[#This Row],[Product ID]]="","",Sales[[#This Row],[Date]]&amp;Sales[[#This Row],[Invoice no]])</f>
        <v/>
      </c>
      <c r="E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" s="19" t="str">
        <f>IF(_xlfn.XLOOKUP(Sales[[#This Row],[Product Name]],Inventory[Product Name],Inventory[Sale Price],"")=0,"",_xlfn.XLOOKUP(Sales[[#This Row],[Product Name]],Inventory[Product Name],Inventory[Sale Price]))</f>
        <v/>
      </c>
      <c r="I94" s="19" t="str">
        <f>IFERROR(G94*H94,"")</f>
        <v/>
      </c>
      <c r="J94" s="19"/>
    </row>
    <row r="95" spans="1:10" ht="21">
      <c r="A95" s="14">
        <v>90</v>
      </c>
      <c r="C95" s="16"/>
      <c r="D95" s="14" t="str">
        <f>IF(Sales[[#This Row],[Product ID]]="","",Sales[[#This Row],[Date]]&amp;Sales[[#This Row],[Invoice no]])</f>
        <v/>
      </c>
      <c r="E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" s="19" t="str">
        <f>IF(_xlfn.XLOOKUP(Sales[[#This Row],[Product Name]],Inventory[Product Name],Inventory[Sale Price],"")=0,"",_xlfn.XLOOKUP(Sales[[#This Row],[Product Name]],Inventory[Product Name],Inventory[Sale Price]))</f>
        <v/>
      </c>
      <c r="I95" s="19" t="str">
        <f>IFERROR(G95*H95,"")</f>
        <v/>
      </c>
      <c r="J95" s="19"/>
    </row>
    <row r="96" spans="1:10" ht="21">
      <c r="A96" s="14">
        <v>91</v>
      </c>
      <c r="C96" s="16"/>
      <c r="D96" s="14" t="str">
        <f>IF(Sales[[#This Row],[Product ID]]="","",Sales[[#This Row],[Date]]&amp;Sales[[#This Row],[Invoice no]])</f>
        <v/>
      </c>
      <c r="E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" s="19" t="str">
        <f>IF(_xlfn.XLOOKUP(Sales[[#This Row],[Product Name]],Inventory[Product Name],Inventory[Sale Price],"")=0,"",_xlfn.XLOOKUP(Sales[[#This Row],[Product Name]],Inventory[Product Name],Inventory[Sale Price]))</f>
        <v/>
      </c>
      <c r="I96" s="19" t="str">
        <f>IFERROR(G96*H96,"")</f>
        <v/>
      </c>
      <c r="J96" s="19"/>
    </row>
    <row r="97" spans="1:10" ht="21">
      <c r="A97" s="14">
        <v>92</v>
      </c>
      <c r="C97" s="16"/>
      <c r="D97" s="14" t="str">
        <f>IF(Sales[[#This Row],[Product ID]]="","",Sales[[#This Row],[Date]]&amp;Sales[[#This Row],[Invoice no]])</f>
        <v/>
      </c>
      <c r="E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" s="19" t="str">
        <f>IF(_xlfn.XLOOKUP(Sales[[#This Row],[Product Name]],Inventory[Product Name],Inventory[Sale Price],"")=0,"",_xlfn.XLOOKUP(Sales[[#This Row],[Product Name]],Inventory[Product Name],Inventory[Sale Price]))</f>
        <v/>
      </c>
      <c r="I97" s="19" t="str">
        <f>IFERROR(G97*H97,"")</f>
        <v/>
      </c>
      <c r="J97" s="19"/>
    </row>
    <row r="98" spans="1:10" ht="21">
      <c r="A98" s="14">
        <v>93</v>
      </c>
      <c r="C98" s="16"/>
      <c r="D98" s="14" t="str">
        <f>IF(Sales[[#This Row],[Product ID]]="","",Sales[[#This Row],[Date]]&amp;Sales[[#This Row],[Invoice no]])</f>
        <v/>
      </c>
      <c r="E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" s="19" t="str">
        <f>IF(_xlfn.XLOOKUP(Sales[[#This Row],[Product Name]],Inventory[Product Name],Inventory[Sale Price],"")=0,"",_xlfn.XLOOKUP(Sales[[#This Row],[Product Name]],Inventory[Product Name],Inventory[Sale Price]))</f>
        <v/>
      </c>
      <c r="I98" s="19" t="str">
        <f>IFERROR(G98*H98,"")</f>
        <v/>
      </c>
      <c r="J98" s="19"/>
    </row>
    <row r="99" spans="1:10" ht="21">
      <c r="A99" s="14">
        <v>94</v>
      </c>
      <c r="C99" s="16"/>
      <c r="D99" s="14" t="str">
        <f>IF(Sales[[#This Row],[Product ID]]="","",Sales[[#This Row],[Date]]&amp;Sales[[#This Row],[Invoice no]])</f>
        <v/>
      </c>
      <c r="E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" s="19" t="str">
        <f>IF(_xlfn.XLOOKUP(Sales[[#This Row],[Product Name]],Inventory[Product Name],Inventory[Sale Price],"")=0,"",_xlfn.XLOOKUP(Sales[[#This Row],[Product Name]],Inventory[Product Name],Inventory[Sale Price]))</f>
        <v/>
      </c>
      <c r="I99" s="19" t="str">
        <f>IFERROR(G99*H99,"")</f>
        <v/>
      </c>
      <c r="J99" s="19"/>
    </row>
    <row r="100" spans="1:10" ht="21">
      <c r="A100" s="14">
        <v>95</v>
      </c>
      <c r="C100" s="16"/>
      <c r="D100" s="14" t="str">
        <f>IF(Sales[[#This Row],[Product ID]]="","",Sales[[#This Row],[Date]]&amp;Sales[[#This Row],[Invoice no]])</f>
        <v/>
      </c>
      <c r="E1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" s="19" t="str">
        <f>IF(_xlfn.XLOOKUP(Sales[[#This Row],[Product Name]],Inventory[Product Name],Inventory[Sale Price],"")=0,"",_xlfn.XLOOKUP(Sales[[#This Row],[Product Name]],Inventory[Product Name],Inventory[Sale Price]))</f>
        <v/>
      </c>
      <c r="I100" s="19" t="str">
        <f>IFERROR(G100*H100,"")</f>
        <v/>
      </c>
      <c r="J100" s="19"/>
    </row>
    <row r="101" spans="1:10" ht="21">
      <c r="A101" s="14">
        <v>96</v>
      </c>
      <c r="C101" s="16"/>
      <c r="D101" s="14" t="str">
        <f>IF(Sales[[#This Row],[Product ID]]="","",Sales[[#This Row],[Date]]&amp;Sales[[#This Row],[Invoice no]])</f>
        <v/>
      </c>
      <c r="E1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" s="19" t="str">
        <f>IF(_xlfn.XLOOKUP(Sales[[#This Row],[Product Name]],Inventory[Product Name],Inventory[Sale Price],"")=0,"",_xlfn.XLOOKUP(Sales[[#This Row],[Product Name]],Inventory[Product Name],Inventory[Sale Price]))</f>
        <v/>
      </c>
      <c r="I101" s="19" t="str">
        <f>IFERROR(G101*H101,"")</f>
        <v/>
      </c>
      <c r="J101" s="19"/>
    </row>
    <row r="102" spans="1:10" ht="21">
      <c r="A102" s="14">
        <v>97</v>
      </c>
      <c r="C102" s="16"/>
      <c r="D102" s="14" t="str">
        <f>IF(Sales[[#This Row],[Product ID]]="","",Sales[[#This Row],[Date]]&amp;Sales[[#This Row],[Invoice no]])</f>
        <v/>
      </c>
      <c r="E1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" s="19" t="str">
        <f>IF(_xlfn.XLOOKUP(Sales[[#This Row],[Product Name]],Inventory[Product Name],Inventory[Sale Price],"")=0,"",_xlfn.XLOOKUP(Sales[[#This Row],[Product Name]],Inventory[Product Name],Inventory[Sale Price]))</f>
        <v/>
      </c>
      <c r="I102" s="19" t="str">
        <f>IFERROR(G102*H102,"")</f>
        <v/>
      </c>
      <c r="J102" s="19"/>
    </row>
    <row r="103" spans="1:10" ht="21">
      <c r="A103" s="14">
        <v>98</v>
      </c>
      <c r="C103" s="16"/>
      <c r="D103" s="14" t="str">
        <f>IF(Sales[[#This Row],[Product ID]]="","",Sales[[#This Row],[Date]]&amp;Sales[[#This Row],[Invoice no]])</f>
        <v/>
      </c>
      <c r="E1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" s="19" t="str">
        <f>IF(_xlfn.XLOOKUP(Sales[[#This Row],[Product Name]],Inventory[Product Name],Inventory[Sale Price],"")=0,"",_xlfn.XLOOKUP(Sales[[#This Row],[Product Name]],Inventory[Product Name],Inventory[Sale Price]))</f>
        <v/>
      </c>
      <c r="I103" s="19" t="str">
        <f>IFERROR(G103*H103,"")</f>
        <v/>
      </c>
      <c r="J103" s="19"/>
    </row>
    <row r="104" spans="1:10" ht="21">
      <c r="A104" s="14">
        <v>99</v>
      </c>
      <c r="C104" s="16"/>
      <c r="D104" s="14" t="str">
        <f>IF(Sales[[#This Row],[Product ID]]="","",Sales[[#This Row],[Date]]&amp;Sales[[#This Row],[Invoice no]])</f>
        <v/>
      </c>
      <c r="E1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" s="19" t="str">
        <f>IF(_xlfn.XLOOKUP(Sales[[#This Row],[Product Name]],Inventory[Product Name],Inventory[Sale Price],"")=0,"",_xlfn.XLOOKUP(Sales[[#This Row],[Product Name]],Inventory[Product Name],Inventory[Sale Price]))</f>
        <v/>
      </c>
      <c r="I104" s="19" t="str">
        <f>IFERROR(G104*H104,"")</f>
        <v/>
      </c>
      <c r="J104" s="19"/>
    </row>
    <row r="105" spans="1:10" ht="21">
      <c r="A105" s="14">
        <v>100</v>
      </c>
      <c r="C105" s="16"/>
      <c r="D105" s="14" t="str">
        <f>IF(Sales[[#This Row],[Product ID]]="","",Sales[[#This Row],[Date]]&amp;Sales[[#This Row],[Invoice no]])</f>
        <v/>
      </c>
      <c r="E1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" s="19" t="str">
        <f>IF(_xlfn.XLOOKUP(Sales[[#This Row],[Product Name]],Inventory[Product Name],Inventory[Sale Price],"")=0,"",_xlfn.XLOOKUP(Sales[[#This Row],[Product Name]],Inventory[Product Name],Inventory[Sale Price]))</f>
        <v/>
      </c>
      <c r="I105" s="19" t="str">
        <f>IFERROR(G105*H105,"")</f>
        <v/>
      </c>
      <c r="J105" s="19"/>
    </row>
    <row r="106" spans="1:10" ht="21">
      <c r="A106" s="14">
        <v>101</v>
      </c>
      <c r="C106" s="16"/>
      <c r="D106" s="14" t="str">
        <f>IF(Sales[[#This Row],[Product ID]]="","",Sales[[#This Row],[Date]]&amp;Sales[[#This Row],[Invoice no]])</f>
        <v/>
      </c>
      <c r="E1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" s="19" t="str">
        <f>IF(_xlfn.XLOOKUP(Sales[[#This Row],[Product Name]],Inventory[Product Name],Inventory[Sale Price],"")=0,"",_xlfn.XLOOKUP(Sales[[#This Row],[Product Name]],Inventory[Product Name],Inventory[Sale Price]))</f>
        <v/>
      </c>
      <c r="I106" s="19" t="str">
        <f>IFERROR(G106*H106,"")</f>
        <v/>
      </c>
      <c r="J106" s="19"/>
    </row>
    <row r="107" spans="1:10" ht="21">
      <c r="A107" s="14">
        <v>102</v>
      </c>
      <c r="C107" s="16"/>
      <c r="D107" s="14" t="str">
        <f>IF(Sales[[#This Row],[Product ID]]="","",Sales[[#This Row],[Date]]&amp;Sales[[#This Row],[Invoice no]])</f>
        <v/>
      </c>
      <c r="E1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" s="19" t="str">
        <f>IF(_xlfn.XLOOKUP(Sales[[#This Row],[Product Name]],Inventory[Product Name],Inventory[Sale Price],"")=0,"",_xlfn.XLOOKUP(Sales[[#This Row],[Product Name]],Inventory[Product Name],Inventory[Sale Price]))</f>
        <v/>
      </c>
      <c r="I107" s="19" t="str">
        <f>IFERROR(G107*H107,"")</f>
        <v/>
      </c>
      <c r="J107" s="19"/>
    </row>
    <row r="108" spans="1:10" ht="21">
      <c r="A108" s="14">
        <v>103</v>
      </c>
      <c r="C108" s="16"/>
      <c r="D108" s="14" t="str">
        <f>IF(Sales[[#This Row],[Product ID]]="","",Sales[[#This Row],[Date]]&amp;Sales[[#This Row],[Invoice no]])</f>
        <v/>
      </c>
      <c r="E1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" s="19" t="str">
        <f>IF(_xlfn.XLOOKUP(Sales[[#This Row],[Product Name]],Inventory[Product Name],Inventory[Sale Price],"")=0,"",_xlfn.XLOOKUP(Sales[[#This Row],[Product Name]],Inventory[Product Name],Inventory[Sale Price]))</f>
        <v/>
      </c>
      <c r="I108" s="19" t="str">
        <f>IFERROR(G108*H108,"")</f>
        <v/>
      </c>
      <c r="J108" s="19"/>
    </row>
    <row r="109" spans="1:10" ht="21">
      <c r="A109" s="14">
        <v>104</v>
      </c>
      <c r="C109" s="16"/>
      <c r="D109" s="14" t="str">
        <f>IF(Sales[[#This Row],[Product ID]]="","",Sales[[#This Row],[Date]]&amp;Sales[[#This Row],[Invoice no]])</f>
        <v/>
      </c>
      <c r="E1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" s="19" t="str">
        <f>IF(_xlfn.XLOOKUP(Sales[[#This Row],[Product Name]],Inventory[Product Name],Inventory[Sale Price],"")=0,"",_xlfn.XLOOKUP(Sales[[#This Row],[Product Name]],Inventory[Product Name],Inventory[Sale Price]))</f>
        <v/>
      </c>
      <c r="I109" s="19" t="str">
        <f>IFERROR(G109*H109,"")</f>
        <v/>
      </c>
      <c r="J109" s="19"/>
    </row>
    <row r="110" spans="1:10" ht="21">
      <c r="A110" s="14">
        <v>105</v>
      </c>
      <c r="C110" s="16"/>
      <c r="D110" s="14" t="str">
        <f>IF(Sales[[#This Row],[Product ID]]="","",Sales[[#This Row],[Date]]&amp;Sales[[#This Row],[Invoice no]])</f>
        <v/>
      </c>
      <c r="E1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" s="19" t="str">
        <f>IF(_xlfn.XLOOKUP(Sales[[#This Row],[Product Name]],Inventory[Product Name],Inventory[Sale Price],"")=0,"",_xlfn.XLOOKUP(Sales[[#This Row],[Product Name]],Inventory[Product Name],Inventory[Sale Price]))</f>
        <v/>
      </c>
      <c r="I110" s="19" t="str">
        <f>IFERROR(G110*H110,"")</f>
        <v/>
      </c>
      <c r="J110" s="19"/>
    </row>
    <row r="111" spans="1:10" ht="21">
      <c r="A111" s="14">
        <v>106</v>
      </c>
      <c r="C111" s="16"/>
      <c r="D111" s="14" t="str">
        <f>IF(Sales[[#This Row],[Product ID]]="","",Sales[[#This Row],[Date]]&amp;Sales[[#This Row],[Invoice no]])</f>
        <v/>
      </c>
      <c r="E1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" s="19" t="str">
        <f>IF(_xlfn.XLOOKUP(Sales[[#This Row],[Product Name]],Inventory[Product Name],Inventory[Sale Price],"")=0,"",_xlfn.XLOOKUP(Sales[[#This Row],[Product Name]],Inventory[Product Name],Inventory[Sale Price]))</f>
        <v/>
      </c>
      <c r="I111" s="19" t="str">
        <f>IFERROR(G111*H111,"")</f>
        <v/>
      </c>
      <c r="J111" s="19"/>
    </row>
    <row r="112" spans="1:10" ht="21">
      <c r="A112" s="14">
        <v>107</v>
      </c>
      <c r="C112" s="16"/>
      <c r="D112" s="14" t="str">
        <f>IF(Sales[[#This Row],[Product ID]]="","",Sales[[#This Row],[Date]]&amp;Sales[[#This Row],[Invoice no]])</f>
        <v/>
      </c>
      <c r="E1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" s="19" t="str">
        <f>IF(_xlfn.XLOOKUP(Sales[[#This Row],[Product Name]],Inventory[Product Name],Inventory[Sale Price],"")=0,"",_xlfn.XLOOKUP(Sales[[#This Row],[Product Name]],Inventory[Product Name],Inventory[Sale Price]))</f>
        <v/>
      </c>
      <c r="I112" s="19" t="str">
        <f>IFERROR(G112*H112,"")</f>
        <v/>
      </c>
      <c r="J112" s="19"/>
    </row>
    <row r="113" spans="1:10" ht="21">
      <c r="A113" s="14">
        <v>108</v>
      </c>
      <c r="C113" s="16"/>
      <c r="D113" s="14" t="str">
        <f>IF(Sales[[#This Row],[Product ID]]="","",Sales[[#This Row],[Date]]&amp;Sales[[#This Row],[Invoice no]])</f>
        <v/>
      </c>
      <c r="E1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" s="19" t="str">
        <f>IF(_xlfn.XLOOKUP(Sales[[#This Row],[Product Name]],Inventory[Product Name],Inventory[Sale Price],"")=0,"",_xlfn.XLOOKUP(Sales[[#This Row],[Product Name]],Inventory[Product Name],Inventory[Sale Price]))</f>
        <v/>
      </c>
      <c r="I113" s="19" t="str">
        <f>IFERROR(G113*H113,"")</f>
        <v/>
      </c>
      <c r="J113" s="19"/>
    </row>
    <row r="114" spans="1:10" ht="21">
      <c r="A114" s="14">
        <v>109</v>
      </c>
      <c r="C114" s="16"/>
      <c r="D114" s="14" t="str">
        <f>IF(Sales[[#This Row],[Product ID]]="","",Sales[[#This Row],[Date]]&amp;Sales[[#This Row],[Invoice no]])</f>
        <v/>
      </c>
      <c r="E1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" s="19" t="str">
        <f>IF(_xlfn.XLOOKUP(Sales[[#This Row],[Product Name]],Inventory[Product Name],Inventory[Sale Price],"")=0,"",_xlfn.XLOOKUP(Sales[[#This Row],[Product Name]],Inventory[Product Name],Inventory[Sale Price]))</f>
        <v/>
      </c>
      <c r="I114" s="19" t="str">
        <f>IFERROR(G114*H114,"")</f>
        <v/>
      </c>
      <c r="J114" s="19"/>
    </row>
    <row r="115" spans="1:10" ht="21">
      <c r="A115" s="14">
        <v>110</v>
      </c>
      <c r="C115" s="16"/>
      <c r="D115" s="14" t="str">
        <f>IF(Sales[[#This Row],[Product ID]]="","",Sales[[#This Row],[Date]]&amp;Sales[[#This Row],[Invoice no]])</f>
        <v/>
      </c>
      <c r="E1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" s="19" t="str">
        <f>IF(_xlfn.XLOOKUP(Sales[[#This Row],[Product Name]],Inventory[Product Name],Inventory[Sale Price],"")=0,"",_xlfn.XLOOKUP(Sales[[#This Row],[Product Name]],Inventory[Product Name],Inventory[Sale Price]))</f>
        <v/>
      </c>
      <c r="I115" s="19" t="str">
        <f>IFERROR(G115*H115,"")</f>
        <v/>
      </c>
      <c r="J115" s="19"/>
    </row>
    <row r="116" spans="1:10" ht="21">
      <c r="A116" s="14">
        <v>111</v>
      </c>
      <c r="C116" s="16"/>
      <c r="D116" s="14" t="str">
        <f>IF(Sales[[#This Row],[Product ID]]="","",Sales[[#This Row],[Date]]&amp;Sales[[#This Row],[Invoice no]])</f>
        <v/>
      </c>
      <c r="E1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" s="19" t="str">
        <f>IF(_xlfn.XLOOKUP(Sales[[#This Row],[Product Name]],Inventory[Product Name],Inventory[Sale Price],"")=0,"",_xlfn.XLOOKUP(Sales[[#This Row],[Product Name]],Inventory[Product Name],Inventory[Sale Price]))</f>
        <v/>
      </c>
      <c r="I116" s="19" t="str">
        <f>IFERROR(G116*H116,"")</f>
        <v/>
      </c>
      <c r="J116" s="19"/>
    </row>
    <row r="117" spans="1:10" ht="21">
      <c r="A117" s="14">
        <v>112</v>
      </c>
      <c r="C117" s="16"/>
      <c r="D117" s="14" t="str">
        <f>IF(Sales[[#This Row],[Product ID]]="","",Sales[[#This Row],[Date]]&amp;Sales[[#This Row],[Invoice no]])</f>
        <v/>
      </c>
      <c r="E1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" s="19" t="str">
        <f>IF(_xlfn.XLOOKUP(Sales[[#This Row],[Product Name]],Inventory[Product Name],Inventory[Sale Price],"")=0,"",_xlfn.XLOOKUP(Sales[[#This Row],[Product Name]],Inventory[Product Name],Inventory[Sale Price]))</f>
        <v/>
      </c>
      <c r="I117" s="19" t="str">
        <f>IFERROR(G117*H117,"")</f>
        <v/>
      </c>
      <c r="J117" s="19"/>
    </row>
    <row r="118" spans="1:10" ht="21">
      <c r="A118" s="14">
        <v>113</v>
      </c>
      <c r="C118" s="16"/>
      <c r="D118" s="14" t="str">
        <f>IF(Sales[[#This Row],[Product ID]]="","",Sales[[#This Row],[Date]]&amp;Sales[[#This Row],[Invoice no]])</f>
        <v/>
      </c>
      <c r="E1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" s="19" t="str">
        <f>IF(_xlfn.XLOOKUP(Sales[[#This Row],[Product Name]],Inventory[Product Name],Inventory[Sale Price],"")=0,"",_xlfn.XLOOKUP(Sales[[#This Row],[Product Name]],Inventory[Product Name],Inventory[Sale Price]))</f>
        <v/>
      </c>
      <c r="I118" s="19" t="str">
        <f>IFERROR(G118*H118,"")</f>
        <v/>
      </c>
      <c r="J118" s="19"/>
    </row>
    <row r="119" spans="1:10" ht="21">
      <c r="A119" s="14">
        <v>114</v>
      </c>
      <c r="C119" s="16"/>
      <c r="D119" s="14" t="str">
        <f>IF(Sales[[#This Row],[Product ID]]="","",Sales[[#This Row],[Date]]&amp;Sales[[#This Row],[Invoice no]])</f>
        <v/>
      </c>
      <c r="E1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" s="19" t="str">
        <f>IF(_xlfn.XLOOKUP(Sales[[#This Row],[Product Name]],Inventory[Product Name],Inventory[Sale Price],"")=0,"",_xlfn.XLOOKUP(Sales[[#This Row],[Product Name]],Inventory[Product Name],Inventory[Sale Price]))</f>
        <v/>
      </c>
      <c r="I119" s="19" t="str">
        <f>IFERROR(G119*H119,"")</f>
        <v/>
      </c>
      <c r="J119" s="19"/>
    </row>
    <row r="120" spans="1:10" ht="21">
      <c r="A120" s="14">
        <v>115</v>
      </c>
      <c r="C120" s="16"/>
      <c r="D120" s="14" t="str">
        <f>IF(Sales[[#This Row],[Product ID]]="","",Sales[[#This Row],[Date]]&amp;Sales[[#This Row],[Invoice no]])</f>
        <v/>
      </c>
      <c r="E1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" s="19" t="str">
        <f>IF(_xlfn.XLOOKUP(Sales[[#This Row],[Product Name]],Inventory[Product Name],Inventory[Sale Price],"")=0,"",_xlfn.XLOOKUP(Sales[[#This Row],[Product Name]],Inventory[Product Name],Inventory[Sale Price]))</f>
        <v/>
      </c>
      <c r="I120" s="19" t="str">
        <f>IFERROR(G120*H120,"")</f>
        <v/>
      </c>
      <c r="J120" s="19"/>
    </row>
    <row r="121" spans="1:10" ht="21">
      <c r="A121" s="14">
        <v>116</v>
      </c>
      <c r="C121" s="16"/>
      <c r="D121" s="14" t="str">
        <f>IF(Sales[[#This Row],[Product ID]]="","",Sales[[#This Row],[Date]]&amp;Sales[[#This Row],[Invoice no]])</f>
        <v/>
      </c>
      <c r="E1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" s="19" t="str">
        <f>IF(_xlfn.XLOOKUP(Sales[[#This Row],[Product Name]],Inventory[Product Name],Inventory[Sale Price],"")=0,"",_xlfn.XLOOKUP(Sales[[#This Row],[Product Name]],Inventory[Product Name],Inventory[Sale Price]))</f>
        <v/>
      </c>
      <c r="I121" s="19" t="str">
        <f>IFERROR(G121*H121,"")</f>
        <v/>
      </c>
      <c r="J121" s="19"/>
    </row>
    <row r="122" spans="1:10" ht="21">
      <c r="A122" s="14">
        <v>117</v>
      </c>
      <c r="C122" s="16"/>
      <c r="D122" s="14" t="str">
        <f>IF(Sales[[#This Row],[Product ID]]="","",Sales[[#This Row],[Date]]&amp;Sales[[#This Row],[Invoice no]])</f>
        <v/>
      </c>
      <c r="E1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" s="19" t="str">
        <f>IF(_xlfn.XLOOKUP(Sales[[#This Row],[Product Name]],Inventory[Product Name],Inventory[Sale Price],"")=0,"",_xlfn.XLOOKUP(Sales[[#This Row],[Product Name]],Inventory[Product Name],Inventory[Sale Price]))</f>
        <v/>
      </c>
      <c r="I122" s="19" t="str">
        <f>IFERROR(G122*H122,"")</f>
        <v/>
      </c>
      <c r="J122" s="19"/>
    </row>
    <row r="123" spans="1:10" ht="21">
      <c r="A123" s="14">
        <v>118</v>
      </c>
      <c r="C123" s="16"/>
      <c r="D123" s="14" t="str">
        <f>IF(Sales[[#This Row],[Product ID]]="","",Sales[[#This Row],[Date]]&amp;Sales[[#This Row],[Invoice no]])</f>
        <v/>
      </c>
      <c r="E1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" s="19" t="str">
        <f>IF(_xlfn.XLOOKUP(Sales[[#This Row],[Product Name]],Inventory[Product Name],Inventory[Sale Price],"")=0,"",_xlfn.XLOOKUP(Sales[[#This Row],[Product Name]],Inventory[Product Name],Inventory[Sale Price]))</f>
        <v/>
      </c>
      <c r="I123" s="19" t="str">
        <f>IFERROR(G123*H123,"")</f>
        <v/>
      </c>
      <c r="J123" s="19"/>
    </row>
    <row r="124" spans="1:10" ht="21">
      <c r="A124" s="14">
        <v>119</v>
      </c>
      <c r="C124" s="16"/>
      <c r="D124" s="14" t="str">
        <f>IF(Sales[[#This Row],[Product ID]]="","",Sales[[#This Row],[Date]]&amp;Sales[[#This Row],[Invoice no]])</f>
        <v/>
      </c>
      <c r="E1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" s="19" t="str">
        <f>IF(_xlfn.XLOOKUP(Sales[[#This Row],[Product Name]],Inventory[Product Name],Inventory[Sale Price],"")=0,"",_xlfn.XLOOKUP(Sales[[#This Row],[Product Name]],Inventory[Product Name],Inventory[Sale Price]))</f>
        <v/>
      </c>
      <c r="I124" s="19" t="str">
        <f>IFERROR(G124*H124,"")</f>
        <v/>
      </c>
      <c r="J124" s="19"/>
    </row>
    <row r="125" spans="1:10" ht="21">
      <c r="A125" s="14">
        <v>120</v>
      </c>
      <c r="C125" s="16"/>
      <c r="D125" s="14" t="str">
        <f>IF(Sales[[#This Row],[Product ID]]="","",Sales[[#This Row],[Date]]&amp;Sales[[#This Row],[Invoice no]])</f>
        <v/>
      </c>
      <c r="E1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" s="19" t="str">
        <f>IF(_xlfn.XLOOKUP(Sales[[#This Row],[Product Name]],Inventory[Product Name],Inventory[Sale Price],"")=0,"",_xlfn.XLOOKUP(Sales[[#This Row],[Product Name]],Inventory[Product Name],Inventory[Sale Price]))</f>
        <v/>
      </c>
      <c r="I125" s="19" t="str">
        <f>IFERROR(G125*H125,"")</f>
        <v/>
      </c>
      <c r="J125" s="19"/>
    </row>
    <row r="126" spans="1:10" ht="21">
      <c r="A126" s="14">
        <v>121</v>
      </c>
      <c r="C126" s="16"/>
      <c r="D126" s="14" t="str">
        <f>IF(Sales[[#This Row],[Product ID]]="","",Sales[[#This Row],[Date]]&amp;Sales[[#This Row],[Invoice no]])</f>
        <v/>
      </c>
      <c r="E1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" s="19" t="str">
        <f>IF(_xlfn.XLOOKUP(Sales[[#This Row],[Product Name]],Inventory[Product Name],Inventory[Sale Price],"")=0,"",_xlfn.XLOOKUP(Sales[[#This Row],[Product Name]],Inventory[Product Name],Inventory[Sale Price]))</f>
        <v/>
      </c>
      <c r="I126" s="19" t="str">
        <f>IFERROR(G126*H126,"")</f>
        <v/>
      </c>
      <c r="J126" s="19"/>
    </row>
    <row r="127" spans="1:10" ht="21">
      <c r="A127" s="14">
        <v>122</v>
      </c>
      <c r="C127" s="16"/>
      <c r="D127" s="14" t="str">
        <f>IF(Sales[[#This Row],[Product ID]]="","",Sales[[#This Row],[Date]]&amp;Sales[[#This Row],[Invoice no]])</f>
        <v/>
      </c>
      <c r="E1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" s="19" t="str">
        <f>IF(_xlfn.XLOOKUP(Sales[[#This Row],[Product Name]],Inventory[Product Name],Inventory[Sale Price],"")=0,"",_xlfn.XLOOKUP(Sales[[#This Row],[Product Name]],Inventory[Product Name],Inventory[Sale Price]))</f>
        <v/>
      </c>
      <c r="I127" s="19" t="str">
        <f>IFERROR(G127*H127,"")</f>
        <v/>
      </c>
      <c r="J127" s="19"/>
    </row>
    <row r="128" spans="1:10" ht="21">
      <c r="A128" s="14">
        <v>123</v>
      </c>
      <c r="C128" s="16"/>
      <c r="D128" s="14" t="str">
        <f>IF(Sales[[#This Row],[Product ID]]="","",Sales[[#This Row],[Date]]&amp;Sales[[#This Row],[Invoice no]])</f>
        <v/>
      </c>
      <c r="E1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" s="19" t="str">
        <f>IF(_xlfn.XLOOKUP(Sales[[#This Row],[Product Name]],Inventory[Product Name],Inventory[Sale Price],"")=0,"",_xlfn.XLOOKUP(Sales[[#This Row],[Product Name]],Inventory[Product Name],Inventory[Sale Price]))</f>
        <v/>
      </c>
      <c r="I128" s="19" t="str">
        <f>IFERROR(G128*H128,"")</f>
        <v/>
      </c>
      <c r="J128" s="19"/>
    </row>
    <row r="129" spans="1:10" ht="21">
      <c r="A129" s="14">
        <v>124</v>
      </c>
      <c r="C129" s="16"/>
      <c r="D129" s="14" t="str">
        <f>IF(Sales[[#This Row],[Product ID]]="","",Sales[[#This Row],[Date]]&amp;Sales[[#This Row],[Invoice no]])</f>
        <v/>
      </c>
      <c r="E1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" s="19" t="str">
        <f>IF(_xlfn.XLOOKUP(Sales[[#This Row],[Product Name]],Inventory[Product Name],Inventory[Sale Price],"")=0,"",_xlfn.XLOOKUP(Sales[[#This Row],[Product Name]],Inventory[Product Name],Inventory[Sale Price]))</f>
        <v/>
      </c>
      <c r="I129" s="19" t="str">
        <f>IFERROR(G129*H129,"")</f>
        <v/>
      </c>
      <c r="J129" s="19"/>
    </row>
    <row r="130" spans="1:10" ht="21">
      <c r="A130" s="14">
        <v>125</v>
      </c>
      <c r="C130" s="16"/>
      <c r="D130" s="14" t="str">
        <f>IF(Sales[[#This Row],[Product ID]]="","",Sales[[#This Row],[Date]]&amp;Sales[[#This Row],[Invoice no]])</f>
        <v/>
      </c>
      <c r="E1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" s="19" t="str">
        <f>IF(_xlfn.XLOOKUP(Sales[[#This Row],[Product Name]],Inventory[Product Name],Inventory[Sale Price],"")=0,"",_xlfn.XLOOKUP(Sales[[#This Row],[Product Name]],Inventory[Product Name],Inventory[Sale Price]))</f>
        <v/>
      </c>
      <c r="I130" s="19" t="str">
        <f>IFERROR(G130*H130,"")</f>
        <v/>
      </c>
      <c r="J130" s="19"/>
    </row>
    <row r="131" spans="1:10" ht="21">
      <c r="A131" s="14">
        <v>126</v>
      </c>
      <c r="C131" s="16"/>
      <c r="D131" s="14" t="str">
        <f>IF(Sales[[#This Row],[Product ID]]="","",Sales[[#This Row],[Date]]&amp;Sales[[#This Row],[Invoice no]])</f>
        <v/>
      </c>
      <c r="E1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" s="19" t="str">
        <f>IF(_xlfn.XLOOKUP(Sales[[#This Row],[Product Name]],Inventory[Product Name],Inventory[Sale Price],"")=0,"",_xlfn.XLOOKUP(Sales[[#This Row],[Product Name]],Inventory[Product Name],Inventory[Sale Price]))</f>
        <v/>
      </c>
      <c r="I131" s="19" t="str">
        <f>IFERROR(G131*H131,"")</f>
        <v/>
      </c>
      <c r="J131" s="19"/>
    </row>
    <row r="132" spans="1:10" ht="21">
      <c r="A132" s="14">
        <v>127</v>
      </c>
      <c r="C132" s="16"/>
      <c r="D132" s="14" t="str">
        <f>IF(Sales[[#This Row],[Product ID]]="","",Sales[[#This Row],[Date]]&amp;Sales[[#This Row],[Invoice no]])</f>
        <v/>
      </c>
      <c r="E1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" s="19" t="str">
        <f>IF(_xlfn.XLOOKUP(Sales[[#This Row],[Product Name]],Inventory[Product Name],Inventory[Sale Price],"")=0,"",_xlfn.XLOOKUP(Sales[[#This Row],[Product Name]],Inventory[Product Name],Inventory[Sale Price]))</f>
        <v/>
      </c>
      <c r="I132" s="19" t="str">
        <f>IFERROR(G132*H132,"")</f>
        <v/>
      </c>
      <c r="J132" s="19"/>
    </row>
    <row r="133" spans="1:10" ht="21">
      <c r="A133" s="14">
        <v>128</v>
      </c>
      <c r="C133" s="16"/>
      <c r="D133" s="14" t="str">
        <f>IF(Sales[[#This Row],[Product ID]]="","",Sales[[#This Row],[Date]]&amp;Sales[[#This Row],[Invoice no]])</f>
        <v/>
      </c>
      <c r="E1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" s="19" t="str">
        <f>IF(_xlfn.XLOOKUP(Sales[[#This Row],[Product Name]],Inventory[Product Name],Inventory[Sale Price],"")=0,"",_xlfn.XLOOKUP(Sales[[#This Row],[Product Name]],Inventory[Product Name],Inventory[Sale Price]))</f>
        <v/>
      </c>
      <c r="I133" s="19" t="str">
        <f>IFERROR(G133*H133,"")</f>
        <v/>
      </c>
      <c r="J133" s="19"/>
    </row>
    <row r="134" spans="1:10" ht="21">
      <c r="A134" s="14">
        <v>129</v>
      </c>
      <c r="C134" s="16"/>
      <c r="D134" s="14" t="str">
        <f>IF(Sales[[#This Row],[Product ID]]="","",Sales[[#This Row],[Date]]&amp;Sales[[#This Row],[Invoice no]])</f>
        <v/>
      </c>
      <c r="E1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" s="19" t="str">
        <f>IF(_xlfn.XLOOKUP(Sales[[#This Row],[Product Name]],Inventory[Product Name],Inventory[Sale Price],"")=0,"",_xlfn.XLOOKUP(Sales[[#This Row],[Product Name]],Inventory[Product Name],Inventory[Sale Price]))</f>
        <v/>
      </c>
      <c r="I134" s="19" t="str">
        <f>IFERROR(G134*H134,"")</f>
        <v/>
      </c>
      <c r="J134" s="19"/>
    </row>
    <row r="135" spans="1:10" ht="21">
      <c r="A135" s="14">
        <v>130</v>
      </c>
      <c r="C135" s="16"/>
      <c r="D135" s="14" t="str">
        <f>IF(Sales[[#This Row],[Product ID]]="","",Sales[[#This Row],[Date]]&amp;Sales[[#This Row],[Invoice no]])</f>
        <v/>
      </c>
      <c r="E1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" s="19" t="str">
        <f>IF(_xlfn.XLOOKUP(Sales[[#This Row],[Product Name]],Inventory[Product Name],Inventory[Sale Price],"")=0,"",_xlfn.XLOOKUP(Sales[[#This Row],[Product Name]],Inventory[Product Name],Inventory[Sale Price]))</f>
        <v/>
      </c>
      <c r="I135" s="19" t="str">
        <f>IFERROR(G135*H135,"")</f>
        <v/>
      </c>
      <c r="J135" s="19"/>
    </row>
    <row r="136" spans="1:10" ht="21">
      <c r="A136" s="14">
        <v>131</v>
      </c>
      <c r="C136" s="16"/>
      <c r="D136" s="14" t="str">
        <f>IF(Sales[[#This Row],[Product ID]]="","",Sales[[#This Row],[Date]]&amp;Sales[[#This Row],[Invoice no]])</f>
        <v/>
      </c>
      <c r="E1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" s="19" t="str">
        <f>IF(_xlfn.XLOOKUP(Sales[[#This Row],[Product Name]],Inventory[Product Name],Inventory[Sale Price],"")=0,"",_xlfn.XLOOKUP(Sales[[#This Row],[Product Name]],Inventory[Product Name],Inventory[Sale Price]))</f>
        <v/>
      </c>
      <c r="I136" s="19" t="str">
        <f>IFERROR(G136*H136,"")</f>
        <v/>
      </c>
      <c r="J136" s="19"/>
    </row>
    <row r="137" spans="1:10" ht="21">
      <c r="A137" s="14">
        <v>132</v>
      </c>
      <c r="C137" s="16"/>
      <c r="D137" s="14" t="str">
        <f>IF(Sales[[#This Row],[Product ID]]="","",Sales[[#This Row],[Date]]&amp;Sales[[#This Row],[Invoice no]])</f>
        <v/>
      </c>
      <c r="E1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" s="19" t="str">
        <f>IF(_xlfn.XLOOKUP(Sales[[#This Row],[Product Name]],Inventory[Product Name],Inventory[Sale Price],"")=0,"",_xlfn.XLOOKUP(Sales[[#This Row],[Product Name]],Inventory[Product Name],Inventory[Sale Price]))</f>
        <v/>
      </c>
      <c r="I137" s="19" t="str">
        <f>IFERROR(G137*H137,"")</f>
        <v/>
      </c>
      <c r="J137" s="19"/>
    </row>
    <row r="138" spans="1:10" ht="21">
      <c r="A138" s="14">
        <v>133</v>
      </c>
      <c r="C138" s="16"/>
      <c r="D138" s="14" t="str">
        <f>IF(Sales[[#This Row],[Product ID]]="","",Sales[[#This Row],[Date]]&amp;Sales[[#This Row],[Invoice no]])</f>
        <v/>
      </c>
      <c r="E1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" s="19" t="str">
        <f>IF(_xlfn.XLOOKUP(Sales[[#This Row],[Product Name]],Inventory[Product Name],Inventory[Sale Price],"")=0,"",_xlfn.XLOOKUP(Sales[[#This Row],[Product Name]],Inventory[Product Name],Inventory[Sale Price]))</f>
        <v/>
      </c>
      <c r="I138" s="19" t="str">
        <f>IFERROR(G138*H138,"")</f>
        <v/>
      </c>
      <c r="J138" s="19"/>
    </row>
    <row r="139" spans="1:10" ht="21">
      <c r="A139" s="14">
        <v>134</v>
      </c>
      <c r="C139" s="16"/>
      <c r="D139" s="14" t="str">
        <f>IF(Sales[[#This Row],[Product ID]]="","",Sales[[#This Row],[Date]]&amp;Sales[[#This Row],[Invoice no]])</f>
        <v/>
      </c>
      <c r="E1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" s="19" t="str">
        <f>IF(_xlfn.XLOOKUP(Sales[[#This Row],[Product Name]],Inventory[Product Name],Inventory[Sale Price],"")=0,"",_xlfn.XLOOKUP(Sales[[#This Row],[Product Name]],Inventory[Product Name],Inventory[Sale Price]))</f>
        <v/>
      </c>
      <c r="I139" s="19" t="str">
        <f>IFERROR(G139*H139,"")</f>
        <v/>
      </c>
      <c r="J139" s="19"/>
    </row>
    <row r="140" spans="1:10" ht="21">
      <c r="A140" s="14">
        <v>135</v>
      </c>
      <c r="C140" s="16"/>
      <c r="D140" s="14" t="str">
        <f>IF(Sales[[#This Row],[Product ID]]="","",Sales[[#This Row],[Date]]&amp;Sales[[#This Row],[Invoice no]])</f>
        <v/>
      </c>
      <c r="E1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" s="19" t="str">
        <f>IF(_xlfn.XLOOKUP(Sales[[#This Row],[Product Name]],Inventory[Product Name],Inventory[Sale Price],"")=0,"",_xlfn.XLOOKUP(Sales[[#This Row],[Product Name]],Inventory[Product Name],Inventory[Sale Price]))</f>
        <v/>
      </c>
      <c r="I140" s="19" t="str">
        <f>IFERROR(G140*H140,"")</f>
        <v/>
      </c>
      <c r="J140" s="19"/>
    </row>
    <row r="141" spans="1:10" ht="21">
      <c r="A141" s="14">
        <v>136</v>
      </c>
      <c r="C141" s="16"/>
      <c r="D141" s="14" t="str">
        <f>IF(Sales[[#This Row],[Product ID]]="","",Sales[[#This Row],[Date]]&amp;Sales[[#This Row],[Invoice no]])</f>
        <v/>
      </c>
      <c r="E1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" s="19" t="str">
        <f>IF(_xlfn.XLOOKUP(Sales[[#This Row],[Product Name]],Inventory[Product Name],Inventory[Sale Price],"")=0,"",_xlfn.XLOOKUP(Sales[[#This Row],[Product Name]],Inventory[Product Name],Inventory[Sale Price]))</f>
        <v/>
      </c>
      <c r="I141" s="19" t="str">
        <f>IFERROR(G141*H141,"")</f>
        <v/>
      </c>
      <c r="J141" s="19"/>
    </row>
    <row r="142" spans="1:10" ht="21">
      <c r="A142" s="14">
        <v>137</v>
      </c>
      <c r="C142" s="16"/>
      <c r="D142" s="14" t="str">
        <f>IF(Sales[[#This Row],[Product ID]]="","",Sales[[#This Row],[Date]]&amp;Sales[[#This Row],[Invoice no]])</f>
        <v/>
      </c>
      <c r="E1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" s="19" t="str">
        <f>IF(_xlfn.XLOOKUP(Sales[[#This Row],[Product Name]],Inventory[Product Name],Inventory[Sale Price],"")=0,"",_xlfn.XLOOKUP(Sales[[#This Row],[Product Name]],Inventory[Product Name],Inventory[Sale Price]))</f>
        <v/>
      </c>
      <c r="I142" s="19" t="str">
        <f>IFERROR(G142*H142,"")</f>
        <v/>
      </c>
      <c r="J142" s="19"/>
    </row>
    <row r="143" spans="1:10" ht="21">
      <c r="A143" s="14">
        <v>138</v>
      </c>
      <c r="C143" s="16"/>
      <c r="D143" s="14" t="str">
        <f>IF(Sales[[#This Row],[Product ID]]="","",Sales[[#This Row],[Date]]&amp;Sales[[#This Row],[Invoice no]])</f>
        <v/>
      </c>
      <c r="E1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" s="19" t="str">
        <f>IF(_xlfn.XLOOKUP(Sales[[#This Row],[Product Name]],Inventory[Product Name],Inventory[Sale Price],"")=0,"",_xlfn.XLOOKUP(Sales[[#This Row],[Product Name]],Inventory[Product Name],Inventory[Sale Price]))</f>
        <v/>
      </c>
      <c r="I143" s="19" t="str">
        <f>IFERROR(G143*H143,"")</f>
        <v/>
      </c>
      <c r="J143" s="19"/>
    </row>
    <row r="144" spans="1:10" ht="21">
      <c r="A144" s="14">
        <v>139</v>
      </c>
      <c r="C144" s="16"/>
      <c r="D144" s="14" t="str">
        <f>IF(Sales[[#This Row],[Product ID]]="","",Sales[[#This Row],[Date]]&amp;Sales[[#This Row],[Invoice no]])</f>
        <v/>
      </c>
      <c r="E1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" s="19" t="str">
        <f>IF(_xlfn.XLOOKUP(Sales[[#This Row],[Product Name]],Inventory[Product Name],Inventory[Sale Price],"")=0,"",_xlfn.XLOOKUP(Sales[[#This Row],[Product Name]],Inventory[Product Name],Inventory[Sale Price]))</f>
        <v/>
      </c>
      <c r="I144" s="19" t="str">
        <f>IFERROR(G144*H144,"")</f>
        <v/>
      </c>
      <c r="J144" s="19"/>
    </row>
    <row r="145" spans="1:10" ht="21">
      <c r="A145" s="14">
        <v>140</v>
      </c>
      <c r="C145" s="16"/>
      <c r="D145" s="14" t="str">
        <f>IF(Sales[[#This Row],[Product ID]]="","",Sales[[#This Row],[Date]]&amp;Sales[[#This Row],[Invoice no]])</f>
        <v/>
      </c>
      <c r="E1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" s="19" t="str">
        <f>IF(_xlfn.XLOOKUP(Sales[[#This Row],[Product Name]],Inventory[Product Name],Inventory[Sale Price],"")=0,"",_xlfn.XLOOKUP(Sales[[#This Row],[Product Name]],Inventory[Product Name],Inventory[Sale Price]))</f>
        <v/>
      </c>
      <c r="I145" s="19" t="str">
        <f>IFERROR(G145*H145,"")</f>
        <v/>
      </c>
      <c r="J145" s="19"/>
    </row>
    <row r="146" spans="1:10" ht="21">
      <c r="A146" s="14">
        <v>141</v>
      </c>
      <c r="C146" s="16"/>
      <c r="D146" s="14" t="str">
        <f>IF(Sales[[#This Row],[Product ID]]="","",Sales[[#This Row],[Date]]&amp;Sales[[#This Row],[Invoice no]])</f>
        <v/>
      </c>
      <c r="E1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" s="19" t="str">
        <f>IF(_xlfn.XLOOKUP(Sales[[#This Row],[Product Name]],Inventory[Product Name],Inventory[Sale Price],"")=0,"",_xlfn.XLOOKUP(Sales[[#This Row],[Product Name]],Inventory[Product Name],Inventory[Sale Price]))</f>
        <v/>
      </c>
      <c r="I146" s="19" t="str">
        <f>IFERROR(G146*H146,"")</f>
        <v/>
      </c>
      <c r="J146" s="19"/>
    </row>
    <row r="147" spans="1:10" ht="21">
      <c r="A147" s="14">
        <v>142</v>
      </c>
      <c r="C147" s="16"/>
      <c r="D147" s="14" t="str">
        <f>IF(Sales[[#This Row],[Product ID]]="","",Sales[[#This Row],[Date]]&amp;Sales[[#This Row],[Invoice no]])</f>
        <v/>
      </c>
      <c r="E1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" s="19" t="str">
        <f>IF(_xlfn.XLOOKUP(Sales[[#This Row],[Product Name]],Inventory[Product Name],Inventory[Sale Price],"")=0,"",_xlfn.XLOOKUP(Sales[[#This Row],[Product Name]],Inventory[Product Name],Inventory[Sale Price]))</f>
        <v/>
      </c>
      <c r="I147" s="19" t="str">
        <f>IFERROR(G147*H147,"")</f>
        <v/>
      </c>
      <c r="J147" s="19"/>
    </row>
    <row r="148" spans="1:10" ht="21">
      <c r="A148" s="14">
        <v>143</v>
      </c>
      <c r="C148" s="16"/>
      <c r="D148" s="14" t="str">
        <f>IF(Sales[[#This Row],[Product ID]]="","",Sales[[#This Row],[Date]]&amp;Sales[[#This Row],[Invoice no]])</f>
        <v/>
      </c>
      <c r="E1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" s="19" t="str">
        <f>IF(_xlfn.XLOOKUP(Sales[[#This Row],[Product Name]],Inventory[Product Name],Inventory[Sale Price],"")=0,"",_xlfn.XLOOKUP(Sales[[#This Row],[Product Name]],Inventory[Product Name],Inventory[Sale Price]))</f>
        <v/>
      </c>
      <c r="I148" s="19" t="str">
        <f>IFERROR(G148*H148,"")</f>
        <v/>
      </c>
      <c r="J148" s="19"/>
    </row>
    <row r="149" spans="1:10" ht="21">
      <c r="A149" s="14">
        <v>144</v>
      </c>
      <c r="C149" s="16"/>
      <c r="D149" s="14" t="str">
        <f>IF(Sales[[#This Row],[Product ID]]="","",Sales[[#This Row],[Date]]&amp;Sales[[#This Row],[Invoice no]])</f>
        <v/>
      </c>
      <c r="E1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" s="19" t="str">
        <f>IF(_xlfn.XLOOKUP(Sales[[#This Row],[Product Name]],Inventory[Product Name],Inventory[Sale Price],"")=0,"",_xlfn.XLOOKUP(Sales[[#This Row],[Product Name]],Inventory[Product Name],Inventory[Sale Price]))</f>
        <v/>
      </c>
      <c r="I149" s="19" t="str">
        <f>IFERROR(G149*H149,"")</f>
        <v/>
      </c>
      <c r="J149" s="19"/>
    </row>
    <row r="150" spans="1:10" ht="21">
      <c r="A150" s="14">
        <v>145</v>
      </c>
      <c r="C150" s="16"/>
      <c r="D150" s="14" t="str">
        <f>IF(Sales[[#This Row],[Product ID]]="","",Sales[[#This Row],[Date]]&amp;Sales[[#This Row],[Invoice no]])</f>
        <v/>
      </c>
      <c r="E1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" s="19" t="str">
        <f>IF(_xlfn.XLOOKUP(Sales[[#This Row],[Product Name]],Inventory[Product Name],Inventory[Sale Price],"")=0,"",_xlfn.XLOOKUP(Sales[[#This Row],[Product Name]],Inventory[Product Name],Inventory[Sale Price]))</f>
        <v/>
      </c>
      <c r="I150" s="19" t="str">
        <f>IFERROR(G150*H150,"")</f>
        <v/>
      </c>
      <c r="J150" s="19"/>
    </row>
    <row r="151" spans="1:10" ht="21">
      <c r="A151" s="14">
        <v>146</v>
      </c>
      <c r="C151" s="16"/>
      <c r="D151" s="14" t="str">
        <f>IF(Sales[[#This Row],[Product ID]]="","",Sales[[#This Row],[Date]]&amp;Sales[[#This Row],[Invoice no]])</f>
        <v/>
      </c>
      <c r="E1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" s="19" t="str">
        <f>IF(_xlfn.XLOOKUP(Sales[[#This Row],[Product Name]],Inventory[Product Name],Inventory[Sale Price],"")=0,"",_xlfn.XLOOKUP(Sales[[#This Row],[Product Name]],Inventory[Product Name],Inventory[Sale Price]))</f>
        <v/>
      </c>
      <c r="I151" s="19" t="str">
        <f>IFERROR(G151*H151,"")</f>
        <v/>
      </c>
      <c r="J151" s="19"/>
    </row>
    <row r="152" spans="1:10" ht="21">
      <c r="A152" s="14">
        <v>147</v>
      </c>
      <c r="C152" s="16"/>
      <c r="D152" s="14" t="str">
        <f>IF(Sales[[#This Row],[Product ID]]="","",Sales[[#This Row],[Date]]&amp;Sales[[#This Row],[Invoice no]])</f>
        <v/>
      </c>
      <c r="E1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" s="19" t="str">
        <f>IF(_xlfn.XLOOKUP(Sales[[#This Row],[Product Name]],Inventory[Product Name],Inventory[Sale Price],"")=0,"",_xlfn.XLOOKUP(Sales[[#This Row],[Product Name]],Inventory[Product Name],Inventory[Sale Price]))</f>
        <v/>
      </c>
      <c r="I152" s="19" t="str">
        <f>IFERROR(G152*H152,"")</f>
        <v/>
      </c>
      <c r="J152" s="19"/>
    </row>
    <row r="153" spans="1:10" ht="21">
      <c r="A153" s="14">
        <v>148</v>
      </c>
      <c r="C153" s="16"/>
      <c r="D153" s="14" t="str">
        <f>IF(Sales[[#This Row],[Product ID]]="","",Sales[[#This Row],[Date]]&amp;Sales[[#This Row],[Invoice no]])</f>
        <v/>
      </c>
      <c r="E1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" s="19" t="str">
        <f>IF(_xlfn.XLOOKUP(Sales[[#This Row],[Product Name]],Inventory[Product Name],Inventory[Sale Price],"")=0,"",_xlfn.XLOOKUP(Sales[[#This Row],[Product Name]],Inventory[Product Name],Inventory[Sale Price]))</f>
        <v/>
      </c>
      <c r="I153" s="19" t="str">
        <f>IFERROR(G153*H153,"")</f>
        <v/>
      </c>
      <c r="J153" s="19"/>
    </row>
    <row r="154" spans="1:10" ht="21">
      <c r="A154" s="14">
        <v>149</v>
      </c>
      <c r="C154" s="16"/>
      <c r="D154" s="14" t="str">
        <f>IF(Sales[[#This Row],[Product ID]]="","",Sales[[#This Row],[Date]]&amp;Sales[[#This Row],[Invoice no]])</f>
        <v/>
      </c>
      <c r="E1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" s="19" t="str">
        <f>IF(_xlfn.XLOOKUP(Sales[[#This Row],[Product Name]],Inventory[Product Name],Inventory[Sale Price],"")=0,"",_xlfn.XLOOKUP(Sales[[#This Row],[Product Name]],Inventory[Product Name],Inventory[Sale Price]))</f>
        <v/>
      </c>
      <c r="I154" s="19" t="str">
        <f>IFERROR(G154*H154,"")</f>
        <v/>
      </c>
      <c r="J154" s="19"/>
    </row>
    <row r="155" spans="1:10" ht="21">
      <c r="A155" s="14">
        <v>150</v>
      </c>
      <c r="C155" s="16"/>
      <c r="D155" s="14" t="str">
        <f>IF(Sales[[#This Row],[Product ID]]="","",Sales[[#This Row],[Date]]&amp;Sales[[#This Row],[Invoice no]])</f>
        <v/>
      </c>
      <c r="E1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" s="19" t="str">
        <f>IF(_xlfn.XLOOKUP(Sales[[#This Row],[Product Name]],Inventory[Product Name],Inventory[Sale Price],"")=0,"",_xlfn.XLOOKUP(Sales[[#This Row],[Product Name]],Inventory[Product Name],Inventory[Sale Price]))</f>
        <v/>
      </c>
      <c r="I155" s="19" t="str">
        <f>IFERROR(G155*H155,"")</f>
        <v/>
      </c>
      <c r="J155" s="19"/>
    </row>
    <row r="156" spans="1:10" ht="21">
      <c r="A156" s="14">
        <v>151</v>
      </c>
      <c r="C156" s="16"/>
      <c r="D156" s="14" t="str">
        <f>IF(Sales[[#This Row],[Product ID]]="","",Sales[[#This Row],[Date]]&amp;Sales[[#This Row],[Invoice no]])</f>
        <v/>
      </c>
      <c r="E1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" s="19" t="str">
        <f>IF(_xlfn.XLOOKUP(Sales[[#This Row],[Product Name]],Inventory[Product Name],Inventory[Sale Price],"")=0,"",_xlfn.XLOOKUP(Sales[[#This Row],[Product Name]],Inventory[Product Name],Inventory[Sale Price]))</f>
        <v/>
      </c>
      <c r="I156" s="19" t="str">
        <f>IFERROR(G156*H156,"")</f>
        <v/>
      </c>
      <c r="J156" s="19"/>
    </row>
    <row r="157" spans="1:10" ht="21">
      <c r="A157" s="14">
        <v>152</v>
      </c>
      <c r="C157" s="16"/>
      <c r="D157" s="14" t="str">
        <f>IF(Sales[[#This Row],[Product ID]]="","",Sales[[#This Row],[Date]]&amp;Sales[[#This Row],[Invoice no]])</f>
        <v/>
      </c>
      <c r="E1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" s="19" t="str">
        <f>IF(_xlfn.XLOOKUP(Sales[[#This Row],[Product Name]],Inventory[Product Name],Inventory[Sale Price],"")=0,"",_xlfn.XLOOKUP(Sales[[#This Row],[Product Name]],Inventory[Product Name],Inventory[Sale Price]))</f>
        <v/>
      </c>
      <c r="I157" s="19" t="str">
        <f>IFERROR(G157*H157,"")</f>
        <v/>
      </c>
      <c r="J157" s="19"/>
    </row>
    <row r="158" spans="1:10" ht="21">
      <c r="A158" s="14">
        <v>153</v>
      </c>
      <c r="C158" s="16"/>
      <c r="D158" s="14" t="str">
        <f>IF(Sales[[#This Row],[Product ID]]="","",Sales[[#This Row],[Date]]&amp;Sales[[#This Row],[Invoice no]])</f>
        <v/>
      </c>
      <c r="E1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" s="19" t="str">
        <f>IF(_xlfn.XLOOKUP(Sales[[#This Row],[Product Name]],Inventory[Product Name],Inventory[Sale Price],"")=0,"",_xlfn.XLOOKUP(Sales[[#This Row],[Product Name]],Inventory[Product Name],Inventory[Sale Price]))</f>
        <v/>
      </c>
      <c r="I158" s="19" t="str">
        <f>IFERROR(G158*H158,"")</f>
        <v/>
      </c>
      <c r="J158" s="19"/>
    </row>
    <row r="159" spans="1:10" ht="21">
      <c r="A159" s="14">
        <v>154</v>
      </c>
      <c r="C159" s="16"/>
      <c r="D159" s="14" t="str">
        <f>IF(Sales[[#This Row],[Product ID]]="","",Sales[[#This Row],[Date]]&amp;Sales[[#This Row],[Invoice no]])</f>
        <v/>
      </c>
      <c r="E1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" s="19" t="str">
        <f>IF(_xlfn.XLOOKUP(Sales[[#This Row],[Product Name]],Inventory[Product Name],Inventory[Sale Price],"")=0,"",_xlfn.XLOOKUP(Sales[[#This Row],[Product Name]],Inventory[Product Name],Inventory[Sale Price]))</f>
        <v/>
      </c>
      <c r="I159" s="19" t="str">
        <f>IFERROR(G159*H159,"")</f>
        <v/>
      </c>
      <c r="J159" s="19"/>
    </row>
    <row r="160" spans="1:10" ht="21">
      <c r="A160" s="14">
        <v>155</v>
      </c>
      <c r="C160" s="16"/>
      <c r="D160" s="14" t="str">
        <f>IF(Sales[[#This Row],[Product ID]]="","",Sales[[#This Row],[Date]]&amp;Sales[[#This Row],[Invoice no]])</f>
        <v/>
      </c>
      <c r="E1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" s="19" t="str">
        <f>IF(_xlfn.XLOOKUP(Sales[[#This Row],[Product Name]],Inventory[Product Name],Inventory[Sale Price],"")=0,"",_xlfn.XLOOKUP(Sales[[#This Row],[Product Name]],Inventory[Product Name],Inventory[Sale Price]))</f>
        <v/>
      </c>
      <c r="I160" s="19" t="str">
        <f>IFERROR(G160*H160,"")</f>
        <v/>
      </c>
      <c r="J160" s="19"/>
    </row>
    <row r="161" spans="1:10" ht="21">
      <c r="A161" s="14">
        <v>156</v>
      </c>
      <c r="C161" s="16"/>
      <c r="D161" s="14" t="str">
        <f>IF(Sales[[#This Row],[Product ID]]="","",Sales[[#This Row],[Date]]&amp;Sales[[#This Row],[Invoice no]])</f>
        <v/>
      </c>
      <c r="E1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" s="19" t="str">
        <f>IF(_xlfn.XLOOKUP(Sales[[#This Row],[Product Name]],Inventory[Product Name],Inventory[Sale Price],"")=0,"",_xlfn.XLOOKUP(Sales[[#This Row],[Product Name]],Inventory[Product Name],Inventory[Sale Price]))</f>
        <v/>
      </c>
      <c r="I161" s="19" t="str">
        <f>IFERROR(G161*H161,"")</f>
        <v/>
      </c>
      <c r="J161" s="19"/>
    </row>
    <row r="162" spans="1:10" ht="21">
      <c r="A162" s="14">
        <v>157</v>
      </c>
      <c r="C162" s="16"/>
      <c r="D162" s="14" t="str">
        <f>IF(Sales[[#This Row],[Product ID]]="","",Sales[[#This Row],[Date]]&amp;Sales[[#This Row],[Invoice no]])</f>
        <v/>
      </c>
      <c r="E1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" s="19" t="str">
        <f>IF(_xlfn.XLOOKUP(Sales[[#This Row],[Product Name]],Inventory[Product Name],Inventory[Sale Price],"")=0,"",_xlfn.XLOOKUP(Sales[[#This Row],[Product Name]],Inventory[Product Name],Inventory[Sale Price]))</f>
        <v/>
      </c>
      <c r="I162" s="19" t="str">
        <f>IFERROR(G162*H162,"")</f>
        <v/>
      </c>
      <c r="J162" s="19"/>
    </row>
    <row r="163" spans="1:10" ht="21">
      <c r="A163" s="14">
        <v>158</v>
      </c>
      <c r="C163" s="16"/>
      <c r="D163" s="14" t="str">
        <f>IF(Sales[[#This Row],[Product ID]]="","",Sales[[#This Row],[Date]]&amp;Sales[[#This Row],[Invoice no]])</f>
        <v/>
      </c>
      <c r="E1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" s="19" t="str">
        <f>IF(_xlfn.XLOOKUP(Sales[[#This Row],[Product Name]],Inventory[Product Name],Inventory[Sale Price],"")=0,"",_xlfn.XLOOKUP(Sales[[#This Row],[Product Name]],Inventory[Product Name],Inventory[Sale Price]))</f>
        <v/>
      </c>
      <c r="I163" s="19" t="str">
        <f>IFERROR(G163*H163,"")</f>
        <v/>
      </c>
      <c r="J163" s="19"/>
    </row>
    <row r="164" spans="1:10" ht="21">
      <c r="A164" s="14">
        <v>159</v>
      </c>
      <c r="C164" s="16"/>
      <c r="D164" s="14" t="str">
        <f>IF(Sales[[#This Row],[Product ID]]="","",Sales[[#This Row],[Date]]&amp;Sales[[#This Row],[Invoice no]])</f>
        <v/>
      </c>
      <c r="E1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" s="19" t="str">
        <f>IF(_xlfn.XLOOKUP(Sales[[#This Row],[Product Name]],Inventory[Product Name],Inventory[Sale Price],"")=0,"",_xlfn.XLOOKUP(Sales[[#This Row],[Product Name]],Inventory[Product Name],Inventory[Sale Price]))</f>
        <v/>
      </c>
      <c r="I164" s="19" t="str">
        <f>IFERROR(G164*H164,"")</f>
        <v/>
      </c>
      <c r="J164" s="19"/>
    </row>
    <row r="165" spans="1:10" ht="21">
      <c r="A165" s="14">
        <v>160</v>
      </c>
      <c r="C165" s="16"/>
      <c r="D165" s="14" t="str">
        <f>IF(Sales[[#This Row],[Product ID]]="","",Sales[[#This Row],[Date]]&amp;Sales[[#This Row],[Invoice no]])</f>
        <v/>
      </c>
      <c r="E1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" s="19" t="str">
        <f>IF(_xlfn.XLOOKUP(Sales[[#This Row],[Product Name]],Inventory[Product Name],Inventory[Sale Price],"")=0,"",_xlfn.XLOOKUP(Sales[[#This Row],[Product Name]],Inventory[Product Name],Inventory[Sale Price]))</f>
        <v/>
      </c>
      <c r="I165" s="19" t="str">
        <f>IFERROR(G165*H165,"")</f>
        <v/>
      </c>
      <c r="J165" s="19"/>
    </row>
    <row r="166" spans="1:10" ht="21">
      <c r="A166" s="14">
        <v>161</v>
      </c>
      <c r="C166" s="16"/>
      <c r="D166" s="14" t="str">
        <f>IF(Sales[[#This Row],[Product ID]]="","",Sales[[#This Row],[Date]]&amp;Sales[[#This Row],[Invoice no]])</f>
        <v/>
      </c>
      <c r="E1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" s="19" t="str">
        <f>IF(_xlfn.XLOOKUP(Sales[[#This Row],[Product Name]],Inventory[Product Name],Inventory[Sale Price],"")=0,"",_xlfn.XLOOKUP(Sales[[#This Row],[Product Name]],Inventory[Product Name],Inventory[Sale Price]))</f>
        <v/>
      </c>
      <c r="I166" s="19" t="str">
        <f>IFERROR(G166*H166,"")</f>
        <v/>
      </c>
      <c r="J166" s="19"/>
    </row>
    <row r="167" spans="1:10" ht="21">
      <c r="A167" s="14">
        <v>162</v>
      </c>
      <c r="C167" s="16"/>
      <c r="D167" s="14" t="str">
        <f>IF(Sales[[#This Row],[Product ID]]="","",Sales[[#This Row],[Date]]&amp;Sales[[#This Row],[Invoice no]])</f>
        <v/>
      </c>
      <c r="E1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" s="19" t="str">
        <f>IF(_xlfn.XLOOKUP(Sales[[#This Row],[Product Name]],Inventory[Product Name],Inventory[Sale Price],"")=0,"",_xlfn.XLOOKUP(Sales[[#This Row],[Product Name]],Inventory[Product Name],Inventory[Sale Price]))</f>
        <v/>
      </c>
      <c r="I167" s="19" t="str">
        <f>IFERROR(G167*H167,"")</f>
        <v/>
      </c>
      <c r="J167" s="19"/>
    </row>
    <row r="168" spans="1:10" ht="21">
      <c r="A168" s="14">
        <v>163</v>
      </c>
      <c r="C168" s="16"/>
      <c r="D168" s="14" t="str">
        <f>IF(Sales[[#This Row],[Product ID]]="","",Sales[[#This Row],[Date]]&amp;Sales[[#This Row],[Invoice no]])</f>
        <v/>
      </c>
      <c r="E1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" s="19" t="str">
        <f>IF(_xlfn.XLOOKUP(Sales[[#This Row],[Product Name]],Inventory[Product Name],Inventory[Sale Price],"")=0,"",_xlfn.XLOOKUP(Sales[[#This Row],[Product Name]],Inventory[Product Name],Inventory[Sale Price]))</f>
        <v/>
      </c>
      <c r="I168" s="19" t="str">
        <f>IFERROR(G168*H168,"")</f>
        <v/>
      </c>
      <c r="J168" s="19"/>
    </row>
    <row r="169" spans="1:10" ht="21">
      <c r="A169" s="14">
        <v>164</v>
      </c>
      <c r="C169" s="16"/>
      <c r="D169" s="14" t="str">
        <f>IF(Sales[[#This Row],[Product ID]]="","",Sales[[#This Row],[Date]]&amp;Sales[[#This Row],[Invoice no]])</f>
        <v/>
      </c>
      <c r="E1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" s="19" t="str">
        <f>IF(_xlfn.XLOOKUP(Sales[[#This Row],[Product Name]],Inventory[Product Name],Inventory[Sale Price],"")=0,"",_xlfn.XLOOKUP(Sales[[#This Row],[Product Name]],Inventory[Product Name],Inventory[Sale Price]))</f>
        <v/>
      </c>
      <c r="I169" s="19" t="str">
        <f>IFERROR(G169*H169,"")</f>
        <v/>
      </c>
      <c r="J169" s="19"/>
    </row>
    <row r="170" spans="1:10" ht="21">
      <c r="A170" s="14">
        <v>165</v>
      </c>
      <c r="C170" s="16"/>
      <c r="D170" s="14" t="str">
        <f>IF(Sales[[#This Row],[Product ID]]="","",Sales[[#This Row],[Date]]&amp;Sales[[#This Row],[Invoice no]])</f>
        <v/>
      </c>
      <c r="E1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" s="19" t="str">
        <f>IF(_xlfn.XLOOKUP(Sales[[#This Row],[Product Name]],Inventory[Product Name],Inventory[Sale Price],"")=0,"",_xlfn.XLOOKUP(Sales[[#This Row],[Product Name]],Inventory[Product Name],Inventory[Sale Price]))</f>
        <v/>
      </c>
      <c r="I170" s="19" t="str">
        <f>IFERROR(G170*H170,"")</f>
        <v/>
      </c>
      <c r="J170" s="19"/>
    </row>
    <row r="171" spans="1:10" ht="21">
      <c r="A171" s="14">
        <v>166</v>
      </c>
      <c r="C171" s="16"/>
      <c r="D171" s="14" t="str">
        <f>IF(Sales[[#This Row],[Product ID]]="","",Sales[[#This Row],[Date]]&amp;Sales[[#This Row],[Invoice no]])</f>
        <v/>
      </c>
      <c r="E1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" s="19" t="str">
        <f>IF(_xlfn.XLOOKUP(Sales[[#This Row],[Product Name]],Inventory[Product Name],Inventory[Sale Price],"")=0,"",_xlfn.XLOOKUP(Sales[[#This Row],[Product Name]],Inventory[Product Name],Inventory[Sale Price]))</f>
        <v/>
      </c>
      <c r="I171" s="19" t="str">
        <f>IFERROR(G171*H171,"")</f>
        <v/>
      </c>
      <c r="J171" s="19"/>
    </row>
    <row r="172" spans="1:10" ht="21">
      <c r="A172" s="14">
        <v>167</v>
      </c>
      <c r="C172" s="16"/>
      <c r="D172" s="14" t="str">
        <f>IF(Sales[[#This Row],[Product ID]]="","",Sales[[#This Row],[Date]]&amp;Sales[[#This Row],[Invoice no]])</f>
        <v/>
      </c>
      <c r="E1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" s="19" t="str">
        <f>IF(_xlfn.XLOOKUP(Sales[[#This Row],[Product Name]],Inventory[Product Name],Inventory[Sale Price],"")=0,"",_xlfn.XLOOKUP(Sales[[#This Row],[Product Name]],Inventory[Product Name],Inventory[Sale Price]))</f>
        <v/>
      </c>
      <c r="I172" s="19" t="str">
        <f>IFERROR(G172*H172,"")</f>
        <v/>
      </c>
      <c r="J172" s="19"/>
    </row>
    <row r="173" spans="1:10" ht="21">
      <c r="A173" s="14">
        <v>168</v>
      </c>
      <c r="C173" s="16"/>
      <c r="D173" s="14" t="str">
        <f>IF(Sales[[#This Row],[Product ID]]="","",Sales[[#This Row],[Date]]&amp;Sales[[#This Row],[Invoice no]])</f>
        <v/>
      </c>
      <c r="E1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" s="19" t="str">
        <f>IF(_xlfn.XLOOKUP(Sales[[#This Row],[Product Name]],Inventory[Product Name],Inventory[Sale Price],"")=0,"",_xlfn.XLOOKUP(Sales[[#This Row],[Product Name]],Inventory[Product Name],Inventory[Sale Price]))</f>
        <v/>
      </c>
      <c r="I173" s="19" t="str">
        <f>IFERROR(G173*H173,"")</f>
        <v/>
      </c>
      <c r="J173" s="19"/>
    </row>
    <row r="174" spans="1:10" ht="21">
      <c r="A174" s="14">
        <v>169</v>
      </c>
      <c r="C174" s="16"/>
      <c r="D174" s="14" t="str">
        <f>IF(Sales[[#This Row],[Product ID]]="","",Sales[[#This Row],[Date]]&amp;Sales[[#This Row],[Invoice no]])</f>
        <v/>
      </c>
      <c r="E1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" s="19" t="str">
        <f>IF(_xlfn.XLOOKUP(Sales[[#This Row],[Product Name]],Inventory[Product Name],Inventory[Sale Price],"")=0,"",_xlfn.XLOOKUP(Sales[[#This Row],[Product Name]],Inventory[Product Name],Inventory[Sale Price]))</f>
        <v/>
      </c>
      <c r="I174" s="19" t="str">
        <f>IFERROR(G174*H174,"")</f>
        <v/>
      </c>
      <c r="J174" s="19"/>
    </row>
    <row r="175" spans="1:10" ht="21">
      <c r="A175" s="14">
        <v>170</v>
      </c>
      <c r="C175" s="16"/>
      <c r="D175" s="14" t="str">
        <f>IF(Sales[[#This Row],[Product ID]]="","",Sales[[#This Row],[Date]]&amp;Sales[[#This Row],[Invoice no]])</f>
        <v/>
      </c>
      <c r="E1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" s="19" t="str">
        <f>IF(_xlfn.XLOOKUP(Sales[[#This Row],[Product Name]],Inventory[Product Name],Inventory[Sale Price],"")=0,"",_xlfn.XLOOKUP(Sales[[#This Row],[Product Name]],Inventory[Product Name],Inventory[Sale Price]))</f>
        <v/>
      </c>
      <c r="I175" s="19" t="str">
        <f>IFERROR(G175*H175,"")</f>
        <v/>
      </c>
      <c r="J175" s="19"/>
    </row>
    <row r="176" spans="1:10" ht="21">
      <c r="A176" s="14">
        <v>171</v>
      </c>
      <c r="C176" s="16"/>
      <c r="D176" s="14" t="str">
        <f>IF(Sales[[#This Row],[Product ID]]="","",Sales[[#This Row],[Date]]&amp;Sales[[#This Row],[Invoice no]])</f>
        <v/>
      </c>
      <c r="E1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" s="19" t="str">
        <f>IF(_xlfn.XLOOKUP(Sales[[#This Row],[Product Name]],Inventory[Product Name],Inventory[Sale Price],"")=0,"",_xlfn.XLOOKUP(Sales[[#This Row],[Product Name]],Inventory[Product Name],Inventory[Sale Price]))</f>
        <v/>
      </c>
      <c r="I176" s="19" t="str">
        <f>IFERROR(G176*H176,"")</f>
        <v/>
      </c>
      <c r="J176" s="19"/>
    </row>
    <row r="177" spans="1:10" ht="21">
      <c r="A177" s="14">
        <v>172</v>
      </c>
      <c r="C177" s="16"/>
      <c r="D177" s="14" t="str">
        <f>IF(Sales[[#This Row],[Product ID]]="","",Sales[[#This Row],[Date]]&amp;Sales[[#This Row],[Invoice no]])</f>
        <v/>
      </c>
      <c r="E1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" s="19" t="str">
        <f>IF(_xlfn.XLOOKUP(Sales[[#This Row],[Product Name]],Inventory[Product Name],Inventory[Sale Price],"")=0,"",_xlfn.XLOOKUP(Sales[[#This Row],[Product Name]],Inventory[Product Name],Inventory[Sale Price]))</f>
        <v/>
      </c>
      <c r="I177" s="19" t="str">
        <f>IFERROR(G177*H177,"")</f>
        <v/>
      </c>
      <c r="J177" s="19"/>
    </row>
    <row r="178" spans="1:10" ht="21">
      <c r="A178" s="14">
        <v>173</v>
      </c>
      <c r="C178" s="16"/>
      <c r="D178" s="14" t="str">
        <f>IF(Sales[[#This Row],[Product ID]]="","",Sales[[#This Row],[Date]]&amp;Sales[[#This Row],[Invoice no]])</f>
        <v/>
      </c>
      <c r="E1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" s="19" t="str">
        <f>IF(_xlfn.XLOOKUP(Sales[[#This Row],[Product Name]],Inventory[Product Name],Inventory[Sale Price],"")=0,"",_xlfn.XLOOKUP(Sales[[#This Row],[Product Name]],Inventory[Product Name],Inventory[Sale Price]))</f>
        <v/>
      </c>
      <c r="I178" s="19" t="str">
        <f>IFERROR(G178*H178,"")</f>
        <v/>
      </c>
      <c r="J178" s="19"/>
    </row>
    <row r="179" spans="1:10" ht="21">
      <c r="A179" s="14">
        <v>174</v>
      </c>
      <c r="C179" s="16"/>
      <c r="D179" s="14" t="str">
        <f>IF(Sales[[#This Row],[Product ID]]="","",Sales[[#This Row],[Date]]&amp;Sales[[#This Row],[Invoice no]])</f>
        <v/>
      </c>
      <c r="E1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" s="19" t="str">
        <f>IF(_xlfn.XLOOKUP(Sales[[#This Row],[Product Name]],Inventory[Product Name],Inventory[Sale Price],"")=0,"",_xlfn.XLOOKUP(Sales[[#This Row],[Product Name]],Inventory[Product Name],Inventory[Sale Price]))</f>
        <v/>
      </c>
      <c r="I179" s="19" t="str">
        <f>IFERROR(G179*H179,"")</f>
        <v/>
      </c>
      <c r="J179" s="19"/>
    </row>
    <row r="180" spans="1:10" ht="21">
      <c r="A180" s="14">
        <v>175</v>
      </c>
      <c r="C180" s="16"/>
      <c r="D180" s="14" t="str">
        <f>IF(Sales[[#This Row],[Product ID]]="","",Sales[[#This Row],[Date]]&amp;Sales[[#This Row],[Invoice no]])</f>
        <v/>
      </c>
      <c r="E1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" s="19" t="str">
        <f>IF(_xlfn.XLOOKUP(Sales[[#This Row],[Product Name]],Inventory[Product Name],Inventory[Sale Price],"")=0,"",_xlfn.XLOOKUP(Sales[[#This Row],[Product Name]],Inventory[Product Name],Inventory[Sale Price]))</f>
        <v/>
      </c>
      <c r="I180" s="19" t="str">
        <f>IFERROR(G180*H180,"")</f>
        <v/>
      </c>
      <c r="J180" s="19"/>
    </row>
    <row r="181" spans="1:10" ht="21">
      <c r="A181" s="14">
        <v>176</v>
      </c>
      <c r="C181" s="16"/>
      <c r="D181" s="14" t="str">
        <f>IF(Sales[[#This Row],[Product ID]]="","",Sales[[#This Row],[Date]]&amp;Sales[[#This Row],[Invoice no]])</f>
        <v/>
      </c>
      <c r="E1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" s="19" t="str">
        <f>IF(_xlfn.XLOOKUP(Sales[[#This Row],[Product Name]],Inventory[Product Name],Inventory[Sale Price],"")=0,"",_xlfn.XLOOKUP(Sales[[#This Row],[Product Name]],Inventory[Product Name],Inventory[Sale Price]))</f>
        <v/>
      </c>
      <c r="I181" s="19" t="str">
        <f>IFERROR(G181*H181,"")</f>
        <v/>
      </c>
      <c r="J181" s="19"/>
    </row>
    <row r="182" spans="1:10" ht="21">
      <c r="A182" s="14">
        <v>177</v>
      </c>
      <c r="C182" s="16"/>
      <c r="D182" s="14" t="str">
        <f>IF(Sales[[#This Row],[Product ID]]="","",Sales[[#This Row],[Date]]&amp;Sales[[#This Row],[Invoice no]])</f>
        <v/>
      </c>
      <c r="E1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" s="19" t="str">
        <f>IF(_xlfn.XLOOKUP(Sales[[#This Row],[Product Name]],Inventory[Product Name],Inventory[Sale Price],"")=0,"",_xlfn.XLOOKUP(Sales[[#This Row],[Product Name]],Inventory[Product Name],Inventory[Sale Price]))</f>
        <v/>
      </c>
      <c r="I182" s="19" t="str">
        <f>IFERROR(G182*H182,"")</f>
        <v/>
      </c>
      <c r="J182" s="19"/>
    </row>
    <row r="183" spans="1:10" ht="21">
      <c r="A183" s="14">
        <v>178</v>
      </c>
      <c r="C183" s="16"/>
      <c r="D183" s="14" t="str">
        <f>IF(Sales[[#This Row],[Product ID]]="","",Sales[[#This Row],[Date]]&amp;Sales[[#This Row],[Invoice no]])</f>
        <v/>
      </c>
      <c r="E1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" s="19" t="str">
        <f>IF(_xlfn.XLOOKUP(Sales[[#This Row],[Product Name]],Inventory[Product Name],Inventory[Sale Price],"")=0,"",_xlfn.XLOOKUP(Sales[[#This Row],[Product Name]],Inventory[Product Name],Inventory[Sale Price]))</f>
        <v/>
      </c>
      <c r="I183" s="19" t="str">
        <f>IFERROR(G183*H183,"")</f>
        <v/>
      </c>
      <c r="J183" s="19"/>
    </row>
    <row r="184" spans="1:10" ht="21">
      <c r="A184" s="14">
        <v>179</v>
      </c>
      <c r="C184" s="16"/>
      <c r="D184" s="14" t="str">
        <f>IF(Sales[[#This Row],[Product ID]]="","",Sales[[#This Row],[Date]]&amp;Sales[[#This Row],[Invoice no]])</f>
        <v/>
      </c>
      <c r="E1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" s="19" t="str">
        <f>IF(_xlfn.XLOOKUP(Sales[[#This Row],[Product Name]],Inventory[Product Name],Inventory[Sale Price],"")=0,"",_xlfn.XLOOKUP(Sales[[#This Row],[Product Name]],Inventory[Product Name],Inventory[Sale Price]))</f>
        <v/>
      </c>
      <c r="I184" s="19" t="str">
        <f>IFERROR(G184*H184,"")</f>
        <v/>
      </c>
      <c r="J184" s="19"/>
    </row>
    <row r="185" spans="1:10" ht="21">
      <c r="A185" s="14">
        <v>180</v>
      </c>
      <c r="C185" s="16"/>
      <c r="D185" s="14" t="str">
        <f>IF(Sales[[#This Row],[Product ID]]="","",Sales[[#This Row],[Date]]&amp;Sales[[#This Row],[Invoice no]])</f>
        <v/>
      </c>
      <c r="E1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" s="19" t="str">
        <f>IF(_xlfn.XLOOKUP(Sales[[#This Row],[Product Name]],Inventory[Product Name],Inventory[Sale Price],"")=0,"",_xlfn.XLOOKUP(Sales[[#This Row],[Product Name]],Inventory[Product Name],Inventory[Sale Price]))</f>
        <v/>
      </c>
      <c r="I185" s="19" t="str">
        <f>IFERROR(G185*H185,"")</f>
        <v/>
      </c>
      <c r="J185" s="19"/>
    </row>
    <row r="186" spans="1:10" ht="21">
      <c r="A186" s="14">
        <v>181</v>
      </c>
      <c r="C186" s="16"/>
      <c r="D186" s="14" t="str">
        <f>IF(Sales[[#This Row],[Product ID]]="","",Sales[[#This Row],[Date]]&amp;Sales[[#This Row],[Invoice no]])</f>
        <v/>
      </c>
      <c r="E1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" s="19" t="str">
        <f>IF(_xlfn.XLOOKUP(Sales[[#This Row],[Product Name]],Inventory[Product Name],Inventory[Sale Price],"")=0,"",_xlfn.XLOOKUP(Sales[[#This Row],[Product Name]],Inventory[Product Name],Inventory[Sale Price]))</f>
        <v/>
      </c>
      <c r="I186" s="19" t="str">
        <f>IFERROR(G186*H186,"")</f>
        <v/>
      </c>
      <c r="J186" s="19"/>
    </row>
    <row r="187" spans="1:10" ht="21">
      <c r="A187" s="14">
        <v>182</v>
      </c>
      <c r="C187" s="16"/>
      <c r="D187" s="14" t="str">
        <f>IF(Sales[[#This Row],[Product ID]]="","",Sales[[#This Row],[Date]]&amp;Sales[[#This Row],[Invoice no]])</f>
        <v/>
      </c>
      <c r="E1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" s="19" t="str">
        <f>IF(_xlfn.XLOOKUP(Sales[[#This Row],[Product Name]],Inventory[Product Name],Inventory[Sale Price],"")=0,"",_xlfn.XLOOKUP(Sales[[#This Row],[Product Name]],Inventory[Product Name],Inventory[Sale Price]))</f>
        <v/>
      </c>
      <c r="I187" s="19" t="str">
        <f>IFERROR(G187*H187,"")</f>
        <v/>
      </c>
      <c r="J187" s="19"/>
    </row>
    <row r="188" spans="1:10" ht="21">
      <c r="A188" s="14">
        <v>183</v>
      </c>
      <c r="C188" s="16"/>
      <c r="D188" s="14" t="str">
        <f>IF(Sales[[#This Row],[Product ID]]="","",Sales[[#This Row],[Date]]&amp;Sales[[#This Row],[Invoice no]])</f>
        <v/>
      </c>
      <c r="E1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" s="19" t="str">
        <f>IF(_xlfn.XLOOKUP(Sales[[#This Row],[Product Name]],Inventory[Product Name],Inventory[Sale Price],"")=0,"",_xlfn.XLOOKUP(Sales[[#This Row],[Product Name]],Inventory[Product Name],Inventory[Sale Price]))</f>
        <v/>
      </c>
      <c r="I188" s="19" t="str">
        <f>IFERROR(G188*H188,"")</f>
        <v/>
      </c>
      <c r="J188" s="19"/>
    </row>
    <row r="189" spans="1:10" ht="21">
      <c r="A189" s="14">
        <v>184</v>
      </c>
      <c r="C189" s="16"/>
      <c r="D189" s="14" t="str">
        <f>IF(Sales[[#This Row],[Product ID]]="","",Sales[[#This Row],[Date]]&amp;Sales[[#This Row],[Invoice no]])</f>
        <v/>
      </c>
      <c r="E1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" s="19" t="str">
        <f>IF(_xlfn.XLOOKUP(Sales[[#This Row],[Product Name]],Inventory[Product Name],Inventory[Sale Price],"")=0,"",_xlfn.XLOOKUP(Sales[[#This Row],[Product Name]],Inventory[Product Name],Inventory[Sale Price]))</f>
        <v/>
      </c>
      <c r="I189" s="19" t="str">
        <f>IFERROR(G189*H189,"")</f>
        <v/>
      </c>
      <c r="J189" s="19"/>
    </row>
    <row r="190" spans="1:10" ht="21">
      <c r="A190" s="14">
        <v>185</v>
      </c>
      <c r="C190" s="16"/>
      <c r="D190" s="14" t="str">
        <f>IF(Sales[[#This Row],[Product ID]]="","",Sales[[#This Row],[Date]]&amp;Sales[[#This Row],[Invoice no]])</f>
        <v/>
      </c>
      <c r="E1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" s="19" t="str">
        <f>IF(_xlfn.XLOOKUP(Sales[[#This Row],[Product Name]],Inventory[Product Name],Inventory[Sale Price],"")=0,"",_xlfn.XLOOKUP(Sales[[#This Row],[Product Name]],Inventory[Product Name],Inventory[Sale Price]))</f>
        <v/>
      </c>
      <c r="I190" s="19" t="str">
        <f>IFERROR(G190*H190,"")</f>
        <v/>
      </c>
      <c r="J190" s="19"/>
    </row>
    <row r="191" spans="1:10" ht="21">
      <c r="A191" s="14">
        <v>186</v>
      </c>
      <c r="C191" s="16"/>
      <c r="D191" s="14" t="str">
        <f>IF(Sales[[#This Row],[Product ID]]="","",Sales[[#This Row],[Date]]&amp;Sales[[#This Row],[Invoice no]])</f>
        <v/>
      </c>
      <c r="E1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" s="19" t="str">
        <f>IF(_xlfn.XLOOKUP(Sales[[#This Row],[Product Name]],Inventory[Product Name],Inventory[Sale Price],"")=0,"",_xlfn.XLOOKUP(Sales[[#This Row],[Product Name]],Inventory[Product Name],Inventory[Sale Price]))</f>
        <v/>
      </c>
      <c r="I191" s="19" t="str">
        <f>IFERROR(G191*H191,"")</f>
        <v/>
      </c>
      <c r="J191" s="19"/>
    </row>
    <row r="192" spans="1:10" ht="21">
      <c r="A192" s="14">
        <v>187</v>
      </c>
      <c r="C192" s="16"/>
      <c r="D192" s="14" t="str">
        <f>IF(Sales[[#This Row],[Product ID]]="","",Sales[[#This Row],[Date]]&amp;Sales[[#This Row],[Invoice no]])</f>
        <v/>
      </c>
      <c r="E1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" s="19" t="str">
        <f>IF(_xlfn.XLOOKUP(Sales[[#This Row],[Product Name]],Inventory[Product Name],Inventory[Sale Price],"")=0,"",_xlfn.XLOOKUP(Sales[[#This Row],[Product Name]],Inventory[Product Name],Inventory[Sale Price]))</f>
        <v/>
      </c>
      <c r="I192" s="19" t="str">
        <f>IFERROR(G192*H192,"")</f>
        <v/>
      </c>
      <c r="J192" s="19"/>
    </row>
    <row r="193" spans="1:10" ht="21">
      <c r="A193" s="14">
        <v>188</v>
      </c>
      <c r="C193" s="16"/>
      <c r="D193" s="14" t="str">
        <f>IF(Sales[[#This Row],[Product ID]]="","",Sales[[#This Row],[Date]]&amp;Sales[[#This Row],[Invoice no]])</f>
        <v/>
      </c>
      <c r="E1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" s="19" t="str">
        <f>IF(_xlfn.XLOOKUP(Sales[[#This Row],[Product Name]],Inventory[Product Name],Inventory[Sale Price],"")=0,"",_xlfn.XLOOKUP(Sales[[#This Row],[Product Name]],Inventory[Product Name],Inventory[Sale Price]))</f>
        <v/>
      </c>
      <c r="I193" s="19" t="str">
        <f>IFERROR(G193*H193,"")</f>
        <v/>
      </c>
      <c r="J193" s="19"/>
    </row>
    <row r="194" spans="1:10" ht="21">
      <c r="A194" s="14">
        <v>189</v>
      </c>
      <c r="C194" s="16"/>
      <c r="D194" s="14" t="str">
        <f>IF(Sales[[#This Row],[Product ID]]="","",Sales[[#This Row],[Date]]&amp;Sales[[#This Row],[Invoice no]])</f>
        <v/>
      </c>
      <c r="E1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" s="19" t="str">
        <f>IF(_xlfn.XLOOKUP(Sales[[#This Row],[Product Name]],Inventory[Product Name],Inventory[Sale Price],"")=0,"",_xlfn.XLOOKUP(Sales[[#This Row],[Product Name]],Inventory[Product Name],Inventory[Sale Price]))</f>
        <v/>
      </c>
      <c r="I194" s="19" t="str">
        <f>IFERROR(G194*H194,"")</f>
        <v/>
      </c>
      <c r="J194" s="19"/>
    </row>
    <row r="195" spans="1:10" ht="21">
      <c r="A195" s="14">
        <v>190</v>
      </c>
      <c r="C195" s="16"/>
      <c r="D195" s="14" t="str">
        <f>IF(Sales[[#This Row],[Product ID]]="","",Sales[[#This Row],[Date]]&amp;Sales[[#This Row],[Invoice no]])</f>
        <v/>
      </c>
      <c r="E1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" s="19" t="str">
        <f>IF(_xlfn.XLOOKUP(Sales[[#This Row],[Product Name]],Inventory[Product Name],Inventory[Sale Price],"")=0,"",_xlfn.XLOOKUP(Sales[[#This Row],[Product Name]],Inventory[Product Name],Inventory[Sale Price]))</f>
        <v/>
      </c>
      <c r="I195" s="19" t="str">
        <f>IFERROR(G195*H195,"")</f>
        <v/>
      </c>
      <c r="J195" s="19"/>
    </row>
    <row r="196" spans="1:10" ht="21">
      <c r="A196" s="14">
        <v>191</v>
      </c>
      <c r="C196" s="16"/>
      <c r="D196" s="14" t="str">
        <f>IF(Sales[[#This Row],[Product ID]]="","",Sales[[#This Row],[Date]]&amp;Sales[[#This Row],[Invoice no]])</f>
        <v/>
      </c>
      <c r="E1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" s="19" t="str">
        <f>IF(_xlfn.XLOOKUP(Sales[[#This Row],[Product Name]],Inventory[Product Name],Inventory[Sale Price],"")=0,"",_xlfn.XLOOKUP(Sales[[#This Row],[Product Name]],Inventory[Product Name],Inventory[Sale Price]))</f>
        <v/>
      </c>
      <c r="I196" s="19" t="str">
        <f>IFERROR(G196*H196,"")</f>
        <v/>
      </c>
      <c r="J196" s="19"/>
    </row>
    <row r="197" spans="1:10" ht="21">
      <c r="A197" s="14">
        <v>192</v>
      </c>
      <c r="C197" s="16"/>
      <c r="D197" s="14" t="str">
        <f>IF(Sales[[#This Row],[Product ID]]="","",Sales[[#This Row],[Date]]&amp;Sales[[#This Row],[Invoice no]])</f>
        <v/>
      </c>
      <c r="E1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" s="19" t="str">
        <f>IF(_xlfn.XLOOKUP(Sales[[#This Row],[Product Name]],Inventory[Product Name],Inventory[Sale Price],"")=0,"",_xlfn.XLOOKUP(Sales[[#This Row],[Product Name]],Inventory[Product Name],Inventory[Sale Price]))</f>
        <v/>
      </c>
      <c r="I197" s="19" t="str">
        <f>IFERROR(G197*H197,"")</f>
        <v/>
      </c>
      <c r="J197" s="19"/>
    </row>
    <row r="198" spans="1:10" ht="21">
      <c r="A198" s="14">
        <v>193</v>
      </c>
      <c r="C198" s="16"/>
      <c r="D198" s="14" t="str">
        <f>IF(Sales[[#This Row],[Product ID]]="","",Sales[[#This Row],[Date]]&amp;Sales[[#This Row],[Invoice no]])</f>
        <v/>
      </c>
      <c r="E1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" s="19" t="str">
        <f>IF(_xlfn.XLOOKUP(Sales[[#This Row],[Product Name]],Inventory[Product Name],Inventory[Sale Price],"")=0,"",_xlfn.XLOOKUP(Sales[[#This Row],[Product Name]],Inventory[Product Name],Inventory[Sale Price]))</f>
        <v/>
      </c>
      <c r="I198" s="19" t="str">
        <f>IFERROR(G198*H198,"")</f>
        <v/>
      </c>
      <c r="J198" s="19"/>
    </row>
    <row r="199" spans="1:10" ht="21">
      <c r="A199" s="14">
        <v>194</v>
      </c>
      <c r="C199" s="16"/>
      <c r="D199" s="14" t="str">
        <f>IF(Sales[[#This Row],[Product ID]]="","",Sales[[#This Row],[Date]]&amp;Sales[[#This Row],[Invoice no]])</f>
        <v/>
      </c>
      <c r="E1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" s="19" t="str">
        <f>IF(_xlfn.XLOOKUP(Sales[[#This Row],[Product Name]],Inventory[Product Name],Inventory[Sale Price],"")=0,"",_xlfn.XLOOKUP(Sales[[#This Row],[Product Name]],Inventory[Product Name],Inventory[Sale Price]))</f>
        <v/>
      </c>
      <c r="I199" s="19" t="str">
        <f>IFERROR(G199*H199,"")</f>
        <v/>
      </c>
      <c r="J199" s="19"/>
    </row>
    <row r="200" spans="1:10" ht="21">
      <c r="A200" s="14">
        <v>195</v>
      </c>
      <c r="C200" s="16"/>
      <c r="D200" s="14" t="str">
        <f>IF(Sales[[#This Row],[Product ID]]="","",Sales[[#This Row],[Date]]&amp;Sales[[#This Row],[Invoice no]])</f>
        <v/>
      </c>
      <c r="E2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0" s="19" t="str">
        <f>IF(_xlfn.XLOOKUP(Sales[[#This Row],[Product Name]],Inventory[Product Name],Inventory[Sale Price],"")=0,"",_xlfn.XLOOKUP(Sales[[#This Row],[Product Name]],Inventory[Product Name],Inventory[Sale Price]))</f>
        <v/>
      </c>
      <c r="I200" s="19" t="str">
        <f>IFERROR(G200*H200,"")</f>
        <v/>
      </c>
      <c r="J200" s="19"/>
    </row>
    <row r="201" spans="1:10" ht="21">
      <c r="A201" s="14">
        <v>196</v>
      </c>
      <c r="C201" s="16"/>
      <c r="D201" s="14" t="str">
        <f>IF(Sales[[#This Row],[Product ID]]="","",Sales[[#This Row],[Date]]&amp;Sales[[#This Row],[Invoice no]])</f>
        <v/>
      </c>
      <c r="E2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1" s="19" t="str">
        <f>IF(_xlfn.XLOOKUP(Sales[[#This Row],[Product Name]],Inventory[Product Name],Inventory[Sale Price],"")=0,"",_xlfn.XLOOKUP(Sales[[#This Row],[Product Name]],Inventory[Product Name],Inventory[Sale Price]))</f>
        <v/>
      </c>
      <c r="I201" s="19" t="str">
        <f>IFERROR(G201*H201,"")</f>
        <v/>
      </c>
      <c r="J201" s="19"/>
    </row>
    <row r="202" spans="1:10" ht="21">
      <c r="A202" s="14">
        <v>197</v>
      </c>
      <c r="C202" s="16"/>
      <c r="D202" s="14" t="str">
        <f>IF(Sales[[#This Row],[Product ID]]="","",Sales[[#This Row],[Date]]&amp;Sales[[#This Row],[Invoice no]])</f>
        <v/>
      </c>
      <c r="E2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2" s="19" t="str">
        <f>IF(_xlfn.XLOOKUP(Sales[[#This Row],[Product Name]],Inventory[Product Name],Inventory[Sale Price],"")=0,"",_xlfn.XLOOKUP(Sales[[#This Row],[Product Name]],Inventory[Product Name],Inventory[Sale Price]))</f>
        <v/>
      </c>
      <c r="I202" s="19" t="str">
        <f>IFERROR(G202*H202,"")</f>
        <v/>
      </c>
      <c r="J202" s="19"/>
    </row>
    <row r="203" spans="1:10" ht="21">
      <c r="A203" s="14">
        <v>198</v>
      </c>
      <c r="C203" s="16"/>
      <c r="D203" s="14" t="str">
        <f>IF(Sales[[#This Row],[Product ID]]="","",Sales[[#This Row],[Date]]&amp;Sales[[#This Row],[Invoice no]])</f>
        <v/>
      </c>
      <c r="E2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3" s="19" t="str">
        <f>IF(_xlfn.XLOOKUP(Sales[[#This Row],[Product Name]],Inventory[Product Name],Inventory[Sale Price],"")=0,"",_xlfn.XLOOKUP(Sales[[#This Row],[Product Name]],Inventory[Product Name],Inventory[Sale Price]))</f>
        <v/>
      </c>
      <c r="I203" s="19" t="str">
        <f>IFERROR(G203*H203,"")</f>
        <v/>
      </c>
      <c r="J203" s="19"/>
    </row>
    <row r="204" spans="1:10" ht="21">
      <c r="A204" s="14">
        <v>199</v>
      </c>
      <c r="C204" s="16"/>
      <c r="D204" s="14" t="str">
        <f>IF(Sales[[#This Row],[Product ID]]="","",Sales[[#This Row],[Date]]&amp;Sales[[#This Row],[Invoice no]])</f>
        <v/>
      </c>
      <c r="E2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4" s="19" t="str">
        <f>IF(_xlfn.XLOOKUP(Sales[[#This Row],[Product Name]],Inventory[Product Name],Inventory[Sale Price],"")=0,"",_xlfn.XLOOKUP(Sales[[#This Row],[Product Name]],Inventory[Product Name],Inventory[Sale Price]))</f>
        <v/>
      </c>
      <c r="I204" s="19" t="str">
        <f>IFERROR(G204*H204,"")</f>
        <v/>
      </c>
      <c r="J204" s="19"/>
    </row>
    <row r="205" spans="1:10" ht="21">
      <c r="A205" s="14">
        <v>200</v>
      </c>
      <c r="C205" s="16"/>
      <c r="D205" s="14" t="str">
        <f>IF(Sales[[#This Row],[Product ID]]="","",Sales[[#This Row],[Date]]&amp;Sales[[#This Row],[Invoice no]])</f>
        <v/>
      </c>
      <c r="E2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5" s="19" t="str">
        <f>IF(_xlfn.XLOOKUP(Sales[[#This Row],[Product Name]],Inventory[Product Name],Inventory[Sale Price],"")=0,"",_xlfn.XLOOKUP(Sales[[#This Row],[Product Name]],Inventory[Product Name],Inventory[Sale Price]))</f>
        <v/>
      </c>
      <c r="I205" s="19" t="str">
        <f>IFERROR(G205*H205,"")</f>
        <v/>
      </c>
      <c r="J205" s="19"/>
    </row>
    <row r="206" spans="1:10" ht="21">
      <c r="A206" s="14">
        <v>201</v>
      </c>
      <c r="C206" s="16"/>
      <c r="D206" s="14" t="str">
        <f>IF(Sales[[#This Row],[Product ID]]="","",Sales[[#This Row],[Date]]&amp;Sales[[#This Row],[Invoice no]])</f>
        <v/>
      </c>
      <c r="E2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6" s="19" t="str">
        <f>IF(_xlfn.XLOOKUP(Sales[[#This Row],[Product Name]],Inventory[Product Name],Inventory[Sale Price],"")=0,"",_xlfn.XLOOKUP(Sales[[#This Row],[Product Name]],Inventory[Product Name],Inventory[Sale Price]))</f>
        <v/>
      </c>
      <c r="I206" s="19" t="str">
        <f>IFERROR(G206*H206,"")</f>
        <v/>
      </c>
      <c r="J206" s="19"/>
    </row>
    <row r="207" spans="1:10" ht="21">
      <c r="A207" s="14">
        <v>202</v>
      </c>
      <c r="C207" s="16"/>
      <c r="D207" s="14" t="str">
        <f>IF(Sales[[#This Row],[Product ID]]="","",Sales[[#This Row],[Date]]&amp;Sales[[#This Row],[Invoice no]])</f>
        <v/>
      </c>
      <c r="E2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7" s="19" t="str">
        <f>IF(_xlfn.XLOOKUP(Sales[[#This Row],[Product Name]],Inventory[Product Name],Inventory[Sale Price],"")=0,"",_xlfn.XLOOKUP(Sales[[#This Row],[Product Name]],Inventory[Product Name],Inventory[Sale Price]))</f>
        <v/>
      </c>
      <c r="I207" s="19" t="str">
        <f>IFERROR(G207*H207,"")</f>
        <v/>
      </c>
      <c r="J207" s="19"/>
    </row>
    <row r="208" spans="1:10" ht="21">
      <c r="A208" s="14">
        <v>203</v>
      </c>
      <c r="C208" s="16"/>
      <c r="D208" s="14" t="str">
        <f>IF(Sales[[#This Row],[Product ID]]="","",Sales[[#This Row],[Date]]&amp;Sales[[#This Row],[Invoice no]])</f>
        <v/>
      </c>
      <c r="E2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8" s="19" t="str">
        <f>IF(_xlfn.XLOOKUP(Sales[[#This Row],[Product Name]],Inventory[Product Name],Inventory[Sale Price],"")=0,"",_xlfn.XLOOKUP(Sales[[#This Row],[Product Name]],Inventory[Product Name],Inventory[Sale Price]))</f>
        <v/>
      </c>
      <c r="I208" s="19" t="str">
        <f>IFERROR(G208*H208,"")</f>
        <v/>
      </c>
      <c r="J208" s="19"/>
    </row>
    <row r="209" spans="1:10" ht="21">
      <c r="A209" s="14">
        <v>204</v>
      </c>
      <c r="C209" s="16"/>
      <c r="D209" s="14" t="str">
        <f>IF(Sales[[#This Row],[Product ID]]="","",Sales[[#This Row],[Date]]&amp;Sales[[#This Row],[Invoice no]])</f>
        <v/>
      </c>
      <c r="E2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9" s="19" t="str">
        <f>IF(_xlfn.XLOOKUP(Sales[[#This Row],[Product Name]],Inventory[Product Name],Inventory[Sale Price],"")=0,"",_xlfn.XLOOKUP(Sales[[#This Row],[Product Name]],Inventory[Product Name],Inventory[Sale Price]))</f>
        <v/>
      </c>
      <c r="I209" s="19" t="str">
        <f>IFERROR(G209*H209,"")</f>
        <v/>
      </c>
      <c r="J209" s="19"/>
    </row>
    <row r="210" spans="1:10" ht="21">
      <c r="A210" s="14">
        <v>205</v>
      </c>
      <c r="C210" s="16"/>
      <c r="D210" s="14" t="str">
        <f>IF(Sales[[#This Row],[Product ID]]="","",Sales[[#This Row],[Date]]&amp;Sales[[#This Row],[Invoice no]])</f>
        <v/>
      </c>
      <c r="E2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10" s="19" t="str">
        <f>IF(_xlfn.XLOOKUP(Sales[[#This Row],[Product Name]],Inventory[Product Name],Inventory[Sale Price],"")=0,"",_xlfn.XLOOKUP(Sales[[#This Row],[Product Name]],Inventory[Product Name],Inventory[Sale Price]))</f>
        <v/>
      </c>
      <c r="I210" s="19" t="str">
        <f>IFERROR(G210*H210,"")</f>
        <v/>
      </c>
      <c r="J210" s="19"/>
    </row>
    <row r="211" spans="1:10" ht="21">
      <c r="A211" s="14">
        <v>206</v>
      </c>
      <c r="C211" s="16"/>
      <c r="D211" s="14" t="str">
        <f>IF(Sales[[#This Row],[Product ID]]="","",Sales[[#This Row],[Date]]&amp;Sales[[#This Row],[Invoice no]])</f>
        <v/>
      </c>
      <c r="E2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11" s="19" t="str">
        <f>IF(_xlfn.XLOOKUP(Sales[[#This Row],[Product Name]],Inventory[Product Name],Inventory[Sale Price],"")=0,"",_xlfn.XLOOKUP(Sales[[#This Row],[Product Name]],Inventory[Product Name],Inventory[Sale Price]))</f>
        <v/>
      </c>
      <c r="I211" s="19" t="str">
        <f>IFERROR(G211*H211,"")</f>
        <v/>
      </c>
      <c r="J211" s="19"/>
    </row>
    <row r="212" spans="1:10" ht="21">
      <c r="A212" s="14">
        <v>207</v>
      </c>
      <c r="C212" s="16"/>
      <c r="D212" s="14" t="str">
        <f>IF(Sales[[#This Row],[Product ID]]="","",Sales[[#This Row],[Date]]&amp;Sales[[#This Row],[Invoice no]])</f>
        <v/>
      </c>
      <c r="E2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12" s="19" t="str">
        <f>IF(_xlfn.XLOOKUP(Sales[[#This Row],[Product Name]],Inventory[Product Name],Inventory[Sale Price],"")=0,"",_xlfn.XLOOKUP(Sales[[#This Row],[Product Name]],Inventory[Product Name],Inventory[Sale Price]))</f>
        <v/>
      </c>
      <c r="I212" s="19" t="str">
        <f>IFERROR(G212*H212,"")</f>
        <v/>
      </c>
      <c r="J212" s="19"/>
    </row>
    <row r="213" spans="1:10" ht="21">
      <c r="A213" s="14">
        <v>208</v>
      </c>
      <c r="C213" s="16"/>
      <c r="D213" s="14" t="str">
        <f>IF(Sales[[#This Row],[Product ID]]="","",Sales[[#This Row],[Date]]&amp;Sales[[#This Row],[Invoice no]])</f>
        <v/>
      </c>
      <c r="E2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13" s="19" t="str">
        <f>IF(_xlfn.XLOOKUP(Sales[[#This Row],[Product Name]],Inventory[Product Name],Inventory[Sale Price],"")=0,"",_xlfn.XLOOKUP(Sales[[#This Row],[Product Name]],Inventory[Product Name],Inventory[Sale Price]))</f>
        <v/>
      </c>
      <c r="I213" s="19" t="str">
        <f>IFERROR(G213*H213,"")</f>
        <v/>
      </c>
      <c r="J213" s="19"/>
    </row>
    <row r="214" spans="1:10" ht="21">
      <c r="A214" s="14">
        <v>209</v>
      </c>
      <c r="C214" s="16"/>
      <c r="D214" s="14" t="str">
        <f>IF(Sales[[#This Row],[Product ID]]="","",Sales[[#This Row],[Date]]&amp;Sales[[#This Row],[Invoice no]])</f>
        <v/>
      </c>
      <c r="E2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14" s="19" t="str">
        <f>IF(_xlfn.XLOOKUP(Sales[[#This Row],[Product Name]],Inventory[Product Name],Inventory[Sale Price],"")=0,"",_xlfn.XLOOKUP(Sales[[#This Row],[Product Name]],Inventory[Product Name],Inventory[Sale Price]))</f>
        <v/>
      </c>
      <c r="I214" s="19" t="str">
        <f>IFERROR(G214*H214,"")</f>
        <v/>
      </c>
      <c r="J214" s="19"/>
    </row>
    <row r="215" spans="1:10" ht="21">
      <c r="A215" s="14">
        <v>210</v>
      </c>
      <c r="C215" s="16"/>
      <c r="D215" s="14" t="str">
        <f>IF(Sales[[#This Row],[Product ID]]="","",Sales[[#This Row],[Date]]&amp;Sales[[#This Row],[Invoice no]])</f>
        <v/>
      </c>
      <c r="E2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215" s="19" t="str">
        <f>IF(_xlfn.XLOOKUP(Sales[[#This Row],[Product Name]],Inventory[Product Name],Inventory[Sale Price],"")=0,"",_xlfn.XLOOKUP(Sales[[#This Row],[Product Name]],Inventory[Product Name],Inventory[Sale Price]))</f>
        <v/>
      </c>
      <c r="I215" s="19" t="str">
        <f>IFERROR(G215*H215,"")</f>
        <v/>
      </c>
      <c r="J215" s="19"/>
    </row>
    <row r="216" spans="1:10" ht="21">
      <c r="A216" s="14">
        <v>211</v>
      </c>
      <c r="C216" s="16"/>
      <c r="D216" s="14" t="str">
        <f>IF(Sales[[#This Row],[Product ID]]="","",Sales[[#This Row],[Date]]&amp;Sales[[#This Row],[Invoice no]])</f>
        <v/>
      </c>
      <c r="E2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216" s="19" t="str">
        <f>IF(_xlfn.XLOOKUP(Sales[[#This Row],[Product Name]],Inventory[Product Name],Inventory[Sale Price],"")=0,"",_xlfn.XLOOKUP(Sales[[#This Row],[Product Name]],Inventory[Product Name],Inventory[Sale Price]))</f>
        <v/>
      </c>
      <c r="I216" s="19" t="str">
        <f>IFERROR(G216*H216,"")</f>
        <v/>
      </c>
      <c r="J216" s="19"/>
    </row>
    <row r="217" spans="1:10" ht="21">
      <c r="A217" s="14">
        <v>212</v>
      </c>
      <c r="C217" s="16"/>
      <c r="D217" s="14" t="str">
        <f>IF(Sales[[#This Row],[Product ID]]="","",Sales[[#This Row],[Date]]&amp;Sales[[#This Row],[Invoice no]])</f>
        <v/>
      </c>
      <c r="E2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217" s="19" t="str">
        <f>IF(_xlfn.XLOOKUP(Sales[[#This Row],[Product Name]],Inventory[Product Name],Inventory[Sale Price],"")=0,"",_xlfn.XLOOKUP(Sales[[#This Row],[Product Name]],Inventory[Product Name],Inventory[Sale Price]))</f>
        <v/>
      </c>
      <c r="I217" s="19" t="str">
        <f>IFERROR(G217*H217,"")</f>
        <v/>
      </c>
      <c r="J217" s="19"/>
    </row>
    <row r="218" spans="1:10" ht="21">
      <c r="A218" s="14">
        <v>213</v>
      </c>
      <c r="C218" s="16"/>
      <c r="D218" s="14" t="str">
        <f>IF(Sales[[#This Row],[Product ID]]="","",Sales[[#This Row],[Date]]&amp;Sales[[#This Row],[Invoice no]])</f>
        <v/>
      </c>
      <c r="E2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218" s="19" t="str">
        <f>IF(_xlfn.XLOOKUP(Sales[[#This Row],[Product Name]],Inventory[Product Name],Inventory[Sale Price],"")=0,"",_xlfn.XLOOKUP(Sales[[#This Row],[Product Name]],Inventory[Product Name],Inventory[Sale Price]))</f>
        <v/>
      </c>
      <c r="I218" s="19" t="str">
        <f>IFERROR(G218*H218,"")</f>
        <v/>
      </c>
      <c r="J218" s="19"/>
    </row>
    <row r="219" spans="1:10" ht="21">
      <c r="A219" s="14">
        <v>214</v>
      </c>
      <c r="C219" s="16"/>
      <c r="D219" s="14" t="str">
        <f>IF(Sales[[#This Row],[Product ID]]="","",Sales[[#This Row],[Date]]&amp;Sales[[#This Row],[Invoice no]])</f>
        <v/>
      </c>
      <c r="E2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219" s="19" t="str">
        <f>IF(_xlfn.XLOOKUP(Sales[[#This Row],[Product Name]],Inventory[Product Name],Inventory[Sale Price],"")=0,"",_xlfn.XLOOKUP(Sales[[#This Row],[Product Name]],Inventory[Product Name],Inventory[Sale Price]))</f>
        <v/>
      </c>
      <c r="I219" s="19" t="str">
        <f>IFERROR(G219*H219,"")</f>
        <v/>
      </c>
      <c r="J219" s="19"/>
    </row>
    <row r="220" spans="1:10" ht="21">
      <c r="A220" s="14">
        <v>215</v>
      </c>
      <c r="C220" s="16"/>
      <c r="D220" s="14" t="str">
        <f>IF(Sales[[#This Row],[Product ID]]="","",Sales[[#This Row],[Date]]&amp;Sales[[#This Row],[Invoice no]])</f>
        <v/>
      </c>
      <c r="E2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20" s="19" t="str">
        <f>IF(_xlfn.XLOOKUP(Sales[[#This Row],[Product Name]],Inventory[Product Name],Inventory[Sale Price],"")=0,"",_xlfn.XLOOKUP(Sales[[#This Row],[Product Name]],Inventory[Product Name],Inventory[Sale Price]))</f>
        <v/>
      </c>
      <c r="I220" s="19" t="str">
        <f>IFERROR(G220*H220,"")</f>
        <v/>
      </c>
      <c r="J220" s="19"/>
    </row>
    <row r="221" spans="1:10" ht="21">
      <c r="A221" s="14">
        <v>216</v>
      </c>
      <c r="C221" s="16"/>
      <c r="D221" s="14" t="str">
        <f>IF(Sales[[#This Row],[Product ID]]="","",Sales[[#This Row],[Date]]&amp;Sales[[#This Row],[Invoice no]])</f>
        <v/>
      </c>
      <c r="E2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21" s="19" t="str">
        <f>IF(_xlfn.XLOOKUP(Sales[[#This Row],[Product Name]],Inventory[Product Name],Inventory[Sale Price],"")=0,"",_xlfn.XLOOKUP(Sales[[#This Row],[Product Name]],Inventory[Product Name],Inventory[Sale Price]))</f>
        <v/>
      </c>
      <c r="I221" s="19" t="str">
        <f>IFERROR(G221*H221,"")</f>
        <v/>
      </c>
      <c r="J221" s="19"/>
    </row>
    <row r="222" spans="1:10" ht="21">
      <c r="A222" s="14">
        <v>217</v>
      </c>
      <c r="C222" s="16"/>
      <c r="D222" s="14" t="str">
        <f>IF(Sales[[#This Row],[Product ID]]="","",Sales[[#This Row],[Date]]&amp;Sales[[#This Row],[Invoice no]])</f>
        <v/>
      </c>
      <c r="E2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22" s="19" t="str">
        <f>IF(_xlfn.XLOOKUP(Sales[[#This Row],[Product Name]],Inventory[Product Name],Inventory[Sale Price],"")=0,"",_xlfn.XLOOKUP(Sales[[#This Row],[Product Name]],Inventory[Product Name],Inventory[Sale Price]))</f>
        <v/>
      </c>
      <c r="I222" s="19" t="str">
        <f>IFERROR(G222*H222,"")</f>
        <v/>
      </c>
      <c r="J222" s="19"/>
    </row>
    <row r="223" spans="1:10" ht="21">
      <c r="A223" s="14">
        <v>218</v>
      </c>
      <c r="C223" s="16"/>
      <c r="D223" s="14" t="str">
        <f>IF(Sales[[#This Row],[Product ID]]="","",Sales[[#This Row],[Date]]&amp;Sales[[#This Row],[Invoice no]])</f>
        <v/>
      </c>
      <c r="E2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23" s="19" t="str">
        <f>IF(_xlfn.XLOOKUP(Sales[[#This Row],[Product Name]],Inventory[Product Name],Inventory[Sale Price],"")=0,"",_xlfn.XLOOKUP(Sales[[#This Row],[Product Name]],Inventory[Product Name],Inventory[Sale Price]))</f>
        <v/>
      </c>
      <c r="I223" s="19" t="str">
        <f>IFERROR(G223*H223,"")</f>
        <v/>
      </c>
      <c r="J223" s="19"/>
    </row>
    <row r="224" spans="1:10" ht="21">
      <c r="A224" s="14">
        <v>219</v>
      </c>
      <c r="C224" s="16"/>
      <c r="D224" s="14" t="str">
        <f>IF(Sales[[#This Row],[Product ID]]="","",Sales[[#This Row],[Date]]&amp;Sales[[#This Row],[Invoice no]])</f>
        <v/>
      </c>
      <c r="E2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24" s="19" t="str">
        <f>IF(_xlfn.XLOOKUP(Sales[[#This Row],[Product Name]],Inventory[Product Name],Inventory[Sale Price],"")=0,"",_xlfn.XLOOKUP(Sales[[#This Row],[Product Name]],Inventory[Product Name],Inventory[Sale Price]))</f>
        <v/>
      </c>
      <c r="I224" s="19" t="str">
        <f>IFERROR(G224*H224,"")</f>
        <v/>
      </c>
      <c r="J224" s="19"/>
    </row>
    <row r="225" spans="1:10" ht="21">
      <c r="A225" s="14">
        <v>220</v>
      </c>
      <c r="C225" s="16"/>
      <c r="D225" s="14" t="str">
        <f>IF(Sales[[#This Row],[Product ID]]="","",Sales[[#This Row],[Date]]&amp;Sales[[#This Row],[Invoice no]])</f>
        <v/>
      </c>
      <c r="E2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225" s="19" t="str">
        <f>IF(_xlfn.XLOOKUP(Sales[[#This Row],[Product Name]],Inventory[Product Name],Inventory[Sale Price],"")=0,"",_xlfn.XLOOKUP(Sales[[#This Row],[Product Name]],Inventory[Product Name],Inventory[Sale Price]))</f>
        <v/>
      </c>
      <c r="I225" s="19" t="str">
        <f>IFERROR(G225*H225,"")</f>
        <v/>
      </c>
      <c r="J225" s="19"/>
    </row>
    <row r="226" spans="1:10" ht="21">
      <c r="A226" s="14">
        <v>221</v>
      </c>
      <c r="C226" s="16"/>
      <c r="D226" s="14" t="str">
        <f>IF(Sales[[#This Row],[Product ID]]="","",Sales[[#This Row],[Date]]&amp;Sales[[#This Row],[Invoice no]])</f>
        <v/>
      </c>
      <c r="E2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226" s="19" t="str">
        <f>IF(_xlfn.XLOOKUP(Sales[[#This Row],[Product Name]],Inventory[Product Name],Inventory[Sale Price],"")=0,"",_xlfn.XLOOKUP(Sales[[#This Row],[Product Name]],Inventory[Product Name],Inventory[Sale Price]))</f>
        <v/>
      </c>
      <c r="I226" s="19" t="str">
        <f>IFERROR(G226*H226,"")</f>
        <v/>
      </c>
      <c r="J226" s="19"/>
    </row>
    <row r="227" spans="1:10" ht="21">
      <c r="A227" s="14">
        <v>222</v>
      </c>
      <c r="C227" s="16"/>
      <c r="D227" s="14" t="str">
        <f>IF(Sales[[#This Row],[Product ID]]="","",Sales[[#This Row],[Date]]&amp;Sales[[#This Row],[Invoice no]])</f>
        <v/>
      </c>
      <c r="E2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227" s="19" t="str">
        <f>IF(_xlfn.XLOOKUP(Sales[[#This Row],[Product Name]],Inventory[Product Name],Inventory[Sale Price],"")=0,"",_xlfn.XLOOKUP(Sales[[#This Row],[Product Name]],Inventory[Product Name],Inventory[Sale Price]))</f>
        <v/>
      </c>
      <c r="I227" s="19" t="str">
        <f>IFERROR(G227*H227,"")</f>
        <v/>
      </c>
      <c r="J227" s="19"/>
    </row>
    <row r="228" spans="1:10" ht="21">
      <c r="A228" s="14">
        <v>223</v>
      </c>
      <c r="C228" s="16"/>
      <c r="D228" s="14" t="str">
        <f>IF(Sales[[#This Row],[Product ID]]="","",Sales[[#This Row],[Date]]&amp;Sales[[#This Row],[Invoice no]])</f>
        <v/>
      </c>
      <c r="E2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228" s="19" t="str">
        <f>IF(_xlfn.XLOOKUP(Sales[[#This Row],[Product Name]],Inventory[Product Name],Inventory[Sale Price],"")=0,"",_xlfn.XLOOKUP(Sales[[#This Row],[Product Name]],Inventory[Product Name],Inventory[Sale Price]))</f>
        <v/>
      </c>
      <c r="I228" s="19" t="str">
        <f>IFERROR(G228*H228,"")</f>
        <v/>
      </c>
      <c r="J228" s="19"/>
    </row>
    <row r="229" spans="1:10" ht="21">
      <c r="A229" s="14">
        <v>224</v>
      </c>
      <c r="C229" s="16"/>
      <c r="D229" s="14" t="str">
        <f>IF(Sales[[#This Row],[Product ID]]="","",Sales[[#This Row],[Date]]&amp;Sales[[#This Row],[Invoice no]])</f>
        <v/>
      </c>
      <c r="E2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229" s="19" t="str">
        <f>IF(_xlfn.XLOOKUP(Sales[[#This Row],[Product Name]],Inventory[Product Name],Inventory[Sale Price],"")=0,"",_xlfn.XLOOKUP(Sales[[#This Row],[Product Name]],Inventory[Product Name],Inventory[Sale Price]))</f>
        <v/>
      </c>
      <c r="I229" s="19" t="str">
        <f>IFERROR(G229*H229,"")</f>
        <v/>
      </c>
      <c r="J229" s="19"/>
    </row>
    <row r="230" spans="1:10" ht="21">
      <c r="A230" s="14">
        <v>225</v>
      </c>
      <c r="C230" s="16"/>
      <c r="D230" s="14" t="str">
        <f>IF(Sales[[#This Row],[Product ID]]="","",Sales[[#This Row],[Date]]&amp;Sales[[#This Row],[Invoice no]])</f>
        <v/>
      </c>
      <c r="E2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30" s="19" t="str">
        <f>IF(_xlfn.XLOOKUP(Sales[[#This Row],[Product Name]],Inventory[Product Name],Inventory[Sale Price],"")=0,"",_xlfn.XLOOKUP(Sales[[#This Row],[Product Name]],Inventory[Product Name],Inventory[Sale Price]))</f>
        <v/>
      </c>
      <c r="I230" s="19" t="str">
        <f>IFERROR(G230*H230,"")</f>
        <v/>
      </c>
      <c r="J230" s="19"/>
    </row>
    <row r="231" spans="1:10" ht="21">
      <c r="A231" s="14">
        <v>226</v>
      </c>
      <c r="C231" s="16"/>
      <c r="D231" s="14" t="str">
        <f>IF(Sales[[#This Row],[Product ID]]="","",Sales[[#This Row],[Date]]&amp;Sales[[#This Row],[Invoice no]])</f>
        <v/>
      </c>
      <c r="E2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31" s="19" t="str">
        <f>IF(_xlfn.XLOOKUP(Sales[[#This Row],[Product Name]],Inventory[Product Name],Inventory[Sale Price],"")=0,"",_xlfn.XLOOKUP(Sales[[#This Row],[Product Name]],Inventory[Product Name],Inventory[Sale Price]))</f>
        <v/>
      </c>
      <c r="I231" s="19" t="str">
        <f>IFERROR(G231*H231,"")</f>
        <v/>
      </c>
      <c r="J231" s="19"/>
    </row>
    <row r="232" spans="1:10" ht="21">
      <c r="A232" s="14">
        <v>227</v>
      </c>
      <c r="C232" s="16"/>
      <c r="D232" s="14" t="str">
        <f>IF(Sales[[#This Row],[Product ID]]="","",Sales[[#This Row],[Date]]&amp;Sales[[#This Row],[Invoice no]])</f>
        <v/>
      </c>
      <c r="E2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32" s="19" t="str">
        <f>IF(_xlfn.XLOOKUP(Sales[[#This Row],[Product Name]],Inventory[Product Name],Inventory[Sale Price],"")=0,"",_xlfn.XLOOKUP(Sales[[#This Row],[Product Name]],Inventory[Product Name],Inventory[Sale Price]))</f>
        <v/>
      </c>
      <c r="I232" s="19" t="str">
        <f>IFERROR(G232*H232,"")</f>
        <v/>
      </c>
      <c r="J232" s="19"/>
    </row>
    <row r="233" spans="1:10" ht="21">
      <c r="A233" s="14">
        <v>228</v>
      </c>
      <c r="C233" s="16"/>
      <c r="D233" s="14" t="str">
        <f>IF(Sales[[#This Row],[Product ID]]="","",Sales[[#This Row],[Date]]&amp;Sales[[#This Row],[Invoice no]])</f>
        <v/>
      </c>
      <c r="E2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33" s="19" t="str">
        <f>IF(_xlfn.XLOOKUP(Sales[[#This Row],[Product Name]],Inventory[Product Name],Inventory[Sale Price],"")=0,"",_xlfn.XLOOKUP(Sales[[#This Row],[Product Name]],Inventory[Product Name],Inventory[Sale Price]))</f>
        <v/>
      </c>
      <c r="I233" s="19" t="str">
        <f>IFERROR(G233*H233,"")</f>
        <v/>
      </c>
      <c r="J233" s="19"/>
    </row>
    <row r="234" spans="1:10" ht="21">
      <c r="A234" s="14">
        <v>229</v>
      </c>
      <c r="C234" s="16"/>
      <c r="D234" s="14" t="str">
        <f>IF(Sales[[#This Row],[Product ID]]="","",Sales[[#This Row],[Date]]&amp;Sales[[#This Row],[Invoice no]])</f>
        <v/>
      </c>
      <c r="E2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34" s="19" t="str">
        <f>IF(_xlfn.XLOOKUP(Sales[[#This Row],[Product Name]],Inventory[Product Name],Inventory[Sale Price],"")=0,"",_xlfn.XLOOKUP(Sales[[#This Row],[Product Name]],Inventory[Product Name],Inventory[Sale Price]))</f>
        <v/>
      </c>
      <c r="I234" s="19" t="str">
        <f>IFERROR(G234*H234,"")</f>
        <v/>
      </c>
      <c r="J234" s="19"/>
    </row>
    <row r="235" spans="1:10" ht="21">
      <c r="A235" s="14">
        <v>230</v>
      </c>
      <c r="C235" s="16"/>
      <c r="D235" s="14" t="str">
        <f>IF(Sales[[#This Row],[Product ID]]="","",Sales[[#This Row],[Date]]&amp;Sales[[#This Row],[Invoice no]])</f>
        <v/>
      </c>
      <c r="E2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235" s="19" t="str">
        <f>IF(_xlfn.XLOOKUP(Sales[[#This Row],[Product Name]],Inventory[Product Name],Inventory[Sale Price],"")=0,"",_xlfn.XLOOKUP(Sales[[#This Row],[Product Name]],Inventory[Product Name],Inventory[Sale Price]))</f>
        <v/>
      </c>
      <c r="I235" s="19" t="str">
        <f>IFERROR(G235*H235,"")</f>
        <v/>
      </c>
      <c r="J235" s="19"/>
    </row>
    <row r="236" spans="1:10" ht="21">
      <c r="A236" s="14">
        <v>231</v>
      </c>
      <c r="C236" s="16"/>
      <c r="D236" s="14" t="str">
        <f>IF(Sales[[#This Row],[Product ID]]="","",Sales[[#This Row],[Date]]&amp;Sales[[#This Row],[Invoice no]])</f>
        <v/>
      </c>
      <c r="E2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236" s="19" t="str">
        <f>IF(_xlfn.XLOOKUP(Sales[[#This Row],[Product Name]],Inventory[Product Name],Inventory[Sale Price],"")=0,"",_xlfn.XLOOKUP(Sales[[#This Row],[Product Name]],Inventory[Product Name],Inventory[Sale Price]))</f>
        <v/>
      </c>
      <c r="I236" s="19" t="str">
        <f>IFERROR(G236*H236,"")</f>
        <v/>
      </c>
      <c r="J236" s="19"/>
    </row>
    <row r="237" spans="1:10" ht="21">
      <c r="A237" s="14">
        <v>232</v>
      </c>
      <c r="C237" s="16"/>
      <c r="D237" s="14" t="str">
        <f>IF(Sales[[#This Row],[Product ID]]="","",Sales[[#This Row],[Date]]&amp;Sales[[#This Row],[Invoice no]])</f>
        <v/>
      </c>
      <c r="E2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237" s="19" t="str">
        <f>IF(_xlfn.XLOOKUP(Sales[[#This Row],[Product Name]],Inventory[Product Name],Inventory[Sale Price],"")=0,"",_xlfn.XLOOKUP(Sales[[#This Row],[Product Name]],Inventory[Product Name],Inventory[Sale Price]))</f>
        <v/>
      </c>
      <c r="I237" s="19" t="str">
        <f>IFERROR(G237*H237,"")</f>
        <v/>
      </c>
      <c r="J237" s="19"/>
    </row>
    <row r="238" spans="1:10" ht="21">
      <c r="A238" s="14">
        <v>233</v>
      </c>
      <c r="C238" s="16"/>
      <c r="D238" s="14" t="str">
        <f>IF(Sales[[#This Row],[Product ID]]="","",Sales[[#This Row],[Date]]&amp;Sales[[#This Row],[Invoice no]])</f>
        <v/>
      </c>
      <c r="E2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238" s="19" t="str">
        <f>IF(_xlfn.XLOOKUP(Sales[[#This Row],[Product Name]],Inventory[Product Name],Inventory[Sale Price],"")=0,"",_xlfn.XLOOKUP(Sales[[#This Row],[Product Name]],Inventory[Product Name],Inventory[Sale Price]))</f>
        <v/>
      </c>
      <c r="I238" s="19" t="str">
        <f>IFERROR(G238*H238,"")</f>
        <v/>
      </c>
      <c r="J238" s="19"/>
    </row>
    <row r="239" spans="1:10" ht="21">
      <c r="A239" s="14">
        <v>234</v>
      </c>
      <c r="C239" s="16"/>
      <c r="D239" s="14" t="str">
        <f>IF(Sales[[#This Row],[Product ID]]="","",Sales[[#This Row],[Date]]&amp;Sales[[#This Row],[Invoice no]])</f>
        <v/>
      </c>
      <c r="E2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239" s="19" t="str">
        <f>IF(_xlfn.XLOOKUP(Sales[[#This Row],[Product Name]],Inventory[Product Name],Inventory[Sale Price],"")=0,"",_xlfn.XLOOKUP(Sales[[#This Row],[Product Name]],Inventory[Product Name],Inventory[Sale Price]))</f>
        <v/>
      </c>
      <c r="I239" s="19" t="str">
        <f>IFERROR(G239*H239,"")</f>
        <v/>
      </c>
      <c r="J239" s="19"/>
    </row>
    <row r="240" spans="1:10" ht="21">
      <c r="A240" s="14">
        <v>235</v>
      </c>
      <c r="C240" s="16"/>
      <c r="D240" s="14" t="str">
        <f>IF(Sales[[#This Row],[Product ID]]="","",Sales[[#This Row],[Date]]&amp;Sales[[#This Row],[Invoice no]])</f>
        <v/>
      </c>
      <c r="E2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40" s="19" t="str">
        <f>IF(_xlfn.XLOOKUP(Sales[[#This Row],[Product Name]],Inventory[Product Name],Inventory[Sale Price],"")=0,"",_xlfn.XLOOKUP(Sales[[#This Row],[Product Name]],Inventory[Product Name],Inventory[Sale Price]))</f>
        <v/>
      </c>
      <c r="I240" s="19" t="str">
        <f>IFERROR(G240*H240,"")</f>
        <v/>
      </c>
      <c r="J240" s="19"/>
    </row>
    <row r="241" spans="1:10" ht="21">
      <c r="A241" s="14">
        <v>236</v>
      </c>
      <c r="C241" s="16"/>
      <c r="D241" s="14" t="str">
        <f>IF(Sales[[#This Row],[Product ID]]="","",Sales[[#This Row],[Date]]&amp;Sales[[#This Row],[Invoice no]])</f>
        <v/>
      </c>
      <c r="E2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41" s="19" t="str">
        <f>IF(_xlfn.XLOOKUP(Sales[[#This Row],[Product Name]],Inventory[Product Name],Inventory[Sale Price],"")=0,"",_xlfn.XLOOKUP(Sales[[#This Row],[Product Name]],Inventory[Product Name],Inventory[Sale Price]))</f>
        <v/>
      </c>
      <c r="I241" s="19" t="str">
        <f>IFERROR(G241*H241,"")</f>
        <v/>
      </c>
      <c r="J241" s="19"/>
    </row>
    <row r="242" spans="1:10" ht="21">
      <c r="A242" s="14">
        <v>237</v>
      </c>
      <c r="C242" s="16"/>
      <c r="D242" s="14" t="str">
        <f>IF(Sales[[#This Row],[Product ID]]="","",Sales[[#This Row],[Date]]&amp;Sales[[#This Row],[Invoice no]])</f>
        <v/>
      </c>
      <c r="E2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42" s="19" t="str">
        <f>IF(_xlfn.XLOOKUP(Sales[[#This Row],[Product Name]],Inventory[Product Name],Inventory[Sale Price],"")=0,"",_xlfn.XLOOKUP(Sales[[#This Row],[Product Name]],Inventory[Product Name],Inventory[Sale Price]))</f>
        <v/>
      </c>
      <c r="I242" s="19" t="str">
        <f>IFERROR(G242*H242,"")</f>
        <v/>
      </c>
      <c r="J242" s="19"/>
    </row>
    <row r="243" spans="1:10" ht="21">
      <c r="A243" s="14">
        <v>238</v>
      </c>
      <c r="C243" s="16"/>
      <c r="D243" s="14" t="str">
        <f>IF(Sales[[#This Row],[Product ID]]="","",Sales[[#This Row],[Date]]&amp;Sales[[#This Row],[Invoice no]])</f>
        <v/>
      </c>
      <c r="E2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43" s="19" t="str">
        <f>IF(_xlfn.XLOOKUP(Sales[[#This Row],[Product Name]],Inventory[Product Name],Inventory[Sale Price],"")=0,"",_xlfn.XLOOKUP(Sales[[#This Row],[Product Name]],Inventory[Product Name],Inventory[Sale Price]))</f>
        <v/>
      </c>
      <c r="I243" s="19" t="str">
        <f>IFERROR(G243*H243,"")</f>
        <v/>
      </c>
      <c r="J243" s="19"/>
    </row>
    <row r="244" spans="1:10" ht="21">
      <c r="A244" s="14">
        <v>239</v>
      </c>
      <c r="C244" s="16"/>
      <c r="D244" s="14" t="str">
        <f>IF(Sales[[#This Row],[Product ID]]="","",Sales[[#This Row],[Date]]&amp;Sales[[#This Row],[Invoice no]])</f>
        <v/>
      </c>
      <c r="E2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44" s="19" t="str">
        <f>IF(_xlfn.XLOOKUP(Sales[[#This Row],[Product Name]],Inventory[Product Name],Inventory[Sale Price],"")=0,"",_xlfn.XLOOKUP(Sales[[#This Row],[Product Name]],Inventory[Product Name],Inventory[Sale Price]))</f>
        <v/>
      </c>
      <c r="I244" s="19" t="str">
        <f>IFERROR(G244*H244,"")</f>
        <v/>
      </c>
      <c r="J244" s="19"/>
    </row>
    <row r="245" spans="1:10" ht="21">
      <c r="A245" s="14">
        <v>240</v>
      </c>
      <c r="C245" s="16"/>
      <c r="D245" s="14" t="str">
        <f>IF(Sales[[#This Row],[Product ID]]="","",Sales[[#This Row],[Date]]&amp;Sales[[#This Row],[Invoice no]])</f>
        <v/>
      </c>
      <c r="E2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245" s="19" t="str">
        <f>IF(_xlfn.XLOOKUP(Sales[[#This Row],[Product Name]],Inventory[Product Name],Inventory[Sale Price],"")=0,"",_xlfn.XLOOKUP(Sales[[#This Row],[Product Name]],Inventory[Product Name],Inventory[Sale Price]))</f>
        <v/>
      </c>
      <c r="I245" s="19" t="str">
        <f>IFERROR(G245*H245,"")</f>
        <v/>
      </c>
      <c r="J245" s="19"/>
    </row>
    <row r="246" spans="1:10" ht="21">
      <c r="A246" s="14">
        <v>241</v>
      </c>
      <c r="C246" s="16"/>
      <c r="D246" s="14" t="str">
        <f>IF(Sales[[#This Row],[Product ID]]="","",Sales[[#This Row],[Date]]&amp;Sales[[#This Row],[Invoice no]])</f>
        <v/>
      </c>
      <c r="E2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246" s="19" t="str">
        <f>IF(_xlfn.XLOOKUP(Sales[[#This Row],[Product Name]],Inventory[Product Name],Inventory[Sale Price],"")=0,"",_xlfn.XLOOKUP(Sales[[#This Row],[Product Name]],Inventory[Product Name],Inventory[Sale Price]))</f>
        <v/>
      </c>
      <c r="I246" s="19" t="str">
        <f>IFERROR(G246*H246,"")</f>
        <v/>
      </c>
      <c r="J246" s="19"/>
    </row>
    <row r="247" spans="1:10" ht="21">
      <c r="A247" s="14">
        <v>242</v>
      </c>
      <c r="C247" s="16"/>
      <c r="D247" s="14" t="str">
        <f>IF(Sales[[#This Row],[Product ID]]="","",Sales[[#This Row],[Date]]&amp;Sales[[#This Row],[Invoice no]])</f>
        <v/>
      </c>
      <c r="E2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247" s="19" t="str">
        <f>IF(_xlfn.XLOOKUP(Sales[[#This Row],[Product Name]],Inventory[Product Name],Inventory[Sale Price],"")=0,"",_xlfn.XLOOKUP(Sales[[#This Row],[Product Name]],Inventory[Product Name],Inventory[Sale Price]))</f>
        <v/>
      </c>
      <c r="I247" s="19" t="str">
        <f>IFERROR(G247*H247,"")</f>
        <v/>
      </c>
      <c r="J247" s="19"/>
    </row>
    <row r="248" spans="1:10" ht="21">
      <c r="A248" s="14">
        <v>243</v>
      </c>
      <c r="C248" s="16"/>
      <c r="D248" s="14" t="str">
        <f>IF(Sales[[#This Row],[Product ID]]="","",Sales[[#This Row],[Date]]&amp;Sales[[#This Row],[Invoice no]])</f>
        <v/>
      </c>
      <c r="E2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248" s="19" t="str">
        <f>IF(_xlfn.XLOOKUP(Sales[[#This Row],[Product Name]],Inventory[Product Name],Inventory[Sale Price],"")=0,"",_xlfn.XLOOKUP(Sales[[#This Row],[Product Name]],Inventory[Product Name],Inventory[Sale Price]))</f>
        <v/>
      </c>
      <c r="I248" s="19" t="str">
        <f>IFERROR(G248*H248,"")</f>
        <v/>
      </c>
      <c r="J248" s="19"/>
    </row>
    <row r="249" spans="1:10" ht="21">
      <c r="A249" s="14">
        <v>244</v>
      </c>
      <c r="C249" s="16"/>
      <c r="D249" s="14" t="str">
        <f>IF(Sales[[#This Row],[Product ID]]="","",Sales[[#This Row],[Date]]&amp;Sales[[#This Row],[Invoice no]])</f>
        <v/>
      </c>
      <c r="E2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249" s="19" t="str">
        <f>IF(_xlfn.XLOOKUP(Sales[[#This Row],[Product Name]],Inventory[Product Name],Inventory[Sale Price],"")=0,"",_xlfn.XLOOKUP(Sales[[#This Row],[Product Name]],Inventory[Product Name],Inventory[Sale Price]))</f>
        <v/>
      </c>
      <c r="I249" s="19" t="str">
        <f>IFERROR(G249*H249,"")</f>
        <v/>
      </c>
      <c r="J249" s="19"/>
    </row>
    <row r="250" spans="1:10" ht="21">
      <c r="A250" s="14">
        <v>245</v>
      </c>
      <c r="C250" s="16"/>
      <c r="D250" s="14" t="str">
        <f>IF(Sales[[#This Row],[Product ID]]="","",Sales[[#This Row],[Date]]&amp;Sales[[#This Row],[Invoice no]])</f>
        <v/>
      </c>
      <c r="E2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50" s="19" t="str">
        <f>IF(_xlfn.XLOOKUP(Sales[[#This Row],[Product Name]],Inventory[Product Name],Inventory[Sale Price],"")=0,"",_xlfn.XLOOKUP(Sales[[#This Row],[Product Name]],Inventory[Product Name],Inventory[Sale Price]))</f>
        <v/>
      </c>
      <c r="I250" s="19" t="str">
        <f>IFERROR(G250*H250,"")</f>
        <v/>
      </c>
      <c r="J250" s="19"/>
    </row>
    <row r="251" spans="1:10" ht="21">
      <c r="A251" s="14">
        <v>246</v>
      </c>
      <c r="C251" s="16"/>
      <c r="D251" s="14" t="str">
        <f>IF(Sales[[#This Row],[Product ID]]="","",Sales[[#This Row],[Date]]&amp;Sales[[#This Row],[Invoice no]])</f>
        <v/>
      </c>
      <c r="E2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51" s="19" t="str">
        <f>IF(_xlfn.XLOOKUP(Sales[[#This Row],[Product Name]],Inventory[Product Name],Inventory[Sale Price],"")=0,"",_xlfn.XLOOKUP(Sales[[#This Row],[Product Name]],Inventory[Product Name],Inventory[Sale Price]))</f>
        <v/>
      </c>
      <c r="I251" s="19" t="str">
        <f>IFERROR(G251*H251,"")</f>
        <v/>
      </c>
      <c r="J251" s="19"/>
    </row>
    <row r="252" spans="1:10" ht="21">
      <c r="A252" s="14">
        <v>247</v>
      </c>
      <c r="C252" s="16"/>
      <c r="D252" s="14" t="str">
        <f>IF(Sales[[#This Row],[Product ID]]="","",Sales[[#This Row],[Date]]&amp;Sales[[#This Row],[Invoice no]])</f>
        <v/>
      </c>
      <c r="E2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52" s="19" t="str">
        <f>IF(_xlfn.XLOOKUP(Sales[[#This Row],[Product Name]],Inventory[Product Name],Inventory[Sale Price],"")=0,"",_xlfn.XLOOKUP(Sales[[#This Row],[Product Name]],Inventory[Product Name],Inventory[Sale Price]))</f>
        <v/>
      </c>
      <c r="I252" s="19" t="str">
        <f>IFERROR(G252*H252,"")</f>
        <v/>
      </c>
      <c r="J252" s="19"/>
    </row>
    <row r="253" spans="1:10" ht="21">
      <c r="A253" s="14">
        <v>248</v>
      </c>
      <c r="C253" s="16"/>
      <c r="D253" s="14" t="str">
        <f>IF(Sales[[#This Row],[Product ID]]="","",Sales[[#This Row],[Date]]&amp;Sales[[#This Row],[Invoice no]])</f>
        <v/>
      </c>
      <c r="E2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53" s="19" t="str">
        <f>IF(_xlfn.XLOOKUP(Sales[[#This Row],[Product Name]],Inventory[Product Name],Inventory[Sale Price],"")=0,"",_xlfn.XLOOKUP(Sales[[#This Row],[Product Name]],Inventory[Product Name],Inventory[Sale Price]))</f>
        <v/>
      </c>
      <c r="I253" s="19" t="str">
        <f>IFERROR(G253*H253,"")</f>
        <v/>
      </c>
      <c r="J253" s="19"/>
    </row>
    <row r="254" spans="1:10" ht="21">
      <c r="A254" s="14">
        <v>249</v>
      </c>
      <c r="C254" s="16"/>
      <c r="D254" s="14" t="str">
        <f>IF(Sales[[#This Row],[Product ID]]="","",Sales[[#This Row],[Date]]&amp;Sales[[#This Row],[Invoice no]])</f>
        <v/>
      </c>
      <c r="E2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54" s="19" t="str">
        <f>IF(_xlfn.XLOOKUP(Sales[[#This Row],[Product Name]],Inventory[Product Name],Inventory[Sale Price],"")=0,"",_xlfn.XLOOKUP(Sales[[#This Row],[Product Name]],Inventory[Product Name],Inventory[Sale Price]))</f>
        <v/>
      </c>
      <c r="I254" s="19" t="str">
        <f>IFERROR(G254*H254,"")</f>
        <v/>
      </c>
      <c r="J254" s="19"/>
    </row>
    <row r="255" spans="1:10" ht="21">
      <c r="A255" s="14">
        <v>250</v>
      </c>
      <c r="C255" s="16"/>
      <c r="D255" s="14" t="str">
        <f>IF(Sales[[#This Row],[Product ID]]="","",Sales[[#This Row],[Date]]&amp;Sales[[#This Row],[Invoice no]])</f>
        <v/>
      </c>
      <c r="E2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255" s="19" t="str">
        <f>IF(_xlfn.XLOOKUP(Sales[[#This Row],[Product Name]],Inventory[Product Name],Inventory[Sale Price],"")=0,"",_xlfn.XLOOKUP(Sales[[#This Row],[Product Name]],Inventory[Product Name],Inventory[Sale Price]))</f>
        <v/>
      </c>
      <c r="I255" s="19" t="str">
        <f>IFERROR(G255*H255,"")</f>
        <v/>
      </c>
      <c r="J255" s="19"/>
    </row>
    <row r="256" spans="1:10" ht="21">
      <c r="A256" s="14">
        <v>251</v>
      </c>
      <c r="C256" s="16"/>
      <c r="D256" s="14" t="str">
        <f>IF(Sales[[#This Row],[Product ID]]="","",Sales[[#This Row],[Date]]&amp;Sales[[#This Row],[Invoice no]])</f>
        <v/>
      </c>
      <c r="E2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256" s="19" t="str">
        <f>IF(_xlfn.XLOOKUP(Sales[[#This Row],[Product Name]],Inventory[Product Name],Inventory[Sale Price],"")=0,"",_xlfn.XLOOKUP(Sales[[#This Row],[Product Name]],Inventory[Product Name],Inventory[Sale Price]))</f>
        <v/>
      </c>
      <c r="I256" s="19" t="str">
        <f>IFERROR(G256*H256,"")</f>
        <v/>
      </c>
      <c r="J256" s="19"/>
    </row>
    <row r="257" spans="1:10" ht="21">
      <c r="A257" s="14">
        <v>252</v>
      </c>
      <c r="C257" s="16"/>
      <c r="D257" s="14" t="str">
        <f>IF(Sales[[#This Row],[Product ID]]="","",Sales[[#This Row],[Date]]&amp;Sales[[#This Row],[Invoice no]])</f>
        <v/>
      </c>
      <c r="E2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257" s="19" t="str">
        <f>IF(_xlfn.XLOOKUP(Sales[[#This Row],[Product Name]],Inventory[Product Name],Inventory[Sale Price],"")=0,"",_xlfn.XLOOKUP(Sales[[#This Row],[Product Name]],Inventory[Product Name],Inventory[Sale Price]))</f>
        <v/>
      </c>
      <c r="I257" s="19" t="str">
        <f>IFERROR(G257*H257,"")</f>
        <v/>
      </c>
      <c r="J257" s="19"/>
    </row>
    <row r="258" spans="1:10" ht="21">
      <c r="A258" s="14">
        <v>253</v>
      </c>
      <c r="C258" s="16"/>
      <c r="D258" s="14" t="str">
        <f>IF(Sales[[#This Row],[Product ID]]="","",Sales[[#This Row],[Date]]&amp;Sales[[#This Row],[Invoice no]])</f>
        <v/>
      </c>
      <c r="E2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258" s="19" t="str">
        <f>IF(_xlfn.XLOOKUP(Sales[[#This Row],[Product Name]],Inventory[Product Name],Inventory[Sale Price],"")=0,"",_xlfn.XLOOKUP(Sales[[#This Row],[Product Name]],Inventory[Product Name],Inventory[Sale Price]))</f>
        <v/>
      </c>
      <c r="I258" s="19" t="str">
        <f>IFERROR(G258*H258,"")</f>
        <v/>
      </c>
      <c r="J258" s="19"/>
    </row>
    <row r="259" spans="1:10" ht="21">
      <c r="A259" s="14">
        <v>254</v>
      </c>
      <c r="C259" s="16"/>
      <c r="D259" s="14" t="str">
        <f>IF(Sales[[#This Row],[Product ID]]="","",Sales[[#This Row],[Date]]&amp;Sales[[#This Row],[Invoice no]])</f>
        <v/>
      </c>
      <c r="E2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259" s="19" t="str">
        <f>IF(_xlfn.XLOOKUP(Sales[[#This Row],[Product Name]],Inventory[Product Name],Inventory[Sale Price],"")=0,"",_xlfn.XLOOKUP(Sales[[#This Row],[Product Name]],Inventory[Product Name],Inventory[Sale Price]))</f>
        <v/>
      </c>
      <c r="I259" s="19" t="str">
        <f>IFERROR(G259*H259,"")</f>
        <v/>
      </c>
      <c r="J259" s="19"/>
    </row>
    <row r="260" spans="1:10" ht="21">
      <c r="A260" s="14">
        <v>255</v>
      </c>
      <c r="C260" s="16"/>
      <c r="D260" s="14" t="str">
        <f>IF(Sales[[#This Row],[Product ID]]="","",Sales[[#This Row],[Date]]&amp;Sales[[#This Row],[Invoice no]])</f>
        <v/>
      </c>
      <c r="E2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60" s="19" t="str">
        <f>IF(_xlfn.XLOOKUP(Sales[[#This Row],[Product Name]],Inventory[Product Name],Inventory[Sale Price],"")=0,"",_xlfn.XLOOKUP(Sales[[#This Row],[Product Name]],Inventory[Product Name],Inventory[Sale Price]))</f>
        <v/>
      </c>
      <c r="I260" s="19" t="str">
        <f>IFERROR(G260*H260,"")</f>
        <v/>
      </c>
      <c r="J260" s="19"/>
    </row>
    <row r="261" spans="1:10" ht="21">
      <c r="A261" s="14">
        <v>256</v>
      </c>
      <c r="C261" s="16"/>
      <c r="D261" s="14" t="str">
        <f>IF(Sales[[#This Row],[Product ID]]="","",Sales[[#This Row],[Date]]&amp;Sales[[#This Row],[Invoice no]])</f>
        <v/>
      </c>
      <c r="E2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61" s="19" t="str">
        <f>IF(_xlfn.XLOOKUP(Sales[[#This Row],[Product Name]],Inventory[Product Name],Inventory[Sale Price],"")=0,"",_xlfn.XLOOKUP(Sales[[#This Row],[Product Name]],Inventory[Product Name],Inventory[Sale Price]))</f>
        <v/>
      </c>
      <c r="I261" s="19" t="str">
        <f>IFERROR(G261*H261,"")</f>
        <v/>
      </c>
      <c r="J261" s="19"/>
    </row>
    <row r="262" spans="1:10" ht="21">
      <c r="A262" s="14">
        <v>257</v>
      </c>
      <c r="C262" s="16"/>
      <c r="D262" s="14" t="str">
        <f>IF(Sales[[#This Row],[Product ID]]="","",Sales[[#This Row],[Date]]&amp;Sales[[#This Row],[Invoice no]])</f>
        <v/>
      </c>
      <c r="E2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62" s="19" t="str">
        <f>IF(_xlfn.XLOOKUP(Sales[[#This Row],[Product Name]],Inventory[Product Name],Inventory[Sale Price],"")=0,"",_xlfn.XLOOKUP(Sales[[#This Row],[Product Name]],Inventory[Product Name],Inventory[Sale Price]))</f>
        <v/>
      </c>
      <c r="I262" s="19" t="str">
        <f>IFERROR(G262*H262,"")</f>
        <v/>
      </c>
      <c r="J262" s="19"/>
    </row>
    <row r="263" spans="1:10" ht="21">
      <c r="A263" s="14">
        <v>258</v>
      </c>
      <c r="C263" s="16"/>
      <c r="D263" s="14" t="str">
        <f>IF(Sales[[#This Row],[Product ID]]="","",Sales[[#This Row],[Date]]&amp;Sales[[#This Row],[Invoice no]])</f>
        <v/>
      </c>
      <c r="E2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63" s="19" t="str">
        <f>IF(_xlfn.XLOOKUP(Sales[[#This Row],[Product Name]],Inventory[Product Name],Inventory[Sale Price],"")=0,"",_xlfn.XLOOKUP(Sales[[#This Row],[Product Name]],Inventory[Product Name],Inventory[Sale Price]))</f>
        <v/>
      </c>
      <c r="I263" s="19" t="str">
        <f>IFERROR(G263*H263,"")</f>
        <v/>
      </c>
      <c r="J263" s="19"/>
    </row>
    <row r="264" spans="1:10" ht="21">
      <c r="A264" s="14">
        <v>259</v>
      </c>
      <c r="C264" s="16"/>
      <c r="D264" s="14" t="str">
        <f>IF(Sales[[#This Row],[Product ID]]="","",Sales[[#This Row],[Date]]&amp;Sales[[#This Row],[Invoice no]])</f>
        <v/>
      </c>
      <c r="E2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64" s="19" t="str">
        <f>IF(_xlfn.XLOOKUP(Sales[[#This Row],[Product Name]],Inventory[Product Name],Inventory[Sale Price],"")=0,"",_xlfn.XLOOKUP(Sales[[#This Row],[Product Name]],Inventory[Product Name],Inventory[Sale Price]))</f>
        <v/>
      </c>
      <c r="I264" s="19" t="str">
        <f>IFERROR(G264*H264,"")</f>
        <v/>
      </c>
      <c r="J264" s="19"/>
    </row>
    <row r="265" spans="1:10" ht="21">
      <c r="A265" s="14">
        <v>260</v>
      </c>
      <c r="C265" s="16"/>
      <c r="D265" s="14" t="str">
        <f>IF(Sales[[#This Row],[Product ID]]="","",Sales[[#This Row],[Date]]&amp;Sales[[#This Row],[Invoice no]])</f>
        <v/>
      </c>
      <c r="E2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265" s="19" t="str">
        <f>IF(_xlfn.XLOOKUP(Sales[[#This Row],[Product Name]],Inventory[Product Name],Inventory[Sale Price],"")=0,"",_xlfn.XLOOKUP(Sales[[#This Row],[Product Name]],Inventory[Product Name],Inventory[Sale Price]))</f>
        <v/>
      </c>
      <c r="I265" s="19" t="str">
        <f>IFERROR(G265*H265,"")</f>
        <v/>
      </c>
      <c r="J265" s="19"/>
    </row>
    <row r="266" spans="1:10" ht="21">
      <c r="A266" s="14">
        <v>261</v>
      </c>
      <c r="C266" s="16"/>
      <c r="D266" s="14" t="str">
        <f>IF(Sales[[#This Row],[Product ID]]="","",Sales[[#This Row],[Date]]&amp;Sales[[#This Row],[Invoice no]])</f>
        <v/>
      </c>
      <c r="E2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266" s="19" t="str">
        <f>IF(_xlfn.XLOOKUP(Sales[[#This Row],[Product Name]],Inventory[Product Name],Inventory[Sale Price],"")=0,"",_xlfn.XLOOKUP(Sales[[#This Row],[Product Name]],Inventory[Product Name],Inventory[Sale Price]))</f>
        <v/>
      </c>
      <c r="I266" s="19" t="str">
        <f>IFERROR(G266*H266,"")</f>
        <v/>
      </c>
      <c r="J266" s="19"/>
    </row>
    <row r="267" spans="1:10" ht="21">
      <c r="A267" s="14">
        <v>262</v>
      </c>
      <c r="C267" s="16"/>
      <c r="D267" s="14" t="str">
        <f>IF(Sales[[#This Row],[Product ID]]="","",Sales[[#This Row],[Date]]&amp;Sales[[#This Row],[Invoice no]])</f>
        <v/>
      </c>
      <c r="E2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267" s="19" t="str">
        <f>IF(_xlfn.XLOOKUP(Sales[[#This Row],[Product Name]],Inventory[Product Name],Inventory[Sale Price],"")=0,"",_xlfn.XLOOKUP(Sales[[#This Row],[Product Name]],Inventory[Product Name],Inventory[Sale Price]))</f>
        <v/>
      </c>
      <c r="I267" s="19" t="str">
        <f>IFERROR(G267*H267,"")</f>
        <v/>
      </c>
      <c r="J267" s="19"/>
    </row>
    <row r="268" spans="1:10" ht="21">
      <c r="A268" s="14">
        <v>263</v>
      </c>
      <c r="C268" s="16"/>
      <c r="D268" s="14" t="str">
        <f>IF(Sales[[#This Row],[Product ID]]="","",Sales[[#This Row],[Date]]&amp;Sales[[#This Row],[Invoice no]])</f>
        <v/>
      </c>
      <c r="E2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268" s="19" t="str">
        <f>IF(_xlfn.XLOOKUP(Sales[[#This Row],[Product Name]],Inventory[Product Name],Inventory[Sale Price],"")=0,"",_xlfn.XLOOKUP(Sales[[#This Row],[Product Name]],Inventory[Product Name],Inventory[Sale Price]))</f>
        <v/>
      </c>
      <c r="I268" s="19" t="str">
        <f>IFERROR(G268*H268,"")</f>
        <v/>
      </c>
      <c r="J268" s="19"/>
    </row>
    <row r="269" spans="1:10" ht="21">
      <c r="A269" s="14">
        <v>264</v>
      </c>
      <c r="C269" s="16"/>
      <c r="D269" s="14" t="str">
        <f>IF(Sales[[#This Row],[Product ID]]="","",Sales[[#This Row],[Date]]&amp;Sales[[#This Row],[Invoice no]])</f>
        <v/>
      </c>
      <c r="E2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269" s="19" t="str">
        <f>IF(_xlfn.XLOOKUP(Sales[[#This Row],[Product Name]],Inventory[Product Name],Inventory[Sale Price],"")=0,"",_xlfn.XLOOKUP(Sales[[#This Row],[Product Name]],Inventory[Product Name],Inventory[Sale Price]))</f>
        <v/>
      </c>
      <c r="I269" s="19" t="str">
        <f>IFERROR(G269*H269,"")</f>
        <v/>
      </c>
      <c r="J269" s="19"/>
    </row>
    <row r="270" spans="1:10" ht="21">
      <c r="A270" s="14">
        <v>265</v>
      </c>
      <c r="C270" s="16"/>
      <c r="D270" s="14" t="str">
        <f>IF(Sales[[#This Row],[Product ID]]="","",Sales[[#This Row],[Date]]&amp;Sales[[#This Row],[Invoice no]])</f>
        <v/>
      </c>
      <c r="E2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70" s="19" t="str">
        <f>IF(_xlfn.XLOOKUP(Sales[[#This Row],[Product Name]],Inventory[Product Name],Inventory[Sale Price],"")=0,"",_xlfn.XLOOKUP(Sales[[#This Row],[Product Name]],Inventory[Product Name],Inventory[Sale Price]))</f>
        <v/>
      </c>
      <c r="I270" s="19" t="str">
        <f>IFERROR(G270*H270,"")</f>
        <v/>
      </c>
      <c r="J270" s="19"/>
    </row>
    <row r="271" spans="1:10" ht="21">
      <c r="A271" s="14">
        <v>266</v>
      </c>
      <c r="C271" s="16"/>
      <c r="D271" s="14" t="str">
        <f>IF(Sales[[#This Row],[Product ID]]="","",Sales[[#This Row],[Date]]&amp;Sales[[#This Row],[Invoice no]])</f>
        <v/>
      </c>
      <c r="E2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71" s="19" t="str">
        <f>IF(_xlfn.XLOOKUP(Sales[[#This Row],[Product Name]],Inventory[Product Name],Inventory[Sale Price],"")=0,"",_xlfn.XLOOKUP(Sales[[#This Row],[Product Name]],Inventory[Product Name],Inventory[Sale Price]))</f>
        <v/>
      </c>
      <c r="I271" s="19" t="str">
        <f>IFERROR(G271*H271,"")</f>
        <v/>
      </c>
      <c r="J271" s="19"/>
    </row>
    <row r="272" spans="1:10" ht="21">
      <c r="A272" s="14">
        <v>267</v>
      </c>
      <c r="C272" s="16"/>
      <c r="D272" s="14" t="str">
        <f>IF(Sales[[#This Row],[Product ID]]="","",Sales[[#This Row],[Date]]&amp;Sales[[#This Row],[Invoice no]])</f>
        <v/>
      </c>
      <c r="E2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72" s="19" t="str">
        <f>IF(_xlfn.XLOOKUP(Sales[[#This Row],[Product Name]],Inventory[Product Name],Inventory[Sale Price],"")=0,"",_xlfn.XLOOKUP(Sales[[#This Row],[Product Name]],Inventory[Product Name],Inventory[Sale Price]))</f>
        <v/>
      </c>
      <c r="I272" s="19" t="str">
        <f>IFERROR(G272*H272,"")</f>
        <v/>
      </c>
      <c r="J272" s="19"/>
    </row>
    <row r="273" spans="1:10" ht="21">
      <c r="A273" s="14">
        <v>268</v>
      </c>
      <c r="C273" s="16"/>
      <c r="D273" s="14" t="str">
        <f>IF(Sales[[#This Row],[Product ID]]="","",Sales[[#This Row],[Date]]&amp;Sales[[#This Row],[Invoice no]])</f>
        <v/>
      </c>
      <c r="E2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73" s="19" t="str">
        <f>IF(_xlfn.XLOOKUP(Sales[[#This Row],[Product Name]],Inventory[Product Name],Inventory[Sale Price],"")=0,"",_xlfn.XLOOKUP(Sales[[#This Row],[Product Name]],Inventory[Product Name],Inventory[Sale Price]))</f>
        <v/>
      </c>
      <c r="I273" s="19" t="str">
        <f>IFERROR(G273*H273,"")</f>
        <v/>
      </c>
      <c r="J273" s="19"/>
    </row>
    <row r="274" spans="1:10" ht="21">
      <c r="A274" s="14">
        <v>269</v>
      </c>
      <c r="C274" s="16"/>
      <c r="D274" s="14" t="str">
        <f>IF(Sales[[#This Row],[Product ID]]="","",Sales[[#This Row],[Date]]&amp;Sales[[#This Row],[Invoice no]])</f>
        <v/>
      </c>
      <c r="E2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74" s="19" t="str">
        <f>IF(_xlfn.XLOOKUP(Sales[[#This Row],[Product Name]],Inventory[Product Name],Inventory[Sale Price],"")=0,"",_xlfn.XLOOKUP(Sales[[#This Row],[Product Name]],Inventory[Product Name],Inventory[Sale Price]))</f>
        <v/>
      </c>
      <c r="I274" s="19" t="str">
        <f>IFERROR(G274*H274,"")</f>
        <v/>
      </c>
      <c r="J274" s="19"/>
    </row>
    <row r="275" spans="1:10" ht="21">
      <c r="A275" s="14">
        <v>270</v>
      </c>
      <c r="C275" s="16"/>
      <c r="D275" s="14" t="str">
        <f>IF(Sales[[#This Row],[Product ID]]="","",Sales[[#This Row],[Date]]&amp;Sales[[#This Row],[Invoice no]])</f>
        <v/>
      </c>
      <c r="E2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275" s="19" t="str">
        <f>IF(_xlfn.XLOOKUP(Sales[[#This Row],[Product Name]],Inventory[Product Name],Inventory[Sale Price],"")=0,"",_xlfn.XLOOKUP(Sales[[#This Row],[Product Name]],Inventory[Product Name],Inventory[Sale Price]))</f>
        <v/>
      </c>
      <c r="I275" s="19" t="str">
        <f>IFERROR(G275*H275,"")</f>
        <v/>
      </c>
      <c r="J275" s="19"/>
    </row>
    <row r="276" spans="1:10" ht="21">
      <c r="A276" s="14">
        <v>271</v>
      </c>
      <c r="C276" s="16"/>
      <c r="D276" s="14" t="str">
        <f>IF(Sales[[#This Row],[Product ID]]="","",Sales[[#This Row],[Date]]&amp;Sales[[#This Row],[Invoice no]])</f>
        <v/>
      </c>
      <c r="E2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276" s="19" t="str">
        <f>IF(_xlfn.XLOOKUP(Sales[[#This Row],[Product Name]],Inventory[Product Name],Inventory[Sale Price],"")=0,"",_xlfn.XLOOKUP(Sales[[#This Row],[Product Name]],Inventory[Product Name],Inventory[Sale Price]))</f>
        <v/>
      </c>
      <c r="I276" s="19" t="str">
        <f>IFERROR(G276*H276,"")</f>
        <v/>
      </c>
      <c r="J276" s="19"/>
    </row>
    <row r="277" spans="1:10" ht="21">
      <c r="A277" s="14">
        <v>272</v>
      </c>
      <c r="C277" s="16"/>
      <c r="D277" s="14" t="str">
        <f>IF(Sales[[#This Row],[Product ID]]="","",Sales[[#This Row],[Date]]&amp;Sales[[#This Row],[Invoice no]])</f>
        <v/>
      </c>
      <c r="E2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277" s="19" t="str">
        <f>IF(_xlfn.XLOOKUP(Sales[[#This Row],[Product Name]],Inventory[Product Name],Inventory[Sale Price],"")=0,"",_xlfn.XLOOKUP(Sales[[#This Row],[Product Name]],Inventory[Product Name],Inventory[Sale Price]))</f>
        <v/>
      </c>
      <c r="I277" s="19" t="str">
        <f>IFERROR(G277*H277,"")</f>
        <v/>
      </c>
      <c r="J277" s="19"/>
    </row>
    <row r="278" spans="1:10" ht="21">
      <c r="A278" s="14">
        <v>273</v>
      </c>
      <c r="C278" s="16"/>
      <c r="D278" s="14" t="str">
        <f>IF(Sales[[#This Row],[Product ID]]="","",Sales[[#This Row],[Date]]&amp;Sales[[#This Row],[Invoice no]])</f>
        <v/>
      </c>
      <c r="E2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278" s="19" t="str">
        <f>IF(_xlfn.XLOOKUP(Sales[[#This Row],[Product Name]],Inventory[Product Name],Inventory[Sale Price],"")=0,"",_xlfn.XLOOKUP(Sales[[#This Row],[Product Name]],Inventory[Product Name],Inventory[Sale Price]))</f>
        <v/>
      </c>
      <c r="I278" s="19" t="str">
        <f>IFERROR(G278*H278,"")</f>
        <v/>
      </c>
      <c r="J278" s="19"/>
    </row>
    <row r="279" spans="1:10" ht="21">
      <c r="A279" s="14">
        <v>274</v>
      </c>
      <c r="C279" s="16"/>
      <c r="D279" s="14" t="str">
        <f>IF(Sales[[#This Row],[Product ID]]="","",Sales[[#This Row],[Date]]&amp;Sales[[#This Row],[Invoice no]])</f>
        <v/>
      </c>
      <c r="E2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279" s="19" t="str">
        <f>IF(_xlfn.XLOOKUP(Sales[[#This Row],[Product Name]],Inventory[Product Name],Inventory[Sale Price],"")=0,"",_xlfn.XLOOKUP(Sales[[#This Row],[Product Name]],Inventory[Product Name],Inventory[Sale Price]))</f>
        <v/>
      </c>
      <c r="I279" s="19" t="str">
        <f>IFERROR(G279*H279,"")</f>
        <v/>
      </c>
      <c r="J279" s="19"/>
    </row>
    <row r="280" spans="1:10" ht="21">
      <c r="A280" s="14">
        <v>275</v>
      </c>
      <c r="C280" s="16"/>
      <c r="D280" s="14" t="str">
        <f>IF(Sales[[#This Row],[Product ID]]="","",Sales[[#This Row],[Date]]&amp;Sales[[#This Row],[Invoice no]])</f>
        <v/>
      </c>
      <c r="E2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80" s="19" t="str">
        <f>IF(_xlfn.XLOOKUP(Sales[[#This Row],[Product Name]],Inventory[Product Name],Inventory[Sale Price],"")=0,"",_xlfn.XLOOKUP(Sales[[#This Row],[Product Name]],Inventory[Product Name],Inventory[Sale Price]))</f>
        <v/>
      </c>
      <c r="I280" s="19" t="str">
        <f>IFERROR(G280*H280,"")</f>
        <v/>
      </c>
      <c r="J280" s="19"/>
    </row>
    <row r="281" spans="1:10" ht="21">
      <c r="A281" s="14">
        <v>276</v>
      </c>
      <c r="C281" s="16"/>
      <c r="D281" s="14" t="str">
        <f>IF(Sales[[#This Row],[Product ID]]="","",Sales[[#This Row],[Date]]&amp;Sales[[#This Row],[Invoice no]])</f>
        <v/>
      </c>
      <c r="E2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81" s="19" t="str">
        <f>IF(_xlfn.XLOOKUP(Sales[[#This Row],[Product Name]],Inventory[Product Name],Inventory[Sale Price],"")=0,"",_xlfn.XLOOKUP(Sales[[#This Row],[Product Name]],Inventory[Product Name],Inventory[Sale Price]))</f>
        <v/>
      </c>
      <c r="I281" s="19" t="str">
        <f>IFERROR(G281*H281,"")</f>
        <v/>
      </c>
      <c r="J281" s="19"/>
    </row>
    <row r="282" spans="1:10" ht="21">
      <c r="A282" s="14">
        <v>277</v>
      </c>
      <c r="C282" s="16"/>
      <c r="D282" s="14" t="str">
        <f>IF(Sales[[#This Row],[Product ID]]="","",Sales[[#This Row],[Date]]&amp;Sales[[#This Row],[Invoice no]])</f>
        <v/>
      </c>
      <c r="E2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82" s="19" t="str">
        <f>IF(_xlfn.XLOOKUP(Sales[[#This Row],[Product Name]],Inventory[Product Name],Inventory[Sale Price],"")=0,"",_xlfn.XLOOKUP(Sales[[#This Row],[Product Name]],Inventory[Product Name],Inventory[Sale Price]))</f>
        <v/>
      </c>
      <c r="I282" s="19" t="str">
        <f>IFERROR(G282*H282,"")</f>
        <v/>
      </c>
      <c r="J282" s="19"/>
    </row>
    <row r="283" spans="1:10" ht="21">
      <c r="A283" s="14">
        <v>278</v>
      </c>
      <c r="C283" s="16"/>
      <c r="D283" s="14" t="str">
        <f>IF(Sales[[#This Row],[Product ID]]="","",Sales[[#This Row],[Date]]&amp;Sales[[#This Row],[Invoice no]])</f>
        <v/>
      </c>
      <c r="E2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83" s="19" t="str">
        <f>IF(_xlfn.XLOOKUP(Sales[[#This Row],[Product Name]],Inventory[Product Name],Inventory[Sale Price],"")=0,"",_xlfn.XLOOKUP(Sales[[#This Row],[Product Name]],Inventory[Product Name],Inventory[Sale Price]))</f>
        <v/>
      </c>
      <c r="I283" s="19" t="str">
        <f>IFERROR(G283*H283,"")</f>
        <v/>
      </c>
      <c r="J283" s="19"/>
    </row>
    <row r="284" spans="1:10" ht="21">
      <c r="A284" s="14">
        <v>279</v>
      </c>
      <c r="C284" s="16"/>
      <c r="D284" s="14" t="str">
        <f>IF(Sales[[#This Row],[Product ID]]="","",Sales[[#This Row],[Date]]&amp;Sales[[#This Row],[Invoice no]])</f>
        <v/>
      </c>
      <c r="E2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84" s="19" t="str">
        <f>IF(_xlfn.XLOOKUP(Sales[[#This Row],[Product Name]],Inventory[Product Name],Inventory[Sale Price],"")=0,"",_xlfn.XLOOKUP(Sales[[#This Row],[Product Name]],Inventory[Product Name],Inventory[Sale Price]))</f>
        <v/>
      </c>
      <c r="I284" s="19" t="str">
        <f>IFERROR(G284*H284,"")</f>
        <v/>
      </c>
      <c r="J284" s="19"/>
    </row>
    <row r="285" spans="1:10" ht="21">
      <c r="A285" s="14">
        <v>280</v>
      </c>
      <c r="C285" s="16"/>
      <c r="D285" s="14" t="str">
        <f>IF(Sales[[#This Row],[Product ID]]="","",Sales[[#This Row],[Date]]&amp;Sales[[#This Row],[Invoice no]])</f>
        <v/>
      </c>
      <c r="E2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285" s="19" t="str">
        <f>IF(_xlfn.XLOOKUP(Sales[[#This Row],[Product Name]],Inventory[Product Name],Inventory[Sale Price],"")=0,"",_xlfn.XLOOKUP(Sales[[#This Row],[Product Name]],Inventory[Product Name],Inventory[Sale Price]))</f>
        <v/>
      </c>
      <c r="I285" s="19" t="str">
        <f>IFERROR(G285*H285,"")</f>
        <v/>
      </c>
      <c r="J285" s="19"/>
    </row>
    <row r="286" spans="1:10" ht="21">
      <c r="A286" s="14">
        <v>281</v>
      </c>
      <c r="C286" s="16"/>
      <c r="D286" s="14" t="str">
        <f>IF(Sales[[#This Row],[Product ID]]="","",Sales[[#This Row],[Date]]&amp;Sales[[#This Row],[Invoice no]])</f>
        <v/>
      </c>
      <c r="E2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286" s="19" t="str">
        <f>IF(_xlfn.XLOOKUP(Sales[[#This Row],[Product Name]],Inventory[Product Name],Inventory[Sale Price],"")=0,"",_xlfn.XLOOKUP(Sales[[#This Row],[Product Name]],Inventory[Product Name],Inventory[Sale Price]))</f>
        <v/>
      </c>
      <c r="I286" s="19" t="str">
        <f>IFERROR(G286*H286,"")</f>
        <v/>
      </c>
      <c r="J286" s="19"/>
    </row>
    <row r="287" spans="1:10" ht="21">
      <c r="A287" s="14">
        <v>282</v>
      </c>
      <c r="C287" s="16"/>
      <c r="D287" s="14" t="str">
        <f>IF(Sales[[#This Row],[Product ID]]="","",Sales[[#This Row],[Date]]&amp;Sales[[#This Row],[Invoice no]])</f>
        <v/>
      </c>
      <c r="E2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287" s="19" t="str">
        <f>IF(_xlfn.XLOOKUP(Sales[[#This Row],[Product Name]],Inventory[Product Name],Inventory[Sale Price],"")=0,"",_xlfn.XLOOKUP(Sales[[#This Row],[Product Name]],Inventory[Product Name],Inventory[Sale Price]))</f>
        <v/>
      </c>
      <c r="I287" s="19" t="str">
        <f>IFERROR(G287*H287,"")</f>
        <v/>
      </c>
      <c r="J287" s="19"/>
    </row>
    <row r="288" spans="1:10" ht="21">
      <c r="A288" s="14">
        <v>283</v>
      </c>
      <c r="C288" s="16"/>
      <c r="D288" s="14" t="str">
        <f>IF(Sales[[#This Row],[Product ID]]="","",Sales[[#This Row],[Date]]&amp;Sales[[#This Row],[Invoice no]])</f>
        <v/>
      </c>
      <c r="E2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288" s="19" t="str">
        <f>IF(_xlfn.XLOOKUP(Sales[[#This Row],[Product Name]],Inventory[Product Name],Inventory[Sale Price],"")=0,"",_xlfn.XLOOKUP(Sales[[#This Row],[Product Name]],Inventory[Product Name],Inventory[Sale Price]))</f>
        <v/>
      </c>
      <c r="I288" s="19" t="str">
        <f>IFERROR(G288*H288,"")</f>
        <v/>
      </c>
      <c r="J288" s="19"/>
    </row>
    <row r="289" spans="1:10" ht="21">
      <c r="A289" s="14">
        <v>284</v>
      </c>
      <c r="C289" s="16"/>
      <c r="D289" s="14" t="str">
        <f>IF(Sales[[#This Row],[Product ID]]="","",Sales[[#This Row],[Date]]&amp;Sales[[#This Row],[Invoice no]])</f>
        <v/>
      </c>
      <c r="E2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289" s="19" t="str">
        <f>IF(_xlfn.XLOOKUP(Sales[[#This Row],[Product Name]],Inventory[Product Name],Inventory[Sale Price],"")=0,"",_xlfn.XLOOKUP(Sales[[#This Row],[Product Name]],Inventory[Product Name],Inventory[Sale Price]))</f>
        <v/>
      </c>
      <c r="I289" s="19" t="str">
        <f>IFERROR(G289*H289,"")</f>
        <v/>
      </c>
      <c r="J289" s="19"/>
    </row>
    <row r="290" spans="1:10" ht="21">
      <c r="A290" s="14">
        <v>285</v>
      </c>
      <c r="C290" s="16"/>
      <c r="D290" s="14" t="str">
        <f>IF(Sales[[#This Row],[Product ID]]="","",Sales[[#This Row],[Date]]&amp;Sales[[#This Row],[Invoice no]])</f>
        <v/>
      </c>
      <c r="E2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90" s="19" t="str">
        <f>IF(_xlfn.XLOOKUP(Sales[[#This Row],[Product Name]],Inventory[Product Name],Inventory[Sale Price],"")=0,"",_xlfn.XLOOKUP(Sales[[#This Row],[Product Name]],Inventory[Product Name],Inventory[Sale Price]))</f>
        <v/>
      </c>
      <c r="I290" s="19" t="str">
        <f>IFERROR(G290*H290,"")</f>
        <v/>
      </c>
      <c r="J290" s="19"/>
    </row>
    <row r="291" spans="1:10" ht="21">
      <c r="A291" s="14">
        <v>286</v>
      </c>
      <c r="C291" s="16"/>
      <c r="D291" s="14" t="str">
        <f>IF(Sales[[#This Row],[Product ID]]="","",Sales[[#This Row],[Date]]&amp;Sales[[#This Row],[Invoice no]])</f>
        <v/>
      </c>
      <c r="E2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91" s="19" t="str">
        <f>IF(_xlfn.XLOOKUP(Sales[[#This Row],[Product Name]],Inventory[Product Name],Inventory[Sale Price],"")=0,"",_xlfn.XLOOKUP(Sales[[#This Row],[Product Name]],Inventory[Product Name],Inventory[Sale Price]))</f>
        <v/>
      </c>
      <c r="I291" s="19" t="str">
        <f>IFERROR(G291*H291,"")</f>
        <v/>
      </c>
      <c r="J291" s="19"/>
    </row>
    <row r="292" spans="1:10" ht="21">
      <c r="A292" s="14">
        <v>287</v>
      </c>
      <c r="C292" s="16"/>
      <c r="D292" s="14" t="str">
        <f>IF(Sales[[#This Row],[Product ID]]="","",Sales[[#This Row],[Date]]&amp;Sales[[#This Row],[Invoice no]])</f>
        <v/>
      </c>
      <c r="E2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92" s="19" t="str">
        <f>IF(_xlfn.XLOOKUP(Sales[[#This Row],[Product Name]],Inventory[Product Name],Inventory[Sale Price],"")=0,"",_xlfn.XLOOKUP(Sales[[#This Row],[Product Name]],Inventory[Product Name],Inventory[Sale Price]))</f>
        <v/>
      </c>
      <c r="I292" s="19" t="str">
        <f>IFERROR(G292*H292,"")</f>
        <v/>
      </c>
      <c r="J292" s="19"/>
    </row>
    <row r="293" spans="1:10" ht="21">
      <c r="A293" s="14">
        <v>288</v>
      </c>
      <c r="C293" s="16"/>
      <c r="D293" s="14" t="str">
        <f>IF(Sales[[#This Row],[Product ID]]="","",Sales[[#This Row],[Date]]&amp;Sales[[#This Row],[Invoice no]])</f>
        <v/>
      </c>
      <c r="E2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93" s="19" t="str">
        <f>IF(_xlfn.XLOOKUP(Sales[[#This Row],[Product Name]],Inventory[Product Name],Inventory[Sale Price],"")=0,"",_xlfn.XLOOKUP(Sales[[#This Row],[Product Name]],Inventory[Product Name],Inventory[Sale Price]))</f>
        <v/>
      </c>
      <c r="I293" s="19" t="str">
        <f>IFERROR(G293*H293,"")</f>
        <v/>
      </c>
      <c r="J293" s="19"/>
    </row>
    <row r="294" spans="1:10" ht="21">
      <c r="A294" s="14">
        <v>289</v>
      </c>
      <c r="C294" s="16"/>
      <c r="D294" s="14" t="str">
        <f>IF(Sales[[#This Row],[Product ID]]="","",Sales[[#This Row],[Date]]&amp;Sales[[#This Row],[Invoice no]])</f>
        <v/>
      </c>
      <c r="E2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94" s="19" t="str">
        <f>IF(_xlfn.XLOOKUP(Sales[[#This Row],[Product Name]],Inventory[Product Name],Inventory[Sale Price],"")=0,"",_xlfn.XLOOKUP(Sales[[#This Row],[Product Name]],Inventory[Product Name],Inventory[Sale Price]))</f>
        <v/>
      </c>
      <c r="I294" s="19" t="str">
        <f>IFERROR(G294*H294,"")</f>
        <v/>
      </c>
      <c r="J294" s="19"/>
    </row>
    <row r="295" spans="1:10" ht="21">
      <c r="A295" s="14">
        <v>290</v>
      </c>
      <c r="C295" s="16"/>
      <c r="D295" s="14" t="str">
        <f>IF(Sales[[#This Row],[Product ID]]="","",Sales[[#This Row],[Date]]&amp;Sales[[#This Row],[Invoice no]])</f>
        <v/>
      </c>
      <c r="E2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295" s="19" t="str">
        <f>IF(_xlfn.XLOOKUP(Sales[[#This Row],[Product Name]],Inventory[Product Name],Inventory[Sale Price],"")=0,"",_xlfn.XLOOKUP(Sales[[#This Row],[Product Name]],Inventory[Product Name],Inventory[Sale Price]))</f>
        <v/>
      </c>
      <c r="I295" s="19" t="str">
        <f>IFERROR(G295*H295,"")</f>
        <v/>
      </c>
      <c r="J295" s="19"/>
    </row>
    <row r="296" spans="1:10" ht="21">
      <c r="A296" s="14">
        <v>291</v>
      </c>
      <c r="C296" s="16"/>
      <c r="D296" s="14" t="str">
        <f>IF(Sales[[#This Row],[Product ID]]="","",Sales[[#This Row],[Date]]&amp;Sales[[#This Row],[Invoice no]])</f>
        <v/>
      </c>
      <c r="E2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296" s="19" t="str">
        <f>IF(_xlfn.XLOOKUP(Sales[[#This Row],[Product Name]],Inventory[Product Name],Inventory[Sale Price],"")=0,"",_xlfn.XLOOKUP(Sales[[#This Row],[Product Name]],Inventory[Product Name],Inventory[Sale Price]))</f>
        <v/>
      </c>
      <c r="I296" s="19" t="str">
        <f>IFERROR(G296*H296,"")</f>
        <v/>
      </c>
      <c r="J296" s="19"/>
    </row>
    <row r="297" spans="1:10" ht="21">
      <c r="A297" s="14">
        <v>292</v>
      </c>
      <c r="C297" s="16"/>
      <c r="D297" s="14" t="str">
        <f>IF(Sales[[#This Row],[Product ID]]="","",Sales[[#This Row],[Date]]&amp;Sales[[#This Row],[Invoice no]])</f>
        <v/>
      </c>
      <c r="E2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297" s="19" t="str">
        <f>IF(_xlfn.XLOOKUP(Sales[[#This Row],[Product Name]],Inventory[Product Name],Inventory[Sale Price],"")=0,"",_xlfn.XLOOKUP(Sales[[#This Row],[Product Name]],Inventory[Product Name],Inventory[Sale Price]))</f>
        <v/>
      </c>
      <c r="I297" s="19" t="str">
        <f>IFERROR(G297*H297,"")</f>
        <v/>
      </c>
      <c r="J297" s="19"/>
    </row>
    <row r="298" spans="1:10" ht="21">
      <c r="A298" s="14">
        <v>293</v>
      </c>
      <c r="C298" s="16"/>
      <c r="D298" s="14" t="str">
        <f>IF(Sales[[#This Row],[Product ID]]="","",Sales[[#This Row],[Date]]&amp;Sales[[#This Row],[Invoice no]])</f>
        <v/>
      </c>
      <c r="E2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298" s="19" t="str">
        <f>IF(_xlfn.XLOOKUP(Sales[[#This Row],[Product Name]],Inventory[Product Name],Inventory[Sale Price],"")=0,"",_xlfn.XLOOKUP(Sales[[#This Row],[Product Name]],Inventory[Product Name],Inventory[Sale Price]))</f>
        <v/>
      </c>
      <c r="I298" s="19" t="str">
        <f>IFERROR(G298*H298,"")</f>
        <v/>
      </c>
      <c r="J298" s="19"/>
    </row>
    <row r="299" spans="1:10" ht="21">
      <c r="A299" s="14">
        <v>294</v>
      </c>
      <c r="C299" s="16"/>
      <c r="D299" s="14" t="str">
        <f>IF(Sales[[#This Row],[Product ID]]="","",Sales[[#This Row],[Date]]&amp;Sales[[#This Row],[Invoice no]])</f>
        <v/>
      </c>
      <c r="E2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299" s="19" t="str">
        <f>IF(_xlfn.XLOOKUP(Sales[[#This Row],[Product Name]],Inventory[Product Name],Inventory[Sale Price],"")=0,"",_xlfn.XLOOKUP(Sales[[#This Row],[Product Name]],Inventory[Product Name],Inventory[Sale Price]))</f>
        <v/>
      </c>
      <c r="I299" s="19" t="str">
        <f>IFERROR(G299*H299,"")</f>
        <v/>
      </c>
      <c r="J299" s="19"/>
    </row>
    <row r="300" spans="1:10" ht="21">
      <c r="A300" s="14">
        <v>295</v>
      </c>
      <c r="C300" s="16"/>
      <c r="D300" s="14" t="str">
        <f>IF(Sales[[#This Row],[Product ID]]="","",Sales[[#This Row],[Date]]&amp;Sales[[#This Row],[Invoice no]])</f>
        <v/>
      </c>
      <c r="E3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300" s="19" t="str">
        <f>IF(_xlfn.XLOOKUP(Sales[[#This Row],[Product Name]],Inventory[Product Name],Inventory[Sale Price],"")=0,"",_xlfn.XLOOKUP(Sales[[#This Row],[Product Name]],Inventory[Product Name],Inventory[Sale Price]))</f>
        <v/>
      </c>
      <c r="I300" s="19" t="str">
        <f>IFERROR(G300*H300,"")</f>
        <v/>
      </c>
      <c r="J300" s="19"/>
    </row>
    <row r="301" spans="1:10" ht="21">
      <c r="A301" s="14">
        <v>296</v>
      </c>
      <c r="C301" s="16"/>
      <c r="D301" s="14" t="str">
        <f>IF(Sales[[#This Row],[Product ID]]="","",Sales[[#This Row],[Date]]&amp;Sales[[#This Row],[Invoice no]])</f>
        <v/>
      </c>
      <c r="E3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301" s="19" t="str">
        <f>IF(_xlfn.XLOOKUP(Sales[[#This Row],[Product Name]],Inventory[Product Name],Inventory[Sale Price],"")=0,"",_xlfn.XLOOKUP(Sales[[#This Row],[Product Name]],Inventory[Product Name],Inventory[Sale Price]))</f>
        <v/>
      </c>
      <c r="I301" s="19" t="str">
        <f>IFERROR(G301*H301,"")</f>
        <v/>
      </c>
      <c r="J301" s="19"/>
    </row>
    <row r="302" spans="1:10" ht="21">
      <c r="A302" s="14">
        <v>297</v>
      </c>
      <c r="C302" s="16"/>
      <c r="D302" s="14" t="str">
        <f>IF(Sales[[#This Row],[Product ID]]="","",Sales[[#This Row],[Date]]&amp;Sales[[#This Row],[Invoice no]])</f>
        <v/>
      </c>
      <c r="E3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02" s="19" t="str">
        <f>IF(_xlfn.XLOOKUP(Sales[[#This Row],[Product Name]],Inventory[Product Name],Inventory[Sale Price],"")=0,"",_xlfn.XLOOKUP(Sales[[#This Row],[Product Name]],Inventory[Product Name],Inventory[Sale Price]))</f>
        <v/>
      </c>
      <c r="I302" s="19" t="str">
        <f>IFERROR(G302*H302,"")</f>
        <v/>
      </c>
      <c r="J302" s="19"/>
    </row>
    <row r="303" spans="1:10" ht="21">
      <c r="A303" s="14">
        <v>298</v>
      </c>
      <c r="C303" s="16"/>
      <c r="D303" s="14" t="str">
        <f>IF(Sales[[#This Row],[Product ID]]="","",Sales[[#This Row],[Date]]&amp;Sales[[#This Row],[Invoice no]])</f>
        <v/>
      </c>
      <c r="E3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03" s="19" t="str">
        <f>IF(_xlfn.XLOOKUP(Sales[[#This Row],[Product Name]],Inventory[Product Name],Inventory[Sale Price],"")=0,"",_xlfn.XLOOKUP(Sales[[#This Row],[Product Name]],Inventory[Product Name],Inventory[Sale Price]))</f>
        <v/>
      </c>
      <c r="I303" s="19" t="str">
        <f>IFERROR(G303*H303,"")</f>
        <v/>
      </c>
      <c r="J303" s="19"/>
    </row>
    <row r="304" spans="1:10" ht="21">
      <c r="A304" s="14">
        <v>299</v>
      </c>
      <c r="C304" s="16"/>
      <c r="D304" s="14" t="str">
        <f>IF(Sales[[#This Row],[Product ID]]="","",Sales[[#This Row],[Date]]&amp;Sales[[#This Row],[Invoice no]])</f>
        <v/>
      </c>
      <c r="E3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04" s="19" t="str">
        <f>IF(_xlfn.XLOOKUP(Sales[[#This Row],[Product Name]],Inventory[Product Name],Inventory[Sale Price],"")=0,"",_xlfn.XLOOKUP(Sales[[#This Row],[Product Name]],Inventory[Product Name],Inventory[Sale Price]))</f>
        <v/>
      </c>
      <c r="I304" s="19" t="str">
        <f>IFERROR(G304*H304,"")</f>
        <v/>
      </c>
      <c r="J304" s="19"/>
    </row>
    <row r="305" spans="1:10" ht="21">
      <c r="A305" s="14">
        <v>300</v>
      </c>
      <c r="C305" s="16"/>
      <c r="D305" s="14" t="str">
        <f>IF(Sales[[#This Row],[Product ID]]="","",Sales[[#This Row],[Date]]&amp;Sales[[#This Row],[Invoice no]])</f>
        <v/>
      </c>
      <c r="E3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05" s="19" t="str">
        <f>IF(_xlfn.XLOOKUP(Sales[[#This Row],[Product Name]],Inventory[Product Name],Inventory[Sale Price],"")=0,"",_xlfn.XLOOKUP(Sales[[#This Row],[Product Name]],Inventory[Product Name],Inventory[Sale Price]))</f>
        <v/>
      </c>
      <c r="I305" s="19" t="str">
        <f>IFERROR(G305*H305,"")</f>
        <v/>
      </c>
      <c r="J305" s="19"/>
    </row>
    <row r="306" spans="1:10" ht="21">
      <c r="A306" s="14">
        <v>301</v>
      </c>
      <c r="C306" s="16"/>
      <c r="D306" s="14" t="str">
        <f>IF(Sales[[#This Row],[Product ID]]="","",Sales[[#This Row],[Date]]&amp;Sales[[#This Row],[Invoice no]])</f>
        <v/>
      </c>
      <c r="E3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06" s="19" t="str">
        <f>IF(_xlfn.XLOOKUP(Sales[[#This Row],[Product Name]],Inventory[Product Name],Inventory[Sale Price],"")=0,"",_xlfn.XLOOKUP(Sales[[#This Row],[Product Name]],Inventory[Product Name],Inventory[Sale Price]))</f>
        <v/>
      </c>
      <c r="I306" s="19" t="str">
        <f>IFERROR(G306*H306,"")</f>
        <v/>
      </c>
      <c r="J306" s="19"/>
    </row>
    <row r="307" spans="1:10" ht="21">
      <c r="A307" s="14">
        <v>302</v>
      </c>
      <c r="C307" s="16"/>
      <c r="D307" s="14" t="str">
        <f>IF(Sales[[#This Row],[Product ID]]="","",Sales[[#This Row],[Date]]&amp;Sales[[#This Row],[Invoice no]])</f>
        <v/>
      </c>
      <c r="E3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07" s="19" t="str">
        <f>IF(_xlfn.XLOOKUP(Sales[[#This Row],[Product Name]],Inventory[Product Name],Inventory[Sale Price],"")=0,"",_xlfn.XLOOKUP(Sales[[#This Row],[Product Name]],Inventory[Product Name],Inventory[Sale Price]))</f>
        <v/>
      </c>
      <c r="I307" s="19" t="str">
        <f>IFERROR(G307*H307,"")</f>
        <v/>
      </c>
      <c r="J307" s="19"/>
    </row>
    <row r="308" spans="1:10" ht="21">
      <c r="A308" s="14">
        <v>303</v>
      </c>
      <c r="C308" s="16"/>
      <c r="D308" s="14" t="str">
        <f>IF(Sales[[#This Row],[Product ID]]="","",Sales[[#This Row],[Date]]&amp;Sales[[#This Row],[Invoice no]])</f>
        <v/>
      </c>
      <c r="E3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08" s="19" t="str">
        <f>IF(_xlfn.XLOOKUP(Sales[[#This Row],[Product Name]],Inventory[Product Name],Inventory[Sale Price],"")=0,"",_xlfn.XLOOKUP(Sales[[#This Row],[Product Name]],Inventory[Product Name],Inventory[Sale Price]))</f>
        <v/>
      </c>
      <c r="I308" s="19" t="str">
        <f>IFERROR(G308*H308,"")</f>
        <v/>
      </c>
      <c r="J308" s="19"/>
    </row>
    <row r="309" spans="1:10" ht="21">
      <c r="A309" s="14">
        <v>304</v>
      </c>
      <c r="C309" s="16"/>
      <c r="D309" s="14" t="str">
        <f>IF(Sales[[#This Row],[Product ID]]="","",Sales[[#This Row],[Date]]&amp;Sales[[#This Row],[Invoice no]])</f>
        <v/>
      </c>
      <c r="E3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09" s="19" t="str">
        <f>IF(_xlfn.XLOOKUP(Sales[[#This Row],[Product Name]],Inventory[Product Name],Inventory[Sale Price],"")=0,"",_xlfn.XLOOKUP(Sales[[#This Row],[Product Name]],Inventory[Product Name],Inventory[Sale Price]))</f>
        <v/>
      </c>
      <c r="I309" s="19" t="str">
        <f>IFERROR(G309*H309,"")</f>
        <v/>
      </c>
      <c r="J309" s="19"/>
    </row>
    <row r="310" spans="1:10" ht="21">
      <c r="A310" s="14">
        <v>305</v>
      </c>
      <c r="C310" s="16"/>
      <c r="D310" s="14" t="str">
        <f>IF(Sales[[#This Row],[Product ID]]="","",Sales[[#This Row],[Date]]&amp;Sales[[#This Row],[Invoice no]])</f>
        <v/>
      </c>
      <c r="E3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310" s="19" t="str">
        <f>IF(_xlfn.XLOOKUP(Sales[[#This Row],[Product Name]],Inventory[Product Name],Inventory[Sale Price],"")=0,"",_xlfn.XLOOKUP(Sales[[#This Row],[Product Name]],Inventory[Product Name],Inventory[Sale Price]))</f>
        <v/>
      </c>
      <c r="I310" s="19" t="str">
        <f>IFERROR(G310*H310,"")</f>
        <v/>
      </c>
      <c r="J310" s="19"/>
    </row>
    <row r="311" spans="1:10" ht="21">
      <c r="A311" s="14">
        <v>306</v>
      </c>
      <c r="C311" s="16"/>
      <c r="D311" s="14" t="str">
        <f>IF(Sales[[#This Row],[Product ID]]="","",Sales[[#This Row],[Date]]&amp;Sales[[#This Row],[Invoice no]])</f>
        <v/>
      </c>
      <c r="E3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311" s="19" t="str">
        <f>IF(_xlfn.XLOOKUP(Sales[[#This Row],[Product Name]],Inventory[Product Name],Inventory[Sale Price],"")=0,"",_xlfn.XLOOKUP(Sales[[#This Row],[Product Name]],Inventory[Product Name],Inventory[Sale Price]))</f>
        <v/>
      </c>
      <c r="I311" s="19" t="str">
        <f>IFERROR(G311*H311,"")</f>
        <v/>
      </c>
      <c r="J311" s="19"/>
    </row>
    <row r="312" spans="1:10" ht="21">
      <c r="A312" s="14">
        <v>307</v>
      </c>
      <c r="C312" s="16"/>
      <c r="D312" s="14" t="str">
        <f>IF(Sales[[#This Row],[Product ID]]="","",Sales[[#This Row],[Date]]&amp;Sales[[#This Row],[Invoice no]])</f>
        <v/>
      </c>
      <c r="E3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12" s="19" t="str">
        <f>IF(_xlfn.XLOOKUP(Sales[[#This Row],[Product Name]],Inventory[Product Name],Inventory[Sale Price],"")=0,"",_xlfn.XLOOKUP(Sales[[#This Row],[Product Name]],Inventory[Product Name],Inventory[Sale Price]))</f>
        <v/>
      </c>
      <c r="I312" s="19" t="str">
        <f>IFERROR(G312*H312,"")</f>
        <v/>
      </c>
      <c r="J312" s="19"/>
    </row>
    <row r="313" spans="1:10" ht="21">
      <c r="A313" s="14">
        <v>308</v>
      </c>
      <c r="C313" s="16"/>
      <c r="D313" s="14" t="str">
        <f>IF(Sales[[#This Row],[Product ID]]="","",Sales[[#This Row],[Date]]&amp;Sales[[#This Row],[Invoice no]])</f>
        <v/>
      </c>
      <c r="E3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13" s="19" t="str">
        <f>IF(_xlfn.XLOOKUP(Sales[[#This Row],[Product Name]],Inventory[Product Name],Inventory[Sale Price],"")=0,"",_xlfn.XLOOKUP(Sales[[#This Row],[Product Name]],Inventory[Product Name],Inventory[Sale Price]))</f>
        <v/>
      </c>
      <c r="I313" s="19" t="str">
        <f>IFERROR(G313*H313,"")</f>
        <v/>
      </c>
      <c r="J313" s="19"/>
    </row>
    <row r="314" spans="1:10" ht="21">
      <c r="A314" s="14">
        <v>309</v>
      </c>
      <c r="C314" s="16"/>
      <c r="D314" s="14" t="str">
        <f>IF(Sales[[#This Row],[Product ID]]="","",Sales[[#This Row],[Date]]&amp;Sales[[#This Row],[Invoice no]])</f>
        <v/>
      </c>
      <c r="E3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14" s="19" t="str">
        <f>IF(_xlfn.XLOOKUP(Sales[[#This Row],[Product Name]],Inventory[Product Name],Inventory[Sale Price],"")=0,"",_xlfn.XLOOKUP(Sales[[#This Row],[Product Name]],Inventory[Product Name],Inventory[Sale Price]))</f>
        <v/>
      </c>
      <c r="I314" s="19" t="str">
        <f>IFERROR(G314*H314,"")</f>
        <v/>
      </c>
      <c r="J314" s="19"/>
    </row>
    <row r="315" spans="1:10" ht="21">
      <c r="A315" s="14">
        <v>310</v>
      </c>
      <c r="C315" s="16"/>
      <c r="D315" s="14" t="str">
        <f>IF(Sales[[#This Row],[Product ID]]="","",Sales[[#This Row],[Date]]&amp;Sales[[#This Row],[Invoice no]])</f>
        <v/>
      </c>
      <c r="E3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15" s="19" t="str">
        <f>IF(_xlfn.XLOOKUP(Sales[[#This Row],[Product Name]],Inventory[Product Name],Inventory[Sale Price],"")=0,"",_xlfn.XLOOKUP(Sales[[#This Row],[Product Name]],Inventory[Product Name],Inventory[Sale Price]))</f>
        <v/>
      </c>
      <c r="I315" s="19" t="str">
        <f>IFERROR(G315*H315,"")</f>
        <v/>
      </c>
      <c r="J315" s="19"/>
    </row>
    <row r="316" spans="1:10" ht="21">
      <c r="A316" s="14">
        <v>311</v>
      </c>
      <c r="C316" s="16"/>
      <c r="D316" s="14" t="str">
        <f>IF(Sales[[#This Row],[Product ID]]="","",Sales[[#This Row],[Date]]&amp;Sales[[#This Row],[Invoice no]])</f>
        <v/>
      </c>
      <c r="E3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16" s="19" t="str">
        <f>IF(_xlfn.XLOOKUP(Sales[[#This Row],[Product Name]],Inventory[Product Name],Inventory[Sale Price],"")=0,"",_xlfn.XLOOKUP(Sales[[#This Row],[Product Name]],Inventory[Product Name],Inventory[Sale Price]))</f>
        <v/>
      </c>
      <c r="I316" s="19" t="str">
        <f>IFERROR(G316*H316,"")</f>
        <v/>
      </c>
      <c r="J316" s="19"/>
    </row>
    <row r="317" spans="1:10" ht="21">
      <c r="A317" s="14">
        <v>312</v>
      </c>
      <c r="C317" s="16"/>
      <c r="D317" s="14" t="str">
        <f>IF(Sales[[#This Row],[Product ID]]="","",Sales[[#This Row],[Date]]&amp;Sales[[#This Row],[Invoice no]])</f>
        <v/>
      </c>
      <c r="E3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17" s="19" t="str">
        <f>IF(_xlfn.XLOOKUP(Sales[[#This Row],[Product Name]],Inventory[Product Name],Inventory[Sale Price],"")=0,"",_xlfn.XLOOKUP(Sales[[#This Row],[Product Name]],Inventory[Product Name],Inventory[Sale Price]))</f>
        <v/>
      </c>
      <c r="I317" s="19" t="str">
        <f>IFERROR(G317*H317,"")</f>
        <v/>
      </c>
      <c r="J317" s="19"/>
    </row>
    <row r="318" spans="1:10" ht="21">
      <c r="A318" s="14">
        <v>313</v>
      </c>
      <c r="C318" s="16"/>
      <c r="D318" s="14" t="str">
        <f>IF(Sales[[#This Row],[Product ID]]="","",Sales[[#This Row],[Date]]&amp;Sales[[#This Row],[Invoice no]])</f>
        <v/>
      </c>
      <c r="E3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18" s="19" t="str">
        <f>IF(_xlfn.XLOOKUP(Sales[[#This Row],[Product Name]],Inventory[Product Name],Inventory[Sale Price],"")=0,"",_xlfn.XLOOKUP(Sales[[#This Row],[Product Name]],Inventory[Product Name],Inventory[Sale Price]))</f>
        <v/>
      </c>
      <c r="I318" s="19" t="str">
        <f>IFERROR(G318*H318,"")</f>
        <v/>
      </c>
      <c r="J318" s="19"/>
    </row>
    <row r="319" spans="1:10" ht="21">
      <c r="A319" s="14">
        <v>314</v>
      </c>
      <c r="C319" s="16"/>
      <c r="D319" s="14" t="str">
        <f>IF(Sales[[#This Row],[Product ID]]="","",Sales[[#This Row],[Date]]&amp;Sales[[#This Row],[Invoice no]])</f>
        <v/>
      </c>
      <c r="E3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19" s="19" t="str">
        <f>IF(_xlfn.XLOOKUP(Sales[[#This Row],[Product Name]],Inventory[Product Name],Inventory[Sale Price],"")=0,"",_xlfn.XLOOKUP(Sales[[#This Row],[Product Name]],Inventory[Product Name],Inventory[Sale Price]))</f>
        <v/>
      </c>
      <c r="I319" s="19" t="str">
        <f>IFERROR(G319*H319,"")</f>
        <v/>
      </c>
      <c r="J319" s="19"/>
    </row>
    <row r="320" spans="1:10" ht="21">
      <c r="A320" s="14">
        <v>315</v>
      </c>
      <c r="C320" s="16"/>
      <c r="D320" s="14" t="str">
        <f>IF(Sales[[#This Row],[Product ID]]="","",Sales[[#This Row],[Date]]&amp;Sales[[#This Row],[Invoice no]])</f>
        <v/>
      </c>
      <c r="E3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0" s="19" t="str">
        <f>IF(_xlfn.XLOOKUP(Sales[[#This Row],[Product Name]],Inventory[Product Name],Inventory[Sale Price],"")=0,"",_xlfn.XLOOKUP(Sales[[#This Row],[Product Name]],Inventory[Product Name],Inventory[Sale Price]))</f>
        <v/>
      </c>
      <c r="I320" s="19" t="str">
        <f>IFERROR(G320*H320,"")</f>
        <v/>
      </c>
      <c r="J320" s="19"/>
    </row>
    <row r="321" spans="1:10" ht="21">
      <c r="A321" s="14">
        <v>316</v>
      </c>
      <c r="C321" s="16"/>
      <c r="D321" s="14" t="str">
        <f>IF(Sales[[#This Row],[Product ID]]="","",Sales[[#This Row],[Date]]&amp;Sales[[#This Row],[Invoice no]])</f>
        <v/>
      </c>
      <c r="E3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1" s="19" t="str">
        <f>IF(_xlfn.XLOOKUP(Sales[[#This Row],[Product Name]],Inventory[Product Name],Inventory[Sale Price],"")=0,"",_xlfn.XLOOKUP(Sales[[#This Row],[Product Name]],Inventory[Product Name],Inventory[Sale Price]))</f>
        <v/>
      </c>
      <c r="I321" s="19" t="str">
        <f>IFERROR(G321*H321,"")</f>
        <v/>
      </c>
      <c r="J321" s="19"/>
    </row>
    <row r="322" spans="1:10" ht="21">
      <c r="A322" s="14">
        <v>317</v>
      </c>
      <c r="C322" s="16"/>
      <c r="D322" s="14" t="str">
        <f>IF(Sales[[#This Row],[Product ID]]="","",Sales[[#This Row],[Date]]&amp;Sales[[#This Row],[Invoice no]])</f>
        <v/>
      </c>
      <c r="E3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2" s="19" t="str">
        <f>IF(_xlfn.XLOOKUP(Sales[[#This Row],[Product Name]],Inventory[Product Name],Inventory[Sale Price],"")=0,"",_xlfn.XLOOKUP(Sales[[#This Row],[Product Name]],Inventory[Product Name],Inventory[Sale Price]))</f>
        <v/>
      </c>
      <c r="I322" s="19" t="str">
        <f>IFERROR(G322*H322,"")</f>
        <v/>
      </c>
      <c r="J322" s="19"/>
    </row>
    <row r="323" spans="1:10" ht="21">
      <c r="A323" s="14">
        <v>318</v>
      </c>
      <c r="C323" s="16"/>
      <c r="D323" s="14" t="str">
        <f>IF(Sales[[#This Row],[Product ID]]="","",Sales[[#This Row],[Date]]&amp;Sales[[#This Row],[Invoice no]])</f>
        <v/>
      </c>
      <c r="E3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3" s="19" t="str">
        <f>IF(_xlfn.XLOOKUP(Sales[[#This Row],[Product Name]],Inventory[Product Name],Inventory[Sale Price],"")=0,"",_xlfn.XLOOKUP(Sales[[#This Row],[Product Name]],Inventory[Product Name],Inventory[Sale Price]))</f>
        <v/>
      </c>
      <c r="I323" s="19" t="str">
        <f>IFERROR(G323*H323,"")</f>
        <v/>
      </c>
      <c r="J323" s="19"/>
    </row>
    <row r="324" spans="1:10" ht="21">
      <c r="A324" s="14">
        <v>319</v>
      </c>
      <c r="C324" s="16"/>
      <c r="D324" s="14" t="str">
        <f>IF(Sales[[#This Row],[Product ID]]="","",Sales[[#This Row],[Date]]&amp;Sales[[#This Row],[Invoice no]])</f>
        <v/>
      </c>
      <c r="E3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4" s="19" t="str">
        <f>IF(_xlfn.XLOOKUP(Sales[[#This Row],[Product Name]],Inventory[Product Name],Inventory[Sale Price],"")=0,"",_xlfn.XLOOKUP(Sales[[#This Row],[Product Name]],Inventory[Product Name],Inventory[Sale Price]))</f>
        <v/>
      </c>
      <c r="I324" s="19" t="str">
        <f>IFERROR(G324*H324,"")</f>
        <v/>
      </c>
      <c r="J324" s="19"/>
    </row>
    <row r="325" spans="1:10" ht="21">
      <c r="A325" s="14">
        <v>320</v>
      </c>
      <c r="C325" s="16"/>
      <c r="D325" s="14" t="str">
        <f>IF(Sales[[#This Row],[Product ID]]="","",Sales[[#This Row],[Date]]&amp;Sales[[#This Row],[Invoice no]])</f>
        <v/>
      </c>
      <c r="E3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5" s="19" t="str">
        <f>IF(_xlfn.XLOOKUP(Sales[[#This Row],[Product Name]],Inventory[Product Name],Inventory[Sale Price],"")=0,"",_xlfn.XLOOKUP(Sales[[#This Row],[Product Name]],Inventory[Product Name],Inventory[Sale Price]))</f>
        <v/>
      </c>
      <c r="I325" s="19" t="str">
        <f>IFERROR(G325*H325,"")</f>
        <v/>
      </c>
      <c r="J325" s="19"/>
    </row>
    <row r="326" spans="1:10" ht="21">
      <c r="A326" s="14">
        <v>321</v>
      </c>
      <c r="C326" s="16"/>
      <c r="D326" s="14" t="str">
        <f>IF(Sales[[#This Row],[Product ID]]="","",Sales[[#This Row],[Date]]&amp;Sales[[#This Row],[Invoice no]])</f>
        <v/>
      </c>
      <c r="E3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6" s="19" t="str">
        <f>IF(_xlfn.XLOOKUP(Sales[[#This Row],[Product Name]],Inventory[Product Name],Inventory[Sale Price],"")=0,"",_xlfn.XLOOKUP(Sales[[#This Row],[Product Name]],Inventory[Product Name],Inventory[Sale Price]))</f>
        <v/>
      </c>
      <c r="I326" s="19" t="str">
        <f>IFERROR(G326*H326,"")</f>
        <v/>
      </c>
      <c r="J326" s="19"/>
    </row>
    <row r="327" spans="1:10" ht="21">
      <c r="A327" s="14">
        <v>322</v>
      </c>
      <c r="C327" s="16"/>
      <c r="D327" s="14" t="str">
        <f>IF(Sales[[#This Row],[Product ID]]="","",Sales[[#This Row],[Date]]&amp;Sales[[#This Row],[Invoice no]])</f>
        <v/>
      </c>
      <c r="E3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7" s="19" t="str">
        <f>IF(_xlfn.XLOOKUP(Sales[[#This Row],[Product Name]],Inventory[Product Name],Inventory[Sale Price],"")=0,"",_xlfn.XLOOKUP(Sales[[#This Row],[Product Name]],Inventory[Product Name],Inventory[Sale Price]))</f>
        <v/>
      </c>
      <c r="I327" s="19" t="str">
        <f>IFERROR(G327*H327,"")</f>
        <v/>
      </c>
      <c r="J327" s="19"/>
    </row>
    <row r="328" spans="1:10" ht="21">
      <c r="A328" s="14">
        <v>323</v>
      </c>
      <c r="C328" s="16"/>
      <c r="D328" s="14" t="str">
        <f>IF(Sales[[#This Row],[Product ID]]="","",Sales[[#This Row],[Date]]&amp;Sales[[#This Row],[Invoice no]])</f>
        <v/>
      </c>
      <c r="E3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8" s="19" t="str">
        <f>IF(_xlfn.XLOOKUP(Sales[[#This Row],[Product Name]],Inventory[Product Name],Inventory[Sale Price],"")=0,"",_xlfn.XLOOKUP(Sales[[#This Row],[Product Name]],Inventory[Product Name],Inventory[Sale Price]))</f>
        <v/>
      </c>
      <c r="I328" s="19" t="str">
        <f>IFERROR(G328*H328,"")</f>
        <v/>
      </c>
      <c r="J328" s="19"/>
    </row>
    <row r="329" spans="1:10" ht="21">
      <c r="A329" s="14">
        <v>324</v>
      </c>
      <c r="C329" s="16"/>
      <c r="D329" s="14" t="str">
        <f>IF(Sales[[#This Row],[Product ID]]="","",Sales[[#This Row],[Date]]&amp;Sales[[#This Row],[Invoice no]])</f>
        <v/>
      </c>
      <c r="E3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29" s="19" t="str">
        <f>IF(_xlfn.XLOOKUP(Sales[[#This Row],[Product Name]],Inventory[Product Name],Inventory[Sale Price],"")=0,"",_xlfn.XLOOKUP(Sales[[#This Row],[Product Name]],Inventory[Product Name],Inventory[Sale Price]))</f>
        <v/>
      </c>
      <c r="I329" s="19" t="str">
        <f>IFERROR(G329*H329,"")</f>
        <v/>
      </c>
      <c r="J329" s="19"/>
    </row>
    <row r="330" spans="1:10" ht="21">
      <c r="A330" s="14">
        <v>325</v>
      </c>
      <c r="C330" s="16"/>
      <c r="D330" s="14" t="str">
        <f>IF(Sales[[#This Row],[Product ID]]="","",Sales[[#This Row],[Date]]&amp;Sales[[#This Row],[Invoice no]])</f>
        <v/>
      </c>
      <c r="E3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0" s="19" t="str">
        <f>IF(_xlfn.XLOOKUP(Sales[[#This Row],[Product Name]],Inventory[Product Name],Inventory[Sale Price],"")=0,"",_xlfn.XLOOKUP(Sales[[#This Row],[Product Name]],Inventory[Product Name],Inventory[Sale Price]))</f>
        <v/>
      </c>
      <c r="I330" s="19" t="str">
        <f>IFERROR(G330*H330,"")</f>
        <v/>
      </c>
      <c r="J330" s="19"/>
    </row>
    <row r="331" spans="1:10" ht="21">
      <c r="A331" s="14">
        <v>326</v>
      </c>
      <c r="C331" s="16"/>
      <c r="D331" s="14" t="str">
        <f>IF(Sales[[#This Row],[Product ID]]="","",Sales[[#This Row],[Date]]&amp;Sales[[#This Row],[Invoice no]])</f>
        <v/>
      </c>
      <c r="E3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1" s="19" t="str">
        <f>IF(_xlfn.XLOOKUP(Sales[[#This Row],[Product Name]],Inventory[Product Name],Inventory[Sale Price],"")=0,"",_xlfn.XLOOKUP(Sales[[#This Row],[Product Name]],Inventory[Product Name],Inventory[Sale Price]))</f>
        <v/>
      </c>
      <c r="I331" s="19" t="str">
        <f>IFERROR(G331*H331,"")</f>
        <v/>
      </c>
      <c r="J331" s="19"/>
    </row>
    <row r="332" spans="1:10" ht="21">
      <c r="A332" s="14">
        <v>327</v>
      </c>
      <c r="C332" s="16"/>
      <c r="D332" s="14" t="str">
        <f>IF(Sales[[#This Row],[Product ID]]="","",Sales[[#This Row],[Date]]&amp;Sales[[#This Row],[Invoice no]])</f>
        <v/>
      </c>
      <c r="E3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2" s="19" t="str">
        <f>IF(_xlfn.XLOOKUP(Sales[[#This Row],[Product Name]],Inventory[Product Name],Inventory[Sale Price],"")=0,"",_xlfn.XLOOKUP(Sales[[#This Row],[Product Name]],Inventory[Product Name],Inventory[Sale Price]))</f>
        <v/>
      </c>
      <c r="I332" s="19" t="str">
        <f>IFERROR(G332*H332,"")</f>
        <v/>
      </c>
      <c r="J332" s="19"/>
    </row>
    <row r="333" spans="1:10" ht="21">
      <c r="A333" s="14">
        <v>328</v>
      </c>
      <c r="C333" s="16"/>
      <c r="D333" s="14" t="str">
        <f>IF(Sales[[#This Row],[Product ID]]="","",Sales[[#This Row],[Date]]&amp;Sales[[#This Row],[Invoice no]])</f>
        <v/>
      </c>
      <c r="E3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3" s="19" t="str">
        <f>IF(_xlfn.XLOOKUP(Sales[[#This Row],[Product Name]],Inventory[Product Name],Inventory[Sale Price],"")=0,"",_xlfn.XLOOKUP(Sales[[#This Row],[Product Name]],Inventory[Product Name],Inventory[Sale Price]))</f>
        <v/>
      </c>
      <c r="I333" s="19" t="str">
        <f>IFERROR(G333*H333,"")</f>
        <v/>
      </c>
      <c r="J333" s="19"/>
    </row>
    <row r="334" spans="1:10" ht="21">
      <c r="A334" s="14">
        <v>329</v>
      </c>
      <c r="C334" s="16"/>
      <c r="D334" s="14" t="str">
        <f>IF(Sales[[#This Row],[Product ID]]="","",Sales[[#This Row],[Date]]&amp;Sales[[#This Row],[Invoice no]])</f>
        <v/>
      </c>
      <c r="E3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4" s="19" t="str">
        <f>IF(_xlfn.XLOOKUP(Sales[[#This Row],[Product Name]],Inventory[Product Name],Inventory[Sale Price],"")=0,"",_xlfn.XLOOKUP(Sales[[#This Row],[Product Name]],Inventory[Product Name],Inventory[Sale Price]))</f>
        <v/>
      </c>
      <c r="I334" s="19" t="str">
        <f>IFERROR(G334*H334,"")</f>
        <v/>
      </c>
      <c r="J334" s="19"/>
    </row>
    <row r="335" spans="1:10" ht="21">
      <c r="A335" s="14">
        <v>330</v>
      </c>
      <c r="C335" s="16"/>
      <c r="D335" s="14" t="str">
        <f>IF(Sales[[#This Row],[Product ID]]="","",Sales[[#This Row],[Date]]&amp;Sales[[#This Row],[Invoice no]])</f>
        <v/>
      </c>
      <c r="E3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5" s="19" t="str">
        <f>IF(_xlfn.XLOOKUP(Sales[[#This Row],[Product Name]],Inventory[Product Name],Inventory[Sale Price],"")=0,"",_xlfn.XLOOKUP(Sales[[#This Row],[Product Name]],Inventory[Product Name],Inventory[Sale Price]))</f>
        <v/>
      </c>
      <c r="I335" s="19" t="str">
        <f>IFERROR(G335*H335,"")</f>
        <v/>
      </c>
      <c r="J335" s="19"/>
    </row>
    <row r="336" spans="1:10" ht="21">
      <c r="A336" s="14">
        <v>331</v>
      </c>
      <c r="C336" s="16"/>
      <c r="D336" s="14" t="str">
        <f>IF(Sales[[#This Row],[Product ID]]="","",Sales[[#This Row],[Date]]&amp;Sales[[#This Row],[Invoice no]])</f>
        <v/>
      </c>
      <c r="E3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6" s="19" t="str">
        <f>IF(_xlfn.XLOOKUP(Sales[[#This Row],[Product Name]],Inventory[Product Name],Inventory[Sale Price],"")=0,"",_xlfn.XLOOKUP(Sales[[#This Row],[Product Name]],Inventory[Product Name],Inventory[Sale Price]))</f>
        <v/>
      </c>
      <c r="I336" s="19" t="str">
        <f>IFERROR(G336*H336,"")</f>
        <v/>
      </c>
      <c r="J336" s="19"/>
    </row>
    <row r="337" spans="1:10" ht="21">
      <c r="A337" s="14">
        <v>332</v>
      </c>
      <c r="C337" s="16"/>
      <c r="D337" s="14" t="str">
        <f>IF(Sales[[#This Row],[Product ID]]="","",Sales[[#This Row],[Date]]&amp;Sales[[#This Row],[Invoice no]])</f>
        <v/>
      </c>
      <c r="E3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7" s="19" t="str">
        <f>IF(_xlfn.XLOOKUP(Sales[[#This Row],[Product Name]],Inventory[Product Name],Inventory[Sale Price],"")=0,"",_xlfn.XLOOKUP(Sales[[#This Row],[Product Name]],Inventory[Product Name],Inventory[Sale Price]))</f>
        <v/>
      </c>
      <c r="I337" s="19" t="str">
        <f>IFERROR(G337*H337,"")</f>
        <v/>
      </c>
      <c r="J337" s="19"/>
    </row>
    <row r="338" spans="1:10" ht="21">
      <c r="A338" s="14">
        <v>333</v>
      </c>
      <c r="C338" s="16"/>
      <c r="D338" s="14" t="str">
        <f>IF(Sales[[#This Row],[Product ID]]="","",Sales[[#This Row],[Date]]&amp;Sales[[#This Row],[Invoice no]])</f>
        <v/>
      </c>
      <c r="E3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8" s="19" t="str">
        <f>IF(_xlfn.XLOOKUP(Sales[[#This Row],[Product Name]],Inventory[Product Name],Inventory[Sale Price],"")=0,"",_xlfn.XLOOKUP(Sales[[#This Row],[Product Name]],Inventory[Product Name],Inventory[Sale Price]))</f>
        <v/>
      </c>
      <c r="I338" s="19" t="str">
        <f>IFERROR(G338*H338,"")</f>
        <v/>
      </c>
      <c r="J338" s="19"/>
    </row>
    <row r="339" spans="1:10" ht="21">
      <c r="A339" s="14">
        <v>334</v>
      </c>
      <c r="C339" s="16"/>
      <c r="D339" s="14" t="str">
        <f>IF(Sales[[#This Row],[Product ID]]="","",Sales[[#This Row],[Date]]&amp;Sales[[#This Row],[Invoice no]])</f>
        <v/>
      </c>
      <c r="E3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39" s="19" t="str">
        <f>IF(_xlfn.XLOOKUP(Sales[[#This Row],[Product Name]],Inventory[Product Name],Inventory[Sale Price],"")=0,"",_xlfn.XLOOKUP(Sales[[#This Row],[Product Name]],Inventory[Product Name],Inventory[Sale Price]))</f>
        <v/>
      </c>
      <c r="I339" s="19" t="str">
        <f>IFERROR(G339*H339,"")</f>
        <v/>
      </c>
      <c r="J339" s="19"/>
    </row>
    <row r="340" spans="1:10" ht="21">
      <c r="A340" s="14">
        <v>335</v>
      </c>
      <c r="C340" s="16"/>
      <c r="D340" s="14" t="str">
        <f>IF(Sales[[#This Row],[Product ID]]="","",Sales[[#This Row],[Date]]&amp;Sales[[#This Row],[Invoice no]])</f>
        <v/>
      </c>
      <c r="E3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0" s="19" t="str">
        <f>IF(_xlfn.XLOOKUP(Sales[[#This Row],[Product Name]],Inventory[Product Name],Inventory[Sale Price],"")=0,"",_xlfn.XLOOKUP(Sales[[#This Row],[Product Name]],Inventory[Product Name],Inventory[Sale Price]))</f>
        <v/>
      </c>
      <c r="I340" s="19" t="str">
        <f>IFERROR(G340*H340,"")</f>
        <v/>
      </c>
      <c r="J340" s="19"/>
    </row>
    <row r="341" spans="1:10" ht="21">
      <c r="A341" s="14">
        <v>336</v>
      </c>
      <c r="C341" s="16"/>
      <c r="D341" s="14" t="str">
        <f>IF(Sales[[#This Row],[Product ID]]="","",Sales[[#This Row],[Date]]&amp;Sales[[#This Row],[Invoice no]])</f>
        <v/>
      </c>
      <c r="E3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1" s="19" t="str">
        <f>IF(_xlfn.XLOOKUP(Sales[[#This Row],[Product Name]],Inventory[Product Name],Inventory[Sale Price],"")=0,"",_xlfn.XLOOKUP(Sales[[#This Row],[Product Name]],Inventory[Product Name],Inventory[Sale Price]))</f>
        <v/>
      </c>
      <c r="I341" s="19" t="str">
        <f>IFERROR(G341*H341,"")</f>
        <v/>
      </c>
      <c r="J341" s="19"/>
    </row>
    <row r="342" spans="1:10" ht="21">
      <c r="A342" s="14">
        <v>337</v>
      </c>
      <c r="C342" s="16"/>
      <c r="D342" s="14" t="str">
        <f>IF(Sales[[#This Row],[Product ID]]="","",Sales[[#This Row],[Date]]&amp;Sales[[#This Row],[Invoice no]])</f>
        <v/>
      </c>
      <c r="E3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2" s="19" t="str">
        <f>IF(_xlfn.XLOOKUP(Sales[[#This Row],[Product Name]],Inventory[Product Name],Inventory[Sale Price],"")=0,"",_xlfn.XLOOKUP(Sales[[#This Row],[Product Name]],Inventory[Product Name],Inventory[Sale Price]))</f>
        <v/>
      </c>
      <c r="I342" s="19" t="str">
        <f>IFERROR(G342*H342,"")</f>
        <v/>
      </c>
      <c r="J342" s="19"/>
    </row>
    <row r="343" spans="1:10" ht="21">
      <c r="A343" s="14">
        <v>338</v>
      </c>
      <c r="C343" s="16"/>
      <c r="D343" s="14" t="str">
        <f>IF(Sales[[#This Row],[Product ID]]="","",Sales[[#This Row],[Date]]&amp;Sales[[#This Row],[Invoice no]])</f>
        <v/>
      </c>
      <c r="E3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3" s="19" t="str">
        <f>IF(_xlfn.XLOOKUP(Sales[[#This Row],[Product Name]],Inventory[Product Name],Inventory[Sale Price],"")=0,"",_xlfn.XLOOKUP(Sales[[#This Row],[Product Name]],Inventory[Product Name],Inventory[Sale Price]))</f>
        <v/>
      </c>
      <c r="I343" s="19" t="str">
        <f>IFERROR(G343*H343,"")</f>
        <v/>
      </c>
      <c r="J343" s="19"/>
    </row>
    <row r="344" spans="1:10" ht="21">
      <c r="A344" s="14">
        <v>339</v>
      </c>
      <c r="C344" s="16"/>
      <c r="D344" s="14" t="str">
        <f>IF(Sales[[#This Row],[Product ID]]="","",Sales[[#This Row],[Date]]&amp;Sales[[#This Row],[Invoice no]])</f>
        <v/>
      </c>
      <c r="E3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4" s="19" t="str">
        <f>IF(_xlfn.XLOOKUP(Sales[[#This Row],[Product Name]],Inventory[Product Name],Inventory[Sale Price],"")=0,"",_xlfn.XLOOKUP(Sales[[#This Row],[Product Name]],Inventory[Product Name],Inventory[Sale Price]))</f>
        <v/>
      </c>
      <c r="I344" s="19" t="str">
        <f>IFERROR(G344*H344,"")</f>
        <v/>
      </c>
      <c r="J344" s="19"/>
    </row>
    <row r="345" spans="1:10" ht="21">
      <c r="A345" s="14">
        <v>340</v>
      </c>
      <c r="C345" s="16"/>
      <c r="D345" s="14" t="str">
        <f>IF(Sales[[#This Row],[Product ID]]="","",Sales[[#This Row],[Date]]&amp;Sales[[#This Row],[Invoice no]])</f>
        <v/>
      </c>
      <c r="E3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5" s="19" t="str">
        <f>IF(_xlfn.XLOOKUP(Sales[[#This Row],[Product Name]],Inventory[Product Name],Inventory[Sale Price],"")=0,"",_xlfn.XLOOKUP(Sales[[#This Row],[Product Name]],Inventory[Product Name],Inventory[Sale Price]))</f>
        <v/>
      </c>
      <c r="I345" s="19" t="str">
        <f>IFERROR(G345*H345,"")</f>
        <v/>
      </c>
      <c r="J345" s="19"/>
    </row>
    <row r="346" spans="1:10" ht="21">
      <c r="A346" s="14">
        <v>341</v>
      </c>
      <c r="C346" s="16"/>
      <c r="D346" s="14" t="str">
        <f>IF(Sales[[#This Row],[Product ID]]="","",Sales[[#This Row],[Date]]&amp;Sales[[#This Row],[Invoice no]])</f>
        <v/>
      </c>
      <c r="E3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6" s="19" t="str">
        <f>IF(_xlfn.XLOOKUP(Sales[[#This Row],[Product Name]],Inventory[Product Name],Inventory[Sale Price],"")=0,"",_xlfn.XLOOKUP(Sales[[#This Row],[Product Name]],Inventory[Product Name],Inventory[Sale Price]))</f>
        <v/>
      </c>
      <c r="I346" s="19" t="str">
        <f>IFERROR(G346*H346,"")</f>
        <v/>
      </c>
      <c r="J346" s="19"/>
    </row>
    <row r="347" spans="1:10" ht="21">
      <c r="A347" s="14">
        <v>342</v>
      </c>
      <c r="C347" s="16"/>
      <c r="D347" s="14" t="str">
        <f>IF(Sales[[#This Row],[Product ID]]="","",Sales[[#This Row],[Date]]&amp;Sales[[#This Row],[Invoice no]])</f>
        <v/>
      </c>
      <c r="E3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7" s="19" t="str">
        <f>IF(_xlfn.XLOOKUP(Sales[[#This Row],[Product Name]],Inventory[Product Name],Inventory[Sale Price],"")=0,"",_xlfn.XLOOKUP(Sales[[#This Row],[Product Name]],Inventory[Product Name],Inventory[Sale Price]))</f>
        <v/>
      </c>
      <c r="I347" s="19" t="str">
        <f>IFERROR(G347*H347,"")</f>
        <v/>
      </c>
      <c r="J347" s="19"/>
    </row>
    <row r="348" spans="1:10" ht="21">
      <c r="A348" s="14">
        <v>343</v>
      </c>
      <c r="C348" s="16"/>
      <c r="D348" s="14" t="str">
        <f>IF(Sales[[#This Row],[Product ID]]="","",Sales[[#This Row],[Date]]&amp;Sales[[#This Row],[Invoice no]])</f>
        <v/>
      </c>
      <c r="E3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8" s="19" t="str">
        <f>IF(_xlfn.XLOOKUP(Sales[[#This Row],[Product Name]],Inventory[Product Name],Inventory[Sale Price],"")=0,"",_xlfn.XLOOKUP(Sales[[#This Row],[Product Name]],Inventory[Product Name],Inventory[Sale Price]))</f>
        <v/>
      </c>
      <c r="I348" s="19" t="str">
        <f>IFERROR(G348*H348,"")</f>
        <v/>
      </c>
      <c r="J348" s="19"/>
    </row>
    <row r="349" spans="1:10" ht="21">
      <c r="A349" s="14">
        <v>344</v>
      </c>
      <c r="C349" s="16"/>
      <c r="D349" s="14" t="str">
        <f>IF(Sales[[#This Row],[Product ID]]="","",Sales[[#This Row],[Date]]&amp;Sales[[#This Row],[Invoice no]])</f>
        <v/>
      </c>
      <c r="E3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49" s="19" t="str">
        <f>IF(_xlfn.XLOOKUP(Sales[[#This Row],[Product Name]],Inventory[Product Name],Inventory[Sale Price],"")=0,"",_xlfn.XLOOKUP(Sales[[#This Row],[Product Name]],Inventory[Product Name],Inventory[Sale Price]))</f>
        <v/>
      </c>
      <c r="I349" s="19" t="str">
        <f>IFERROR(G349*H349,"")</f>
        <v/>
      </c>
      <c r="J349" s="19"/>
    </row>
    <row r="350" spans="1:10" ht="21">
      <c r="A350" s="14">
        <v>345</v>
      </c>
      <c r="C350" s="16"/>
      <c r="D350" s="14" t="str">
        <f>IF(Sales[[#This Row],[Product ID]]="","",Sales[[#This Row],[Date]]&amp;Sales[[#This Row],[Invoice no]])</f>
        <v/>
      </c>
      <c r="E3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0" s="19" t="str">
        <f>IF(_xlfn.XLOOKUP(Sales[[#This Row],[Product Name]],Inventory[Product Name],Inventory[Sale Price],"")=0,"",_xlfn.XLOOKUP(Sales[[#This Row],[Product Name]],Inventory[Product Name],Inventory[Sale Price]))</f>
        <v/>
      </c>
      <c r="I350" s="19" t="str">
        <f>IFERROR(G350*H350,"")</f>
        <v/>
      </c>
      <c r="J350" s="19"/>
    </row>
    <row r="351" spans="1:10" ht="21">
      <c r="A351" s="14">
        <v>346</v>
      </c>
      <c r="C351" s="16"/>
      <c r="D351" s="14" t="str">
        <f>IF(Sales[[#This Row],[Product ID]]="","",Sales[[#This Row],[Date]]&amp;Sales[[#This Row],[Invoice no]])</f>
        <v/>
      </c>
      <c r="E3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1" s="19" t="str">
        <f>IF(_xlfn.XLOOKUP(Sales[[#This Row],[Product Name]],Inventory[Product Name],Inventory[Sale Price],"")=0,"",_xlfn.XLOOKUP(Sales[[#This Row],[Product Name]],Inventory[Product Name],Inventory[Sale Price]))</f>
        <v/>
      </c>
      <c r="I351" s="19" t="str">
        <f>IFERROR(G351*H351,"")</f>
        <v/>
      </c>
      <c r="J351" s="19"/>
    </row>
    <row r="352" spans="1:10" ht="21">
      <c r="A352" s="14">
        <v>347</v>
      </c>
      <c r="C352" s="16"/>
      <c r="D352" s="14" t="str">
        <f>IF(Sales[[#This Row],[Product ID]]="","",Sales[[#This Row],[Date]]&amp;Sales[[#This Row],[Invoice no]])</f>
        <v/>
      </c>
      <c r="E3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2" s="19" t="str">
        <f>IF(_xlfn.XLOOKUP(Sales[[#This Row],[Product Name]],Inventory[Product Name],Inventory[Sale Price],"")=0,"",_xlfn.XLOOKUP(Sales[[#This Row],[Product Name]],Inventory[Product Name],Inventory[Sale Price]))</f>
        <v/>
      </c>
      <c r="I352" s="19" t="str">
        <f>IFERROR(G352*H352,"")</f>
        <v/>
      </c>
      <c r="J352" s="19"/>
    </row>
    <row r="353" spans="1:10" ht="21">
      <c r="A353" s="14">
        <v>348</v>
      </c>
      <c r="C353" s="16"/>
      <c r="D353" s="14" t="str">
        <f>IF(Sales[[#This Row],[Product ID]]="","",Sales[[#This Row],[Date]]&amp;Sales[[#This Row],[Invoice no]])</f>
        <v/>
      </c>
      <c r="E3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3" s="19" t="str">
        <f>IF(_xlfn.XLOOKUP(Sales[[#This Row],[Product Name]],Inventory[Product Name],Inventory[Sale Price],"")=0,"",_xlfn.XLOOKUP(Sales[[#This Row],[Product Name]],Inventory[Product Name],Inventory[Sale Price]))</f>
        <v/>
      </c>
      <c r="I353" s="19" t="str">
        <f>IFERROR(G353*H353,"")</f>
        <v/>
      </c>
      <c r="J353" s="19"/>
    </row>
    <row r="354" spans="1:10" ht="21">
      <c r="A354" s="14">
        <v>349</v>
      </c>
      <c r="C354" s="16"/>
      <c r="D354" s="14" t="str">
        <f>IF(Sales[[#This Row],[Product ID]]="","",Sales[[#This Row],[Date]]&amp;Sales[[#This Row],[Invoice no]])</f>
        <v/>
      </c>
      <c r="E3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4" s="19" t="str">
        <f>IF(_xlfn.XLOOKUP(Sales[[#This Row],[Product Name]],Inventory[Product Name],Inventory[Sale Price],"")=0,"",_xlfn.XLOOKUP(Sales[[#This Row],[Product Name]],Inventory[Product Name],Inventory[Sale Price]))</f>
        <v/>
      </c>
      <c r="I354" s="19" t="str">
        <f>IFERROR(G354*H354,"")</f>
        <v/>
      </c>
      <c r="J354" s="19"/>
    </row>
    <row r="355" spans="1:10" ht="21">
      <c r="A355" s="14">
        <v>350</v>
      </c>
      <c r="C355" s="16"/>
      <c r="D355" s="14" t="str">
        <f>IF(Sales[[#This Row],[Product ID]]="","",Sales[[#This Row],[Date]]&amp;Sales[[#This Row],[Invoice no]])</f>
        <v/>
      </c>
      <c r="E3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5" s="19" t="str">
        <f>IF(_xlfn.XLOOKUP(Sales[[#This Row],[Product Name]],Inventory[Product Name],Inventory[Sale Price],"")=0,"",_xlfn.XLOOKUP(Sales[[#This Row],[Product Name]],Inventory[Product Name],Inventory[Sale Price]))</f>
        <v/>
      </c>
      <c r="I355" s="19" t="str">
        <f>IFERROR(G355*H355,"")</f>
        <v/>
      </c>
      <c r="J355" s="19"/>
    </row>
    <row r="356" spans="1:10" ht="21">
      <c r="A356" s="14">
        <v>351</v>
      </c>
      <c r="C356" s="16"/>
      <c r="D356" s="14" t="str">
        <f>IF(Sales[[#This Row],[Product ID]]="","",Sales[[#This Row],[Date]]&amp;Sales[[#This Row],[Invoice no]])</f>
        <v/>
      </c>
      <c r="E3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6" s="19" t="str">
        <f>IF(_xlfn.XLOOKUP(Sales[[#This Row],[Product Name]],Inventory[Product Name],Inventory[Sale Price],"")=0,"",_xlfn.XLOOKUP(Sales[[#This Row],[Product Name]],Inventory[Product Name],Inventory[Sale Price]))</f>
        <v/>
      </c>
      <c r="I356" s="19" t="str">
        <f>IFERROR(G356*H356,"")</f>
        <v/>
      </c>
      <c r="J356" s="19"/>
    </row>
    <row r="357" spans="1:10" ht="21">
      <c r="A357" s="14">
        <v>352</v>
      </c>
      <c r="C357" s="16"/>
      <c r="D357" s="14" t="str">
        <f>IF(Sales[[#This Row],[Product ID]]="","",Sales[[#This Row],[Date]]&amp;Sales[[#This Row],[Invoice no]])</f>
        <v/>
      </c>
      <c r="E3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7" s="19" t="str">
        <f>IF(_xlfn.XLOOKUP(Sales[[#This Row],[Product Name]],Inventory[Product Name],Inventory[Sale Price],"")=0,"",_xlfn.XLOOKUP(Sales[[#This Row],[Product Name]],Inventory[Product Name],Inventory[Sale Price]))</f>
        <v/>
      </c>
      <c r="I357" s="19" t="str">
        <f>IFERROR(G357*H357,"")</f>
        <v/>
      </c>
      <c r="J357" s="19"/>
    </row>
    <row r="358" spans="1:10" ht="21">
      <c r="A358" s="14">
        <v>353</v>
      </c>
      <c r="C358" s="16"/>
      <c r="D358" s="14" t="str">
        <f>IF(Sales[[#This Row],[Product ID]]="","",Sales[[#This Row],[Date]]&amp;Sales[[#This Row],[Invoice no]])</f>
        <v/>
      </c>
      <c r="E3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8" s="19" t="str">
        <f>IF(_xlfn.XLOOKUP(Sales[[#This Row],[Product Name]],Inventory[Product Name],Inventory[Sale Price],"")=0,"",_xlfn.XLOOKUP(Sales[[#This Row],[Product Name]],Inventory[Product Name],Inventory[Sale Price]))</f>
        <v/>
      </c>
      <c r="I358" s="19" t="str">
        <f>IFERROR(G358*H358,"")</f>
        <v/>
      </c>
      <c r="J358" s="19"/>
    </row>
    <row r="359" spans="1:10" ht="21">
      <c r="A359" s="14">
        <v>354</v>
      </c>
      <c r="C359" s="16"/>
      <c r="D359" s="14" t="str">
        <f>IF(Sales[[#This Row],[Product ID]]="","",Sales[[#This Row],[Date]]&amp;Sales[[#This Row],[Invoice no]])</f>
        <v/>
      </c>
      <c r="E3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59" s="19" t="str">
        <f>IF(_xlfn.XLOOKUP(Sales[[#This Row],[Product Name]],Inventory[Product Name],Inventory[Sale Price],"")=0,"",_xlfn.XLOOKUP(Sales[[#This Row],[Product Name]],Inventory[Product Name],Inventory[Sale Price]))</f>
        <v/>
      </c>
      <c r="I359" s="19" t="str">
        <f>IFERROR(G359*H359,"")</f>
        <v/>
      </c>
      <c r="J359" s="19"/>
    </row>
    <row r="360" spans="1:10" ht="21">
      <c r="A360" s="14">
        <v>355</v>
      </c>
      <c r="C360" s="16"/>
      <c r="D360" s="14" t="str">
        <f>IF(Sales[[#This Row],[Product ID]]="","",Sales[[#This Row],[Date]]&amp;Sales[[#This Row],[Invoice no]])</f>
        <v/>
      </c>
      <c r="E3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0" s="19" t="str">
        <f>IF(_xlfn.XLOOKUP(Sales[[#This Row],[Product Name]],Inventory[Product Name],Inventory[Sale Price],"")=0,"",_xlfn.XLOOKUP(Sales[[#This Row],[Product Name]],Inventory[Product Name],Inventory[Sale Price]))</f>
        <v/>
      </c>
      <c r="I360" s="19" t="str">
        <f>IFERROR(G360*H360,"")</f>
        <v/>
      </c>
      <c r="J360" s="19"/>
    </row>
    <row r="361" spans="1:10" ht="21">
      <c r="A361" s="14">
        <v>356</v>
      </c>
      <c r="C361" s="16"/>
      <c r="D361" s="14" t="str">
        <f>IF(Sales[[#This Row],[Product ID]]="","",Sales[[#This Row],[Date]]&amp;Sales[[#This Row],[Invoice no]])</f>
        <v/>
      </c>
      <c r="E3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1" s="19" t="str">
        <f>IF(_xlfn.XLOOKUP(Sales[[#This Row],[Product Name]],Inventory[Product Name],Inventory[Sale Price],"")=0,"",_xlfn.XLOOKUP(Sales[[#This Row],[Product Name]],Inventory[Product Name],Inventory[Sale Price]))</f>
        <v/>
      </c>
      <c r="I361" s="19" t="str">
        <f>IFERROR(G361*H361,"")</f>
        <v/>
      </c>
      <c r="J361" s="19"/>
    </row>
    <row r="362" spans="1:10" ht="21">
      <c r="A362" s="14">
        <v>357</v>
      </c>
      <c r="C362" s="16"/>
      <c r="D362" s="14" t="str">
        <f>IF(Sales[[#This Row],[Product ID]]="","",Sales[[#This Row],[Date]]&amp;Sales[[#This Row],[Invoice no]])</f>
        <v/>
      </c>
      <c r="E3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2" s="19" t="str">
        <f>IF(_xlfn.XLOOKUP(Sales[[#This Row],[Product Name]],Inventory[Product Name],Inventory[Sale Price],"")=0,"",_xlfn.XLOOKUP(Sales[[#This Row],[Product Name]],Inventory[Product Name],Inventory[Sale Price]))</f>
        <v/>
      </c>
      <c r="I362" s="19" t="str">
        <f>IFERROR(G362*H362,"")</f>
        <v/>
      </c>
      <c r="J362" s="19"/>
    </row>
    <row r="363" spans="1:10" ht="21">
      <c r="A363" s="14">
        <v>358</v>
      </c>
      <c r="C363" s="16"/>
      <c r="D363" s="14" t="str">
        <f>IF(Sales[[#This Row],[Product ID]]="","",Sales[[#This Row],[Date]]&amp;Sales[[#This Row],[Invoice no]])</f>
        <v/>
      </c>
      <c r="E3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3" s="19" t="str">
        <f>IF(_xlfn.XLOOKUP(Sales[[#This Row],[Product Name]],Inventory[Product Name],Inventory[Sale Price],"")=0,"",_xlfn.XLOOKUP(Sales[[#This Row],[Product Name]],Inventory[Product Name],Inventory[Sale Price]))</f>
        <v/>
      </c>
      <c r="I363" s="19" t="str">
        <f>IFERROR(G363*H363,"")</f>
        <v/>
      </c>
      <c r="J363" s="19"/>
    </row>
    <row r="364" spans="1:10" ht="21">
      <c r="A364" s="14">
        <v>359</v>
      </c>
      <c r="C364" s="16"/>
      <c r="D364" s="14" t="str">
        <f>IF(Sales[[#This Row],[Product ID]]="","",Sales[[#This Row],[Date]]&amp;Sales[[#This Row],[Invoice no]])</f>
        <v/>
      </c>
      <c r="E3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4" s="19" t="str">
        <f>IF(_xlfn.XLOOKUP(Sales[[#This Row],[Product Name]],Inventory[Product Name],Inventory[Sale Price],"")=0,"",_xlfn.XLOOKUP(Sales[[#This Row],[Product Name]],Inventory[Product Name],Inventory[Sale Price]))</f>
        <v/>
      </c>
      <c r="I364" s="19" t="str">
        <f>IFERROR(G364*H364,"")</f>
        <v/>
      </c>
      <c r="J364" s="19"/>
    </row>
    <row r="365" spans="1:10" ht="21">
      <c r="A365" s="14">
        <v>360</v>
      </c>
      <c r="C365" s="16"/>
      <c r="D365" s="14" t="str">
        <f>IF(Sales[[#This Row],[Product ID]]="","",Sales[[#This Row],[Date]]&amp;Sales[[#This Row],[Invoice no]])</f>
        <v/>
      </c>
      <c r="E3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5" s="19" t="str">
        <f>IF(_xlfn.XLOOKUP(Sales[[#This Row],[Product Name]],Inventory[Product Name],Inventory[Sale Price],"")=0,"",_xlfn.XLOOKUP(Sales[[#This Row],[Product Name]],Inventory[Product Name],Inventory[Sale Price]))</f>
        <v/>
      </c>
      <c r="I365" s="19" t="str">
        <f>IFERROR(G365*H365,"")</f>
        <v/>
      </c>
      <c r="J365" s="19"/>
    </row>
    <row r="366" spans="1:10" ht="21">
      <c r="A366" s="14">
        <v>361</v>
      </c>
      <c r="C366" s="16"/>
      <c r="D366" s="14" t="str">
        <f>IF(Sales[[#This Row],[Product ID]]="","",Sales[[#This Row],[Date]]&amp;Sales[[#This Row],[Invoice no]])</f>
        <v/>
      </c>
      <c r="E3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6" s="19" t="str">
        <f>IF(_xlfn.XLOOKUP(Sales[[#This Row],[Product Name]],Inventory[Product Name],Inventory[Sale Price],"")=0,"",_xlfn.XLOOKUP(Sales[[#This Row],[Product Name]],Inventory[Product Name],Inventory[Sale Price]))</f>
        <v/>
      </c>
      <c r="I366" s="19" t="str">
        <f>IFERROR(G366*H366,"")</f>
        <v/>
      </c>
      <c r="J366" s="19"/>
    </row>
    <row r="367" spans="1:10" ht="21">
      <c r="A367" s="14">
        <v>362</v>
      </c>
      <c r="C367" s="16"/>
      <c r="D367" s="14" t="str">
        <f>IF(Sales[[#This Row],[Product ID]]="","",Sales[[#This Row],[Date]]&amp;Sales[[#This Row],[Invoice no]])</f>
        <v/>
      </c>
      <c r="E3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7" s="19" t="str">
        <f>IF(_xlfn.XLOOKUP(Sales[[#This Row],[Product Name]],Inventory[Product Name],Inventory[Sale Price],"")=0,"",_xlfn.XLOOKUP(Sales[[#This Row],[Product Name]],Inventory[Product Name],Inventory[Sale Price]))</f>
        <v/>
      </c>
      <c r="I367" s="19" t="str">
        <f>IFERROR(G367*H367,"")</f>
        <v/>
      </c>
      <c r="J367" s="19"/>
    </row>
    <row r="368" spans="1:10" ht="21">
      <c r="A368" s="14">
        <v>363</v>
      </c>
      <c r="C368" s="16"/>
      <c r="D368" s="14" t="str">
        <f>IF(Sales[[#This Row],[Product ID]]="","",Sales[[#This Row],[Date]]&amp;Sales[[#This Row],[Invoice no]])</f>
        <v/>
      </c>
      <c r="E3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8" s="19" t="str">
        <f>IF(_xlfn.XLOOKUP(Sales[[#This Row],[Product Name]],Inventory[Product Name],Inventory[Sale Price],"")=0,"",_xlfn.XLOOKUP(Sales[[#This Row],[Product Name]],Inventory[Product Name],Inventory[Sale Price]))</f>
        <v/>
      </c>
      <c r="I368" s="19" t="str">
        <f>IFERROR(G368*H368,"")</f>
        <v/>
      </c>
      <c r="J368" s="19"/>
    </row>
    <row r="369" spans="1:10" ht="21">
      <c r="A369" s="14">
        <v>364</v>
      </c>
      <c r="C369" s="16"/>
      <c r="D369" s="14" t="str">
        <f>IF(Sales[[#This Row],[Product ID]]="","",Sales[[#This Row],[Date]]&amp;Sales[[#This Row],[Invoice no]])</f>
        <v/>
      </c>
      <c r="E3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69" s="19" t="str">
        <f>IF(_xlfn.XLOOKUP(Sales[[#This Row],[Product Name]],Inventory[Product Name],Inventory[Sale Price],"")=0,"",_xlfn.XLOOKUP(Sales[[#This Row],[Product Name]],Inventory[Product Name],Inventory[Sale Price]))</f>
        <v/>
      </c>
      <c r="I369" s="19" t="str">
        <f>IFERROR(G369*H369,"")</f>
        <v/>
      </c>
      <c r="J369" s="19"/>
    </row>
    <row r="370" spans="1:10" ht="21">
      <c r="A370" s="14">
        <v>365</v>
      </c>
      <c r="C370" s="16"/>
      <c r="D370" s="14" t="str">
        <f>IF(Sales[[#This Row],[Product ID]]="","",Sales[[#This Row],[Date]]&amp;Sales[[#This Row],[Invoice no]])</f>
        <v/>
      </c>
      <c r="E3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0" s="19" t="str">
        <f>IF(_xlfn.XLOOKUP(Sales[[#This Row],[Product Name]],Inventory[Product Name],Inventory[Sale Price],"")=0,"",_xlfn.XLOOKUP(Sales[[#This Row],[Product Name]],Inventory[Product Name],Inventory[Sale Price]))</f>
        <v/>
      </c>
      <c r="I370" s="19" t="str">
        <f>IFERROR(G370*H370,"")</f>
        <v/>
      </c>
      <c r="J370" s="19"/>
    </row>
    <row r="371" spans="1:10" ht="21">
      <c r="A371" s="14">
        <v>366</v>
      </c>
      <c r="C371" s="16"/>
      <c r="D371" s="14" t="str">
        <f>IF(Sales[[#This Row],[Product ID]]="","",Sales[[#This Row],[Date]]&amp;Sales[[#This Row],[Invoice no]])</f>
        <v/>
      </c>
      <c r="E3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1" s="19" t="str">
        <f>IF(_xlfn.XLOOKUP(Sales[[#This Row],[Product Name]],Inventory[Product Name],Inventory[Sale Price],"")=0,"",_xlfn.XLOOKUP(Sales[[#This Row],[Product Name]],Inventory[Product Name],Inventory[Sale Price]))</f>
        <v/>
      </c>
      <c r="I371" s="19" t="str">
        <f>IFERROR(G371*H371,"")</f>
        <v/>
      </c>
      <c r="J371" s="19"/>
    </row>
    <row r="372" spans="1:10" ht="21">
      <c r="A372" s="14">
        <v>367</v>
      </c>
      <c r="C372" s="16"/>
      <c r="D372" s="14" t="str">
        <f>IF(Sales[[#This Row],[Product ID]]="","",Sales[[#This Row],[Date]]&amp;Sales[[#This Row],[Invoice no]])</f>
        <v/>
      </c>
      <c r="E3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2" s="19" t="str">
        <f>IF(_xlfn.XLOOKUP(Sales[[#This Row],[Product Name]],Inventory[Product Name],Inventory[Sale Price],"")=0,"",_xlfn.XLOOKUP(Sales[[#This Row],[Product Name]],Inventory[Product Name],Inventory[Sale Price]))</f>
        <v/>
      </c>
      <c r="I372" s="19" t="str">
        <f>IFERROR(G372*H372,"")</f>
        <v/>
      </c>
      <c r="J372" s="19"/>
    </row>
    <row r="373" spans="1:10" ht="21">
      <c r="A373" s="14">
        <v>368</v>
      </c>
      <c r="C373" s="16"/>
      <c r="D373" s="14" t="str">
        <f>IF(Sales[[#This Row],[Product ID]]="","",Sales[[#This Row],[Date]]&amp;Sales[[#This Row],[Invoice no]])</f>
        <v/>
      </c>
      <c r="E3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3" s="19" t="str">
        <f>IF(_xlfn.XLOOKUP(Sales[[#This Row],[Product Name]],Inventory[Product Name],Inventory[Sale Price],"")=0,"",_xlfn.XLOOKUP(Sales[[#This Row],[Product Name]],Inventory[Product Name],Inventory[Sale Price]))</f>
        <v/>
      </c>
      <c r="I373" s="19" t="str">
        <f>IFERROR(G373*H373,"")</f>
        <v/>
      </c>
      <c r="J373" s="19"/>
    </row>
    <row r="374" spans="1:10" ht="21">
      <c r="A374" s="14">
        <v>369</v>
      </c>
      <c r="C374" s="16"/>
      <c r="D374" s="14" t="str">
        <f>IF(Sales[[#This Row],[Product ID]]="","",Sales[[#This Row],[Date]]&amp;Sales[[#This Row],[Invoice no]])</f>
        <v/>
      </c>
      <c r="E3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4" s="19" t="str">
        <f>IF(_xlfn.XLOOKUP(Sales[[#This Row],[Product Name]],Inventory[Product Name],Inventory[Sale Price],"")=0,"",_xlfn.XLOOKUP(Sales[[#This Row],[Product Name]],Inventory[Product Name],Inventory[Sale Price]))</f>
        <v/>
      </c>
      <c r="I374" s="19" t="str">
        <f>IFERROR(G374*H374,"")</f>
        <v/>
      </c>
      <c r="J374" s="19"/>
    </row>
    <row r="375" spans="1:10" ht="21">
      <c r="A375" s="14">
        <v>370</v>
      </c>
      <c r="C375" s="16"/>
      <c r="D375" s="14" t="str">
        <f>IF(Sales[[#This Row],[Product ID]]="","",Sales[[#This Row],[Date]]&amp;Sales[[#This Row],[Invoice no]])</f>
        <v/>
      </c>
      <c r="E3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5" s="19" t="str">
        <f>IF(_xlfn.XLOOKUP(Sales[[#This Row],[Product Name]],Inventory[Product Name],Inventory[Sale Price],"")=0,"",_xlfn.XLOOKUP(Sales[[#This Row],[Product Name]],Inventory[Product Name],Inventory[Sale Price]))</f>
        <v/>
      </c>
      <c r="I375" s="19" t="str">
        <f>IFERROR(G375*H375,"")</f>
        <v/>
      </c>
      <c r="J375" s="19"/>
    </row>
    <row r="376" spans="1:10" ht="21">
      <c r="A376" s="14">
        <v>371</v>
      </c>
      <c r="C376" s="16"/>
      <c r="D376" s="14" t="str">
        <f>IF(Sales[[#This Row],[Product ID]]="","",Sales[[#This Row],[Date]]&amp;Sales[[#This Row],[Invoice no]])</f>
        <v/>
      </c>
      <c r="E3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6" s="19" t="str">
        <f>IF(_xlfn.XLOOKUP(Sales[[#This Row],[Product Name]],Inventory[Product Name],Inventory[Sale Price],"")=0,"",_xlfn.XLOOKUP(Sales[[#This Row],[Product Name]],Inventory[Product Name],Inventory[Sale Price]))</f>
        <v/>
      </c>
      <c r="I376" s="19" t="str">
        <f>IFERROR(G376*H376,"")</f>
        <v/>
      </c>
      <c r="J376" s="19"/>
    </row>
    <row r="377" spans="1:10" ht="21">
      <c r="A377" s="14">
        <v>372</v>
      </c>
      <c r="C377" s="16"/>
      <c r="D377" s="14" t="str">
        <f>IF(Sales[[#This Row],[Product ID]]="","",Sales[[#This Row],[Date]]&amp;Sales[[#This Row],[Invoice no]])</f>
        <v/>
      </c>
      <c r="E3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7" s="19" t="str">
        <f>IF(_xlfn.XLOOKUP(Sales[[#This Row],[Product Name]],Inventory[Product Name],Inventory[Sale Price],"")=0,"",_xlfn.XLOOKUP(Sales[[#This Row],[Product Name]],Inventory[Product Name],Inventory[Sale Price]))</f>
        <v/>
      </c>
      <c r="I377" s="19" t="str">
        <f>IFERROR(G377*H377,"")</f>
        <v/>
      </c>
      <c r="J377" s="19"/>
    </row>
    <row r="378" spans="1:10" ht="21">
      <c r="A378" s="14">
        <v>373</v>
      </c>
      <c r="C378" s="16"/>
      <c r="D378" s="14" t="str">
        <f>IF(Sales[[#This Row],[Product ID]]="","",Sales[[#This Row],[Date]]&amp;Sales[[#This Row],[Invoice no]])</f>
        <v/>
      </c>
      <c r="E3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8" s="19" t="str">
        <f>IF(_xlfn.XLOOKUP(Sales[[#This Row],[Product Name]],Inventory[Product Name],Inventory[Sale Price],"")=0,"",_xlfn.XLOOKUP(Sales[[#This Row],[Product Name]],Inventory[Product Name],Inventory[Sale Price]))</f>
        <v/>
      </c>
      <c r="I378" s="19" t="str">
        <f>IFERROR(G378*H378,"")</f>
        <v/>
      </c>
      <c r="J378" s="19"/>
    </row>
    <row r="379" spans="1:10" ht="21">
      <c r="A379" s="14">
        <v>374</v>
      </c>
      <c r="C379" s="16"/>
      <c r="D379" s="14" t="str">
        <f>IF(Sales[[#This Row],[Product ID]]="","",Sales[[#This Row],[Date]]&amp;Sales[[#This Row],[Invoice no]])</f>
        <v/>
      </c>
      <c r="E3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79" s="19" t="str">
        <f>IF(_xlfn.XLOOKUP(Sales[[#This Row],[Product Name]],Inventory[Product Name],Inventory[Sale Price],"")=0,"",_xlfn.XLOOKUP(Sales[[#This Row],[Product Name]],Inventory[Product Name],Inventory[Sale Price]))</f>
        <v/>
      </c>
      <c r="I379" s="19" t="str">
        <f>IFERROR(G379*H379,"")</f>
        <v/>
      </c>
      <c r="J379" s="19"/>
    </row>
    <row r="380" spans="1:10" ht="21">
      <c r="A380" s="14">
        <v>375</v>
      </c>
      <c r="C380" s="16"/>
      <c r="D380" s="14" t="str">
        <f>IF(Sales[[#This Row],[Product ID]]="","",Sales[[#This Row],[Date]]&amp;Sales[[#This Row],[Invoice no]])</f>
        <v/>
      </c>
      <c r="E3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0" s="19" t="str">
        <f>IF(_xlfn.XLOOKUP(Sales[[#This Row],[Product Name]],Inventory[Product Name],Inventory[Sale Price],"")=0,"",_xlfn.XLOOKUP(Sales[[#This Row],[Product Name]],Inventory[Product Name],Inventory[Sale Price]))</f>
        <v/>
      </c>
      <c r="I380" s="19" t="str">
        <f>IFERROR(G380*H380,"")</f>
        <v/>
      </c>
      <c r="J380" s="19"/>
    </row>
    <row r="381" spans="1:10" ht="21">
      <c r="A381" s="14">
        <v>376</v>
      </c>
      <c r="C381" s="16"/>
      <c r="D381" s="14" t="str">
        <f>IF(Sales[[#This Row],[Product ID]]="","",Sales[[#This Row],[Date]]&amp;Sales[[#This Row],[Invoice no]])</f>
        <v/>
      </c>
      <c r="E3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1" s="19" t="str">
        <f>IF(_xlfn.XLOOKUP(Sales[[#This Row],[Product Name]],Inventory[Product Name],Inventory[Sale Price],"")=0,"",_xlfn.XLOOKUP(Sales[[#This Row],[Product Name]],Inventory[Product Name],Inventory[Sale Price]))</f>
        <v/>
      </c>
      <c r="I381" s="19" t="str">
        <f>IFERROR(G381*H381,"")</f>
        <v/>
      </c>
      <c r="J381" s="19"/>
    </row>
    <row r="382" spans="1:10" ht="21">
      <c r="A382" s="14">
        <v>377</v>
      </c>
      <c r="C382" s="16"/>
      <c r="D382" s="14" t="str">
        <f>IF(Sales[[#This Row],[Product ID]]="","",Sales[[#This Row],[Date]]&amp;Sales[[#This Row],[Invoice no]])</f>
        <v/>
      </c>
      <c r="E3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2" s="19" t="str">
        <f>IF(_xlfn.XLOOKUP(Sales[[#This Row],[Product Name]],Inventory[Product Name],Inventory[Sale Price],"")=0,"",_xlfn.XLOOKUP(Sales[[#This Row],[Product Name]],Inventory[Product Name],Inventory[Sale Price]))</f>
        <v/>
      </c>
      <c r="I382" s="19" t="str">
        <f>IFERROR(G382*H382,"")</f>
        <v/>
      </c>
      <c r="J382" s="19"/>
    </row>
    <row r="383" spans="1:10" ht="21">
      <c r="A383" s="14">
        <v>378</v>
      </c>
      <c r="C383" s="16"/>
      <c r="D383" s="14" t="str">
        <f>IF(Sales[[#This Row],[Product ID]]="","",Sales[[#This Row],[Date]]&amp;Sales[[#This Row],[Invoice no]])</f>
        <v/>
      </c>
      <c r="E3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3" s="19" t="str">
        <f>IF(_xlfn.XLOOKUP(Sales[[#This Row],[Product Name]],Inventory[Product Name],Inventory[Sale Price],"")=0,"",_xlfn.XLOOKUP(Sales[[#This Row],[Product Name]],Inventory[Product Name],Inventory[Sale Price]))</f>
        <v/>
      </c>
      <c r="I383" s="19" t="str">
        <f>IFERROR(G383*H383,"")</f>
        <v/>
      </c>
      <c r="J383" s="19"/>
    </row>
    <row r="384" spans="1:10" ht="21">
      <c r="A384" s="14">
        <v>379</v>
      </c>
      <c r="C384" s="16"/>
      <c r="D384" s="14" t="str">
        <f>IF(Sales[[#This Row],[Product ID]]="","",Sales[[#This Row],[Date]]&amp;Sales[[#This Row],[Invoice no]])</f>
        <v/>
      </c>
      <c r="E3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4" s="19" t="str">
        <f>IF(_xlfn.XLOOKUP(Sales[[#This Row],[Product Name]],Inventory[Product Name],Inventory[Sale Price],"")=0,"",_xlfn.XLOOKUP(Sales[[#This Row],[Product Name]],Inventory[Product Name],Inventory[Sale Price]))</f>
        <v/>
      </c>
      <c r="I384" s="19" t="str">
        <f>IFERROR(G384*H384,"")</f>
        <v/>
      </c>
      <c r="J384" s="19"/>
    </row>
    <row r="385" spans="1:10" ht="21">
      <c r="A385" s="14">
        <v>380</v>
      </c>
      <c r="C385" s="16"/>
      <c r="D385" s="14" t="str">
        <f>IF(Sales[[#This Row],[Product ID]]="","",Sales[[#This Row],[Date]]&amp;Sales[[#This Row],[Invoice no]])</f>
        <v/>
      </c>
      <c r="E3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5" s="19" t="str">
        <f>IF(_xlfn.XLOOKUP(Sales[[#This Row],[Product Name]],Inventory[Product Name],Inventory[Sale Price],"")=0,"",_xlfn.XLOOKUP(Sales[[#This Row],[Product Name]],Inventory[Product Name],Inventory[Sale Price]))</f>
        <v/>
      </c>
      <c r="I385" s="19" t="str">
        <f>IFERROR(G385*H385,"")</f>
        <v/>
      </c>
      <c r="J385" s="19"/>
    </row>
    <row r="386" spans="1:10" ht="21">
      <c r="A386" s="14">
        <v>381</v>
      </c>
      <c r="C386" s="16"/>
      <c r="D386" s="14" t="str">
        <f>IF(Sales[[#This Row],[Product ID]]="","",Sales[[#This Row],[Date]]&amp;Sales[[#This Row],[Invoice no]])</f>
        <v/>
      </c>
      <c r="E3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6" s="19" t="str">
        <f>IF(_xlfn.XLOOKUP(Sales[[#This Row],[Product Name]],Inventory[Product Name],Inventory[Sale Price],"")=0,"",_xlfn.XLOOKUP(Sales[[#This Row],[Product Name]],Inventory[Product Name],Inventory[Sale Price]))</f>
        <v/>
      </c>
      <c r="I386" s="19" t="str">
        <f>IFERROR(G386*H386,"")</f>
        <v/>
      </c>
      <c r="J386" s="19"/>
    </row>
    <row r="387" spans="1:10" ht="21">
      <c r="A387" s="14">
        <v>382</v>
      </c>
      <c r="C387" s="16"/>
      <c r="D387" s="14" t="str">
        <f>IF(Sales[[#This Row],[Product ID]]="","",Sales[[#This Row],[Date]]&amp;Sales[[#This Row],[Invoice no]])</f>
        <v/>
      </c>
      <c r="E3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7" s="19" t="str">
        <f>IF(_xlfn.XLOOKUP(Sales[[#This Row],[Product Name]],Inventory[Product Name],Inventory[Sale Price],"")=0,"",_xlfn.XLOOKUP(Sales[[#This Row],[Product Name]],Inventory[Product Name],Inventory[Sale Price]))</f>
        <v/>
      </c>
      <c r="I387" s="19" t="str">
        <f>IFERROR(G387*H387,"")</f>
        <v/>
      </c>
      <c r="J387" s="19"/>
    </row>
    <row r="388" spans="1:10" ht="21">
      <c r="A388" s="14">
        <v>383</v>
      </c>
      <c r="C388" s="16"/>
      <c r="D388" s="14" t="str">
        <f>IF(Sales[[#This Row],[Product ID]]="","",Sales[[#This Row],[Date]]&amp;Sales[[#This Row],[Invoice no]])</f>
        <v/>
      </c>
      <c r="E3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8" s="19" t="str">
        <f>IF(_xlfn.XLOOKUP(Sales[[#This Row],[Product Name]],Inventory[Product Name],Inventory[Sale Price],"")=0,"",_xlfn.XLOOKUP(Sales[[#This Row],[Product Name]],Inventory[Product Name],Inventory[Sale Price]))</f>
        <v/>
      </c>
      <c r="I388" s="19" t="str">
        <f>IFERROR(G388*H388,"")</f>
        <v/>
      </c>
      <c r="J388" s="19"/>
    </row>
    <row r="389" spans="1:10" ht="21">
      <c r="A389" s="14">
        <v>384</v>
      </c>
      <c r="C389" s="16"/>
      <c r="D389" s="14" t="str">
        <f>IF(Sales[[#This Row],[Product ID]]="","",Sales[[#This Row],[Date]]&amp;Sales[[#This Row],[Invoice no]])</f>
        <v/>
      </c>
      <c r="E3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89" s="19" t="str">
        <f>IF(_xlfn.XLOOKUP(Sales[[#This Row],[Product Name]],Inventory[Product Name],Inventory[Sale Price],"")=0,"",_xlfn.XLOOKUP(Sales[[#This Row],[Product Name]],Inventory[Product Name],Inventory[Sale Price]))</f>
        <v/>
      </c>
      <c r="I389" s="19" t="str">
        <f>IFERROR(G389*H389,"")</f>
        <v/>
      </c>
      <c r="J389" s="19"/>
    </row>
    <row r="390" spans="1:10" ht="21">
      <c r="A390" s="14">
        <v>385</v>
      </c>
      <c r="C390" s="16"/>
      <c r="D390" s="14" t="str">
        <f>IF(Sales[[#This Row],[Product ID]]="","",Sales[[#This Row],[Date]]&amp;Sales[[#This Row],[Invoice no]])</f>
        <v/>
      </c>
      <c r="E3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0" s="19" t="str">
        <f>IF(_xlfn.XLOOKUP(Sales[[#This Row],[Product Name]],Inventory[Product Name],Inventory[Sale Price],"")=0,"",_xlfn.XLOOKUP(Sales[[#This Row],[Product Name]],Inventory[Product Name],Inventory[Sale Price]))</f>
        <v/>
      </c>
      <c r="I390" s="19" t="str">
        <f>IFERROR(G390*H390,"")</f>
        <v/>
      </c>
      <c r="J390" s="19"/>
    </row>
    <row r="391" spans="1:10" ht="21">
      <c r="A391" s="14">
        <v>386</v>
      </c>
      <c r="C391" s="16"/>
      <c r="D391" s="14" t="str">
        <f>IF(Sales[[#This Row],[Product ID]]="","",Sales[[#This Row],[Date]]&amp;Sales[[#This Row],[Invoice no]])</f>
        <v/>
      </c>
      <c r="E3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1" s="19" t="str">
        <f>IF(_xlfn.XLOOKUP(Sales[[#This Row],[Product Name]],Inventory[Product Name],Inventory[Sale Price],"")=0,"",_xlfn.XLOOKUP(Sales[[#This Row],[Product Name]],Inventory[Product Name],Inventory[Sale Price]))</f>
        <v/>
      </c>
      <c r="I391" s="19" t="str">
        <f>IFERROR(G391*H391,"")</f>
        <v/>
      </c>
      <c r="J391" s="19"/>
    </row>
    <row r="392" spans="1:10" ht="21">
      <c r="A392" s="14">
        <v>387</v>
      </c>
      <c r="C392" s="16"/>
      <c r="D392" s="14" t="str">
        <f>IF(Sales[[#This Row],[Product ID]]="","",Sales[[#This Row],[Date]]&amp;Sales[[#This Row],[Invoice no]])</f>
        <v/>
      </c>
      <c r="E3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2" s="19" t="str">
        <f>IF(_xlfn.XLOOKUP(Sales[[#This Row],[Product Name]],Inventory[Product Name],Inventory[Sale Price],"")=0,"",_xlfn.XLOOKUP(Sales[[#This Row],[Product Name]],Inventory[Product Name],Inventory[Sale Price]))</f>
        <v/>
      </c>
      <c r="I392" s="19" t="str">
        <f>IFERROR(G392*H392,"")</f>
        <v/>
      </c>
      <c r="J392" s="19"/>
    </row>
    <row r="393" spans="1:10" ht="21">
      <c r="A393" s="14">
        <v>388</v>
      </c>
      <c r="C393" s="16"/>
      <c r="D393" s="14" t="str">
        <f>IF(Sales[[#This Row],[Product ID]]="","",Sales[[#This Row],[Date]]&amp;Sales[[#This Row],[Invoice no]])</f>
        <v/>
      </c>
      <c r="E3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3" s="19" t="str">
        <f>IF(_xlfn.XLOOKUP(Sales[[#This Row],[Product Name]],Inventory[Product Name],Inventory[Sale Price],"")=0,"",_xlfn.XLOOKUP(Sales[[#This Row],[Product Name]],Inventory[Product Name],Inventory[Sale Price]))</f>
        <v/>
      </c>
      <c r="I393" s="19" t="str">
        <f>IFERROR(G393*H393,"")</f>
        <v/>
      </c>
      <c r="J393" s="19"/>
    </row>
    <row r="394" spans="1:10" ht="21">
      <c r="A394" s="14">
        <v>389</v>
      </c>
      <c r="C394" s="16"/>
      <c r="D394" s="14" t="str">
        <f>IF(Sales[[#This Row],[Product ID]]="","",Sales[[#This Row],[Date]]&amp;Sales[[#This Row],[Invoice no]])</f>
        <v/>
      </c>
      <c r="E3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4" s="19" t="str">
        <f>IF(_xlfn.XLOOKUP(Sales[[#This Row],[Product Name]],Inventory[Product Name],Inventory[Sale Price],"")=0,"",_xlfn.XLOOKUP(Sales[[#This Row],[Product Name]],Inventory[Product Name],Inventory[Sale Price]))</f>
        <v/>
      </c>
      <c r="I394" s="19" t="str">
        <f>IFERROR(G394*H394,"")</f>
        <v/>
      </c>
      <c r="J394" s="19"/>
    </row>
    <row r="395" spans="1:10" ht="21">
      <c r="A395" s="14">
        <v>390</v>
      </c>
      <c r="C395" s="16"/>
      <c r="D395" s="14" t="str">
        <f>IF(Sales[[#This Row],[Product ID]]="","",Sales[[#This Row],[Date]]&amp;Sales[[#This Row],[Invoice no]])</f>
        <v/>
      </c>
      <c r="E3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5" s="19" t="str">
        <f>IF(_xlfn.XLOOKUP(Sales[[#This Row],[Product Name]],Inventory[Product Name],Inventory[Sale Price],"")=0,"",_xlfn.XLOOKUP(Sales[[#This Row],[Product Name]],Inventory[Product Name],Inventory[Sale Price]))</f>
        <v/>
      </c>
      <c r="I395" s="19" t="str">
        <f>IFERROR(G395*H395,"")</f>
        <v/>
      </c>
      <c r="J395" s="19"/>
    </row>
    <row r="396" spans="1:10" ht="21">
      <c r="A396" s="14">
        <v>391</v>
      </c>
      <c r="C396" s="16"/>
      <c r="D396" s="14" t="str">
        <f>IF(Sales[[#This Row],[Product ID]]="","",Sales[[#This Row],[Date]]&amp;Sales[[#This Row],[Invoice no]])</f>
        <v/>
      </c>
      <c r="E3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6" s="19" t="str">
        <f>IF(_xlfn.XLOOKUP(Sales[[#This Row],[Product Name]],Inventory[Product Name],Inventory[Sale Price],"")=0,"",_xlfn.XLOOKUP(Sales[[#This Row],[Product Name]],Inventory[Product Name],Inventory[Sale Price]))</f>
        <v/>
      </c>
      <c r="I396" s="19" t="str">
        <f>IFERROR(G396*H396,"")</f>
        <v/>
      </c>
      <c r="J396" s="19"/>
    </row>
    <row r="397" spans="1:10" ht="21">
      <c r="A397" s="14">
        <v>392</v>
      </c>
      <c r="C397" s="16"/>
      <c r="D397" s="14" t="str">
        <f>IF(Sales[[#This Row],[Product ID]]="","",Sales[[#This Row],[Date]]&amp;Sales[[#This Row],[Invoice no]])</f>
        <v/>
      </c>
      <c r="E3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7" s="19" t="str">
        <f>IF(_xlfn.XLOOKUP(Sales[[#This Row],[Product Name]],Inventory[Product Name],Inventory[Sale Price],"")=0,"",_xlfn.XLOOKUP(Sales[[#This Row],[Product Name]],Inventory[Product Name],Inventory[Sale Price]))</f>
        <v/>
      </c>
      <c r="I397" s="19" t="str">
        <f>IFERROR(G397*H397,"")</f>
        <v/>
      </c>
      <c r="J397" s="19"/>
    </row>
    <row r="398" spans="1:10" ht="21">
      <c r="A398" s="14">
        <v>393</v>
      </c>
      <c r="C398" s="16"/>
      <c r="D398" s="14" t="str">
        <f>IF(Sales[[#This Row],[Product ID]]="","",Sales[[#This Row],[Date]]&amp;Sales[[#This Row],[Invoice no]])</f>
        <v/>
      </c>
      <c r="E3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8" s="19" t="str">
        <f>IF(_xlfn.XLOOKUP(Sales[[#This Row],[Product Name]],Inventory[Product Name],Inventory[Sale Price],"")=0,"",_xlfn.XLOOKUP(Sales[[#This Row],[Product Name]],Inventory[Product Name],Inventory[Sale Price]))</f>
        <v/>
      </c>
      <c r="I398" s="19" t="str">
        <f>IFERROR(G398*H398,"")</f>
        <v/>
      </c>
      <c r="J398" s="19"/>
    </row>
    <row r="399" spans="1:10" ht="21">
      <c r="A399" s="14">
        <v>394</v>
      </c>
      <c r="C399" s="16"/>
      <c r="D399" s="14" t="str">
        <f>IF(Sales[[#This Row],[Product ID]]="","",Sales[[#This Row],[Date]]&amp;Sales[[#This Row],[Invoice no]])</f>
        <v/>
      </c>
      <c r="E3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399" s="19" t="str">
        <f>IF(_xlfn.XLOOKUP(Sales[[#This Row],[Product Name]],Inventory[Product Name],Inventory[Sale Price],"")=0,"",_xlfn.XLOOKUP(Sales[[#This Row],[Product Name]],Inventory[Product Name],Inventory[Sale Price]))</f>
        <v/>
      </c>
      <c r="I399" s="19" t="str">
        <f>IFERROR(G399*H399,"")</f>
        <v/>
      </c>
      <c r="J399" s="19"/>
    </row>
    <row r="400" spans="1:10" ht="21">
      <c r="A400" s="14">
        <v>395</v>
      </c>
      <c r="C400" s="16"/>
      <c r="D400" s="14" t="str">
        <f>IF(Sales[[#This Row],[Product ID]]="","",Sales[[#This Row],[Date]]&amp;Sales[[#This Row],[Invoice no]])</f>
        <v/>
      </c>
      <c r="E4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0" s="19" t="str">
        <f>IF(_xlfn.XLOOKUP(Sales[[#This Row],[Product Name]],Inventory[Product Name],Inventory[Sale Price],"")=0,"",_xlfn.XLOOKUP(Sales[[#This Row],[Product Name]],Inventory[Product Name],Inventory[Sale Price]))</f>
        <v/>
      </c>
      <c r="I400" s="19" t="str">
        <f>IFERROR(G400*H400,"")</f>
        <v/>
      </c>
      <c r="J400" s="19"/>
    </row>
    <row r="401" spans="1:10" ht="21">
      <c r="A401" s="14">
        <v>396</v>
      </c>
      <c r="C401" s="16"/>
      <c r="D401" s="14" t="str">
        <f>IF(Sales[[#This Row],[Product ID]]="","",Sales[[#This Row],[Date]]&amp;Sales[[#This Row],[Invoice no]])</f>
        <v/>
      </c>
      <c r="E4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1" s="19" t="str">
        <f>IF(_xlfn.XLOOKUP(Sales[[#This Row],[Product Name]],Inventory[Product Name],Inventory[Sale Price],"")=0,"",_xlfn.XLOOKUP(Sales[[#This Row],[Product Name]],Inventory[Product Name],Inventory[Sale Price]))</f>
        <v/>
      </c>
      <c r="I401" s="19" t="str">
        <f>IFERROR(G401*H401,"")</f>
        <v/>
      </c>
      <c r="J401" s="19"/>
    </row>
    <row r="402" spans="1:10" ht="21">
      <c r="A402" s="14">
        <v>397</v>
      </c>
      <c r="C402" s="16"/>
      <c r="D402" s="14" t="str">
        <f>IF(Sales[[#This Row],[Product ID]]="","",Sales[[#This Row],[Date]]&amp;Sales[[#This Row],[Invoice no]])</f>
        <v/>
      </c>
      <c r="E4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2" s="19" t="str">
        <f>IF(_xlfn.XLOOKUP(Sales[[#This Row],[Product Name]],Inventory[Product Name],Inventory[Sale Price],"")=0,"",_xlfn.XLOOKUP(Sales[[#This Row],[Product Name]],Inventory[Product Name],Inventory[Sale Price]))</f>
        <v/>
      </c>
      <c r="I402" s="19" t="str">
        <f>IFERROR(G402*H402,"")</f>
        <v/>
      </c>
      <c r="J402" s="19"/>
    </row>
    <row r="403" spans="1:10" ht="21">
      <c r="A403" s="14">
        <v>398</v>
      </c>
      <c r="C403" s="16"/>
      <c r="D403" s="14" t="str">
        <f>IF(Sales[[#This Row],[Product ID]]="","",Sales[[#This Row],[Date]]&amp;Sales[[#This Row],[Invoice no]])</f>
        <v/>
      </c>
      <c r="E4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3" s="19" t="str">
        <f>IF(_xlfn.XLOOKUP(Sales[[#This Row],[Product Name]],Inventory[Product Name],Inventory[Sale Price],"")=0,"",_xlfn.XLOOKUP(Sales[[#This Row],[Product Name]],Inventory[Product Name],Inventory[Sale Price]))</f>
        <v/>
      </c>
      <c r="I403" s="19" t="str">
        <f>IFERROR(G403*H403,"")</f>
        <v/>
      </c>
      <c r="J403" s="19"/>
    </row>
    <row r="404" spans="1:10" ht="21">
      <c r="A404" s="14">
        <v>399</v>
      </c>
      <c r="C404" s="16"/>
      <c r="D404" s="14" t="str">
        <f>IF(Sales[[#This Row],[Product ID]]="","",Sales[[#This Row],[Date]]&amp;Sales[[#This Row],[Invoice no]])</f>
        <v/>
      </c>
      <c r="E4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4" s="19" t="str">
        <f>IF(_xlfn.XLOOKUP(Sales[[#This Row],[Product Name]],Inventory[Product Name],Inventory[Sale Price],"")=0,"",_xlfn.XLOOKUP(Sales[[#This Row],[Product Name]],Inventory[Product Name],Inventory[Sale Price]))</f>
        <v/>
      </c>
      <c r="I404" s="19" t="str">
        <f>IFERROR(G404*H404,"")</f>
        <v/>
      </c>
      <c r="J404" s="19"/>
    </row>
    <row r="405" spans="1:10" ht="21">
      <c r="A405" s="14">
        <v>400</v>
      </c>
      <c r="C405" s="16"/>
      <c r="D405" s="14" t="str">
        <f>IF(Sales[[#This Row],[Product ID]]="","",Sales[[#This Row],[Date]]&amp;Sales[[#This Row],[Invoice no]])</f>
        <v/>
      </c>
      <c r="E4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5" s="19" t="str">
        <f>IF(_xlfn.XLOOKUP(Sales[[#This Row],[Product Name]],Inventory[Product Name],Inventory[Sale Price],"")=0,"",_xlfn.XLOOKUP(Sales[[#This Row],[Product Name]],Inventory[Product Name],Inventory[Sale Price]))</f>
        <v/>
      </c>
      <c r="I405" s="19" t="str">
        <f>IFERROR(G405*H405,"")</f>
        <v/>
      </c>
      <c r="J405" s="19"/>
    </row>
    <row r="406" spans="1:10" ht="21">
      <c r="A406" s="14">
        <v>401</v>
      </c>
      <c r="C406" s="16"/>
      <c r="D406" s="14" t="str">
        <f>IF(Sales[[#This Row],[Product ID]]="","",Sales[[#This Row],[Date]]&amp;Sales[[#This Row],[Invoice no]])</f>
        <v/>
      </c>
      <c r="E4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6" s="19" t="str">
        <f>IF(_xlfn.XLOOKUP(Sales[[#This Row],[Product Name]],Inventory[Product Name],Inventory[Sale Price],"")=0,"",_xlfn.XLOOKUP(Sales[[#This Row],[Product Name]],Inventory[Product Name],Inventory[Sale Price]))</f>
        <v/>
      </c>
      <c r="I406" s="19" t="str">
        <f>IFERROR(G406*H406,"")</f>
        <v/>
      </c>
      <c r="J406" s="19"/>
    </row>
    <row r="407" spans="1:10" ht="21">
      <c r="A407" s="14">
        <v>402</v>
      </c>
      <c r="C407" s="16"/>
      <c r="D407" s="14" t="str">
        <f>IF(Sales[[#This Row],[Product ID]]="","",Sales[[#This Row],[Date]]&amp;Sales[[#This Row],[Invoice no]])</f>
        <v/>
      </c>
      <c r="E4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7" s="19" t="str">
        <f>IF(_xlfn.XLOOKUP(Sales[[#This Row],[Product Name]],Inventory[Product Name],Inventory[Sale Price],"")=0,"",_xlfn.XLOOKUP(Sales[[#This Row],[Product Name]],Inventory[Product Name],Inventory[Sale Price]))</f>
        <v/>
      </c>
      <c r="I407" s="19" t="str">
        <f>IFERROR(G407*H407,"")</f>
        <v/>
      </c>
      <c r="J407" s="19"/>
    </row>
    <row r="408" spans="1:10" ht="21">
      <c r="A408" s="14">
        <v>403</v>
      </c>
      <c r="C408" s="16"/>
      <c r="D408" s="14" t="str">
        <f>IF(Sales[[#This Row],[Product ID]]="","",Sales[[#This Row],[Date]]&amp;Sales[[#This Row],[Invoice no]])</f>
        <v/>
      </c>
      <c r="E4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8" s="19" t="str">
        <f>IF(_xlfn.XLOOKUP(Sales[[#This Row],[Product Name]],Inventory[Product Name],Inventory[Sale Price],"")=0,"",_xlfn.XLOOKUP(Sales[[#This Row],[Product Name]],Inventory[Product Name],Inventory[Sale Price]))</f>
        <v/>
      </c>
      <c r="I408" s="19" t="str">
        <f>IFERROR(G408*H408,"")</f>
        <v/>
      </c>
      <c r="J408" s="19"/>
    </row>
    <row r="409" spans="1:10" ht="21">
      <c r="A409" s="14">
        <v>404</v>
      </c>
      <c r="C409" s="16"/>
      <c r="D409" s="14" t="str">
        <f>IF(Sales[[#This Row],[Product ID]]="","",Sales[[#This Row],[Date]]&amp;Sales[[#This Row],[Invoice no]])</f>
        <v/>
      </c>
      <c r="E4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09" s="19" t="str">
        <f>IF(_xlfn.XLOOKUP(Sales[[#This Row],[Product Name]],Inventory[Product Name],Inventory[Sale Price],"")=0,"",_xlfn.XLOOKUP(Sales[[#This Row],[Product Name]],Inventory[Product Name],Inventory[Sale Price]))</f>
        <v/>
      </c>
      <c r="I409" s="19" t="str">
        <f>IFERROR(G409*H409,"")</f>
        <v/>
      </c>
      <c r="J409" s="19"/>
    </row>
    <row r="410" spans="1:10" ht="21">
      <c r="A410" s="14">
        <v>405</v>
      </c>
      <c r="C410" s="16"/>
      <c r="D410" s="14" t="str">
        <f>IF(Sales[[#This Row],[Product ID]]="","",Sales[[#This Row],[Date]]&amp;Sales[[#This Row],[Invoice no]])</f>
        <v/>
      </c>
      <c r="E4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0" s="19" t="str">
        <f>IF(_xlfn.XLOOKUP(Sales[[#This Row],[Product Name]],Inventory[Product Name],Inventory[Sale Price],"")=0,"",_xlfn.XLOOKUP(Sales[[#This Row],[Product Name]],Inventory[Product Name],Inventory[Sale Price]))</f>
        <v/>
      </c>
      <c r="I410" s="19" t="str">
        <f>IFERROR(G410*H410,"")</f>
        <v/>
      </c>
      <c r="J410" s="19"/>
    </row>
    <row r="411" spans="1:10" ht="21">
      <c r="A411" s="14">
        <v>406</v>
      </c>
      <c r="C411" s="16"/>
      <c r="D411" s="14" t="str">
        <f>IF(Sales[[#This Row],[Product ID]]="","",Sales[[#This Row],[Date]]&amp;Sales[[#This Row],[Invoice no]])</f>
        <v/>
      </c>
      <c r="E4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1" s="19" t="str">
        <f>IF(_xlfn.XLOOKUP(Sales[[#This Row],[Product Name]],Inventory[Product Name],Inventory[Sale Price],"")=0,"",_xlfn.XLOOKUP(Sales[[#This Row],[Product Name]],Inventory[Product Name],Inventory[Sale Price]))</f>
        <v/>
      </c>
      <c r="I411" s="19" t="str">
        <f>IFERROR(G411*H411,"")</f>
        <v/>
      </c>
      <c r="J411" s="19"/>
    </row>
    <row r="412" spans="1:10" ht="21">
      <c r="A412" s="14">
        <v>407</v>
      </c>
      <c r="C412" s="16"/>
      <c r="D412" s="14" t="str">
        <f>IF(Sales[[#This Row],[Product ID]]="","",Sales[[#This Row],[Date]]&amp;Sales[[#This Row],[Invoice no]])</f>
        <v/>
      </c>
      <c r="E4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2" s="19" t="str">
        <f>IF(_xlfn.XLOOKUP(Sales[[#This Row],[Product Name]],Inventory[Product Name],Inventory[Sale Price],"")=0,"",_xlfn.XLOOKUP(Sales[[#This Row],[Product Name]],Inventory[Product Name],Inventory[Sale Price]))</f>
        <v/>
      </c>
      <c r="I412" s="19" t="str">
        <f>IFERROR(G412*H412,"")</f>
        <v/>
      </c>
      <c r="J412" s="19"/>
    </row>
    <row r="413" spans="1:10" ht="21">
      <c r="A413" s="14">
        <v>408</v>
      </c>
      <c r="C413" s="16"/>
      <c r="D413" s="14" t="str">
        <f>IF(Sales[[#This Row],[Product ID]]="","",Sales[[#This Row],[Date]]&amp;Sales[[#This Row],[Invoice no]])</f>
        <v/>
      </c>
      <c r="E4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3" s="19" t="str">
        <f>IF(_xlfn.XLOOKUP(Sales[[#This Row],[Product Name]],Inventory[Product Name],Inventory[Sale Price],"")=0,"",_xlfn.XLOOKUP(Sales[[#This Row],[Product Name]],Inventory[Product Name],Inventory[Sale Price]))</f>
        <v/>
      </c>
      <c r="I413" s="19" t="str">
        <f>IFERROR(G413*H413,"")</f>
        <v/>
      </c>
      <c r="J413" s="19"/>
    </row>
    <row r="414" spans="1:10" ht="21">
      <c r="A414" s="14">
        <v>409</v>
      </c>
      <c r="C414" s="16"/>
      <c r="D414" s="14" t="str">
        <f>IF(Sales[[#This Row],[Product ID]]="","",Sales[[#This Row],[Date]]&amp;Sales[[#This Row],[Invoice no]])</f>
        <v/>
      </c>
      <c r="E4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4" s="19" t="str">
        <f>IF(_xlfn.XLOOKUP(Sales[[#This Row],[Product Name]],Inventory[Product Name],Inventory[Sale Price],"")=0,"",_xlfn.XLOOKUP(Sales[[#This Row],[Product Name]],Inventory[Product Name],Inventory[Sale Price]))</f>
        <v/>
      </c>
      <c r="I414" s="19" t="str">
        <f>IFERROR(G414*H414,"")</f>
        <v/>
      </c>
      <c r="J414" s="19"/>
    </row>
    <row r="415" spans="1:10" ht="21">
      <c r="A415" s="14">
        <v>410</v>
      </c>
      <c r="C415" s="16"/>
      <c r="D415" s="14" t="str">
        <f>IF(Sales[[#This Row],[Product ID]]="","",Sales[[#This Row],[Date]]&amp;Sales[[#This Row],[Invoice no]])</f>
        <v/>
      </c>
      <c r="E4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5" s="19" t="str">
        <f>IF(_xlfn.XLOOKUP(Sales[[#This Row],[Product Name]],Inventory[Product Name],Inventory[Sale Price],"")=0,"",_xlfn.XLOOKUP(Sales[[#This Row],[Product Name]],Inventory[Product Name],Inventory[Sale Price]))</f>
        <v/>
      </c>
      <c r="I415" s="19" t="str">
        <f>IFERROR(G415*H415,"")</f>
        <v/>
      </c>
      <c r="J415" s="19"/>
    </row>
    <row r="416" spans="1:10" ht="21">
      <c r="A416" s="14">
        <v>411</v>
      </c>
      <c r="C416" s="16"/>
      <c r="D416" s="14" t="str">
        <f>IF(Sales[[#This Row],[Product ID]]="","",Sales[[#This Row],[Date]]&amp;Sales[[#This Row],[Invoice no]])</f>
        <v/>
      </c>
      <c r="E4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6" s="19" t="str">
        <f>IF(_xlfn.XLOOKUP(Sales[[#This Row],[Product Name]],Inventory[Product Name],Inventory[Sale Price],"")=0,"",_xlfn.XLOOKUP(Sales[[#This Row],[Product Name]],Inventory[Product Name],Inventory[Sale Price]))</f>
        <v/>
      </c>
      <c r="I416" s="19" t="str">
        <f>IFERROR(G416*H416,"")</f>
        <v/>
      </c>
      <c r="J416" s="19"/>
    </row>
    <row r="417" spans="1:10" ht="21">
      <c r="A417" s="14">
        <v>412</v>
      </c>
      <c r="C417" s="16"/>
      <c r="D417" s="14" t="str">
        <f>IF(Sales[[#This Row],[Product ID]]="","",Sales[[#This Row],[Date]]&amp;Sales[[#This Row],[Invoice no]])</f>
        <v/>
      </c>
      <c r="E4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7" s="19" t="str">
        <f>IF(_xlfn.XLOOKUP(Sales[[#This Row],[Product Name]],Inventory[Product Name],Inventory[Sale Price],"")=0,"",_xlfn.XLOOKUP(Sales[[#This Row],[Product Name]],Inventory[Product Name],Inventory[Sale Price]))</f>
        <v/>
      </c>
      <c r="I417" s="19" t="str">
        <f>IFERROR(G417*H417,"")</f>
        <v/>
      </c>
      <c r="J417" s="19"/>
    </row>
    <row r="418" spans="1:10" ht="21">
      <c r="A418" s="14">
        <v>413</v>
      </c>
      <c r="C418" s="16"/>
      <c r="D418" s="14" t="str">
        <f>IF(Sales[[#This Row],[Product ID]]="","",Sales[[#This Row],[Date]]&amp;Sales[[#This Row],[Invoice no]])</f>
        <v/>
      </c>
      <c r="E4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8" s="19" t="str">
        <f>IF(_xlfn.XLOOKUP(Sales[[#This Row],[Product Name]],Inventory[Product Name],Inventory[Sale Price],"")=0,"",_xlfn.XLOOKUP(Sales[[#This Row],[Product Name]],Inventory[Product Name],Inventory[Sale Price]))</f>
        <v/>
      </c>
      <c r="I418" s="19" t="str">
        <f>IFERROR(G418*H418,"")</f>
        <v/>
      </c>
      <c r="J418" s="19"/>
    </row>
    <row r="419" spans="1:10" ht="21">
      <c r="A419" s="14">
        <v>414</v>
      </c>
      <c r="C419" s="16"/>
      <c r="D419" s="14" t="str">
        <f>IF(Sales[[#This Row],[Product ID]]="","",Sales[[#This Row],[Date]]&amp;Sales[[#This Row],[Invoice no]])</f>
        <v/>
      </c>
      <c r="E4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19" s="19" t="str">
        <f>IF(_xlfn.XLOOKUP(Sales[[#This Row],[Product Name]],Inventory[Product Name],Inventory[Sale Price],"")=0,"",_xlfn.XLOOKUP(Sales[[#This Row],[Product Name]],Inventory[Product Name],Inventory[Sale Price]))</f>
        <v/>
      </c>
      <c r="I419" s="19" t="str">
        <f>IFERROR(G419*H419,"")</f>
        <v/>
      </c>
      <c r="J419" s="19"/>
    </row>
    <row r="420" spans="1:10" ht="21">
      <c r="A420" s="14">
        <v>415</v>
      </c>
      <c r="C420" s="16"/>
      <c r="D420" s="14" t="str">
        <f>IF(Sales[[#This Row],[Product ID]]="","",Sales[[#This Row],[Date]]&amp;Sales[[#This Row],[Invoice no]])</f>
        <v/>
      </c>
      <c r="E4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0" s="19" t="str">
        <f>IF(_xlfn.XLOOKUP(Sales[[#This Row],[Product Name]],Inventory[Product Name],Inventory[Sale Price],"")=0,"",_xlfn.XLOOKUP(Sales[[#This Row],[Product Name]],Inventory[Product Name],Inventory[Sale Price]))</f>
        <v/>
      </c>
      <c r="I420" s="19" t="str">
        <f>IFERROR(G420*H420,"")</f>
        <v/>
      </c>
      <c r="J420" s="19"/>
    </row>
    <row r="421" spans="1:10" ht="21">
      <c r="A421" s="14">
        <v>416</v>
      </c>
      <c r="C421" s="16"/>
      <c r="D421" s="14" t="str">
        <f>IF(Sales[[#This Row],[Product ID]]="","",Sales[[#This Row],[Date]]&amp;Sales[[#This Row],[Invoice no]])</f>
        <v/>
      </c>
      <c r="E4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1" s="19" t="str">
        <f>IF(_xlfn.XLOOKUP(Sales[[#This Row],[Product Name]],Inventory[Product Name],Inventory[Sale Price],"")=0,"",_xlfn.XLOOKUP(Sales[[#This Row],[Product Name]],Inventory[Product Name],Inventory[Sale Price]))</f>
        <v/>
      </c>
      <c r="I421" s="19" t="str">
        <f>IFERROR(G421*H421,"")</f>
        <v/>
      </c>
      <c r="J421" s="19"/>
    </row>
    <row r="422" spans="1:10" ht="21">
      <c r="A422" s="14">
        <v>417</v>
      </c>
      <c r="C422" s="16"/>
      <c r="D422" s="14" t="str">
        <f>IF(Sales[[#This Row],[Product ID]]="","",Sales[[#This Row],[Date]]&amp;Sales[[#This Row],[Invoice no]])</f>
        <v/>
      </c>
      <c r="E4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2" s="19" t="str">
        <f>IF(_xlfn.XLOOKUP(Sales[[#This Row],[Product Name]],Inventory[Product Name],Inventory[Sale Price],"")=0,"",_xlfn.XLOOKUP(Sales[[#This Row],[Product Name]],Inventory[Product Name],Inventory[Sale Price]))</f>
        <v/>
      </c>
      <c r="I422" s="19" t="str">
        <f>IFERROR(G422*H422,"")</f>
        <v/>
      </c>
      <c r="J422" s="19"/>
    </row>
    <row r="423" spans="1:10" ht="21">
      <c r="A423" s="14">
        <v>418</v>
      </c>
      <c r="C423" s="16"/>
      <c r="D423" s="14" t="str">
        <f>IF(Sales[[#This Row],[Product ID]]="","",Sales[[#This Row],[Date]]&amp;Sales[[#This Row],[Invoice no]])</f>
        <v/>
      </c>
      <c r="E4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3" s="19" t="str">
        <f>IF(_xlfn.XLOOKUP(Sales[[#This Row],[Product Name]],Inventory[Product Name],Inventory[Sale Price],"")=0,"",_xlfn.XLOOKUP(Sales[[#This Row],[Product Name]],Inventory[Product Name],Inventory[Sale Price]))</f>
        <v/>
      </c>
      <c r="I423" s="19" t="str">
        <f>IFERROR(G423*H423,"")</f>
        <v/>
      </c>
      <c r="J423" s="19"/>
    </row>
    <row r="424" spans="1:10" ht="21">
      <c r="A424" s="14">
        <v>419</v>
      </c>
      <c r="C424" s="16"/>
      <c r="D424" s="14" t="str">
        <f>IF(Sales[[#This Row],[Product ID]]="","",Sales[[#This Row],[Date]]&amp;Sales[[#This Row],[Invoice no]])</f>
        <v/>
      </c>
      <c r="E4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4" s="19" t="str">
        <f>IF(_xlfn.XLOOKUP(Sales[[#This Row],[Product Name]],Inventory[Product Name],Inventory[Sale Price],"")=0,"",_xlfn.XLOOKUP(Sales[[#This Row],[Product Name]],Inventory[Product Name],Inventory[Sale Price]))</f>
        <v/>
      </c>
      <c r="I424" s="19" t="str">
        <f>IFERROR(G424*H424,"")</f>
        <v/>
      </c>
      <c r="J424" s="19"/>
    </row>
    <row r="425" spans="1:10" ht="21">
      <c r="A425" s="14">
        <v>420</v>
      </c>
      <c r="C425" s="16"/>
      <c r="D425" s="14" t="str">
        <f>IF(Sales[[#This Row],[Product ID]]="","",Sales[[#This Row],[Date]]&amp;Sales[[#This Row],[Invoice no]])</f>
        <v/>
      </c>
      <c r="E4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5" s="19" t="str">
        <f>IF(_xlfn.XLOOKUP(Sales[[#This Row],[Product Name]],Inventory[Product Name],Inventory[Sale Price],"")=0,"",_xlfn.XLOOKUP(Sales[[#This Row],[Product Name]],Inventory[Product Name],Inventory[Sale Price]))</f>
        <v/>
      </c>
      <c r="I425" s="19" t="str">
        <f>IFERROR(G425*H425,"")</f>
        <v/>
      </c>
      <c r="J425" s="19"/>
    </row>
    <row r="426" spans="1:10" ht="21">
      <c r="A426" s="14">
        <v>421</v>
      </c>
      <c r="C426" s="16"/>
      <c r="D426" s="14" t="str">
        <f>IF(Sales[[#This Row],[Product ID]]="","",Sales[[#This Row],[Date]]&amp;Sales[[#This Row],[Invoice no]])</f>
        <v/>
      </c>
      <c r="E4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6" s="19" t="str">
        <f>IF(_xlfn.XLOOKUP(Sales[[#This Row],[Product Name]],Inventory[Product Name],Inventory[Sale Price],"")=0,"",_xlfn.XLOOKUP(Sales[[#This Row],[Product Name]],Inventory[Product Name],Inventory[Sale Price]))</f>
        <v/>
      </c>
      <c r="I426" s="19" t="str">
        <f>IFERROR(G426*H426,"")</f>
        <v/>
      </c>
      <c r="J426" s="19"/>
    </row>
    <row r="427" spans="1:10" ht="21">
      <c r="A427" s="14">
        <v>422</v>
      </c>
      <c r="C427" s="16"/>
      <c r="D427" s="14" t="str">
        <f>IF(Sales[[#This Row],[Product ID]]="","",Sales[[#This Row],[Date]]&amp;Sales[[#This Row],[Invoice no]])</f>
        <v/>
      </c>
      <c r="E4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7" s="19" t="str">
        <f>IF(_xlfn.XLOOKUP(Sales[[#This Row],[Product Name]],Inventory[Product Name],Inventory[Sale Price],"")=0,"",_xlfn.XLOOKUP(Sales[[#This Row],[Product Name]],Inventory[Product Name],Inventory[Sale Price]))</f>
        <v/>
      </c>
      <c r="I427" s="19" t="str">
        <f>IFERROR(G427*H427,"")</f>
        <v/>
      </c>
      <c r="J427" s="19"/>
    </row>
    <row r="428" spans="1:10" ht="21">
      <c r="A428" s="14">
        <v>423</v>
      </c>
      <c r="C428" s="16"/>
      <c r="D428" s="14" t="str">
        <f>IF(Sales[[#This Row],[Product ID]]="","",Sales[[#This Row],[Date]]&amp;Sales[[#This Row],[Invoice no]])</f>
        <v/>
      </c>
      <c r="E4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8" s="19" t="str">
        <f>IF(_xlfn.XLOOKUP(Sales[[#This Row],[Product Name]],Inventory[Product Name],Inventory[Sale Price],"")=0,"",_xlfn.XLOOKUP(Sales[[#This Row],[Product Name]],Inventory[Product Name],Inventory[Sale Price]))</f>
        <v/>
      </c>
      <c r="I428" s="19" t="str">
        <f>IFERROR(G428*H428,"")</f>
        <v/>
      </c>
      <c r="J428" s="19"/>
    </row>
    <row r="429" spans="1:10" ht="21">
      <c r="A429" s="14">
        <v>424</v>
      </c>
      <c r="C429" s="16"/>
      <c r="D429" s="14" t="str">
        <f>IF(Sales[[#This Row],[Product ID]]="","",Sales[[#This Row],[Date]]&amp;Sales[[#This Row],[Invoice no]])</f>
        <v/>
      </c>
      <c r="E4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29" s="19" t="str">
        <f>IF(_xlfn.XLOOKUP(Sales[[#This Row],[Product Name]],Inventory[Product Name],Inventory[Sale Price],"")=0,"",_xlfn.XLOOKUP(Sales[[#This Row],[Product Name]],Inventory[Product Name],Inventory[Sale Price]))</f>
        <v/>
      </c>
      <c r="I429" s="19" t="str">
        <f>IFERROR(G429*H429,"")</f>
        <v/>
      </c>
      <c r="J429" s="19"/>
    </row>
    <row r="430" spans="1:10" ht="21">
      <c r="A430" s="14">
        <v>425</v>
      </c>
      <c r="C430" s="16"/>
      <c r="D430" s="14" t="str">
        <f>IF(Sales[[#This Row],[Product ID]]="","",Sales[[#This Row],[Date]]&amp;Sales[[#This Row],[Invoice no]])</f>
        <v/>
      </c>
      <c r="E4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0" s="19" t="str">
        <f>IF(_xlfn.XLOOKUP(Sales[[#This Row],[Product Name]],Inventory[Product Name],Inventory[Sale Price],"")=0,"",_xlfn.XLOOKUP(Sales[[#This Row],[Product Name]],Inventory[Product Name],Inventory[Sale Price]))</f>
        <v/>
      </c>
      <c r="I430" s="19" t="str">
        <f>IFERROR(G430*H430,"")</f>
        <v/>
      </c>
      <c r="J430" s="19"/>
    </row>
    <row r="431" spans="1:10" ht="21">
      <c r="A431" s="14">
        <v>426</v>
      </c>
      <c r="C431" s="16"/>
      <c r="D431" s="14" t="str">
        <f>IF(Sales[[#This Row],[Product ID]]="","",Sales[[#This Row],[Date]]&amp;Sales[[#This Row],[Invoice no]])</f>
        <v/>
      </c>
      <c r="E4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1" s="19" t="str">
        <f>IF(_xlfn.XLOOKUP(Sales[[#This Row],[Product Name]],Inventory[Product Name],Inventory[Sale Price],"")=0,"",_xlfn.XLOOKUP(Sales[[#This Row],[Product Name]],Inventory[Product Name],Inventory[Sale Price]))</f>
        <v/>
      </c>
      <c r="I431" s="19" t="str">
        <f>IFERROR(G431*H431,"")</f>
        <v/>
      </c>
      <c r="J431" s="19"/>
    </row>
    <row r="432" spans="1:10" ht="21">
      <c r="A432" s="14">
        <v>427</v>
      </c>
      <c r="C432" s="16"/>
      <c r="D432" s="14" t="str">
        <f>IF(Sales[[#This Row],[Product ID]]="","",Sales[[#This Row],[Date]]&amp;Sales[[#This Row],[Invoice no]])</f>
        <v/>
      </c>
      <c r="E4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2" s="19" t="str">
        <f>IF(_xlfn.XLOOKUP(Sales[[#This Row],[Product Name]],Inventory[Product Name],Inventory[Sale Price],"")=0,"",_xlfn.XLOOKUP(Sales[[#This Row],[Product Name]],Inventory[Product Name],Inventory[Sale Price]))</f>
        <v/>
      </c>
      <c r="I432" s="19" t="str">
        <f>IFERROR(G432*H432,"")</f>
        <v/>
      </c>
      <c r="J432" s="19"/>
    </row>
    <row r="433" spans="1:10" ht="21">
      <c r="A433" s="14">
        <v>428</v>
      </c>
      <c r="C433" s="16"/>
      <c r="D433" s="14" t="str">
        <f>IF(Sales[[#This Row],[Product ID]]="","",Sales[[#This Row],[Date]]&amp;Sales[[#This Row],[Invoice no]])</f>
        <v/>
      </c>
      <c r="E4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3" s="19" t="str">
        <f>IF(_xlfn.XLOOKUP(Sales[[#This Row],[Product Name]],Inventory[Product Name],Inventory[Sale Price],"")=0,"",_xlfn.XLOOKUP(Sales[[#This Row],[Product Name]],Inventory[Product Name],Inventory[Sale Price]))</f>
        <v/>
      </c>
      <c r="I433" s="19" t="str">
        <f>IFERROR(G433*H433,"")</f>
        <v/>
      </c>
      <c r="J433" s="19"/>
    </row>
    <row r="434" spans="1:10" ht="21">
      <c r="A434" s="14">
        <v>429</v>
      </c>
      <c r="C434" s="16"/>
      <c r="D434" s="14" t="str">
        <f>IF(Sales[[#This Row],[Product ID]]="","",Sales[[#This Row],[Date]]&amp;Sales[[#This Row],[Invoice no]])</f>
        <v/>
      </c>
      <c r="E4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4" s="19" t="str">
        <f>IF(_xlfn.XLOOKUP(Sales[[#This Row],[Product Name]],Inventory[Product Name],Inventory[Sale Price],"")=0,"",_xlfn.XLOOKUP(Sales[[#This Row],[Product Name]],Inventory[Product Name],Inventory[Sale Price]))</f>
        <v/>
      </c>
      <c r="I434" s="19" t="str">
        <f>IFERROR(G434*H434,"")</f>
        <v/>
      </c>
      <c r="J434" s="19"/>
    </row>
    <row r="435" spans="1:10" ht="21">
      <c r="A435" s="14">
        <v>430</v>
      </c>
      <c r="C435" s="16"/>
      <c r="D435" s="14" t="str">
        <f>IF(Sales[[#This Row],[Product ID]]="","",Sales[[#This Row],[Date]]&amp;Sales[[#This Row],[Invoice no]])</f>
        <v/>
      </c>
      <c r="E4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5" s="19" t="str">
        <f>IF(_xlfn.XLOOKUP(Sales[[#This Row],[Product Name]],Inventory[Product Name],Inventory[Sale Price],"")=0,"",_xlfn.XLOOKUP(Sales[[#This Row],[Product Name]],Inventory[Product Name],Inventory[Sale Price]))</f>
        <v/>
      </c>
      <c r="I435" s="19" t="str">
        <f>IFERROR(G435*H435,"")</f>
        <v/>
      </c>
      <c r="J435" s="19"/>
    </row>
    <row r="436" spans="1:10" ht="21">
      <c r="A436" s="14">
        <v>431</v>
      </c>
      <c r="C436" s="16"/>
      <c r="D436" s="14" t="str">
        <f>IF(Sales[[#This Row],[Product ID]]="","",Sales[[#This Row],[Date]]&amp;Sales[[#This Row],[Invoice no]])</f>
        <v/>
      </c>
      <c r="E4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6" s="19" t="str">
        <f>IF(_xlfn.XLOOKUP(Sales[[#This Row],[Product Name]],Inventory[Product Name],Inventory[Sale Price],"")=0,"",_xlfn.XLOOKUP(Sales[[#This Row],[Product Name]],Inventory[Product Name],Inventory[Sale Price]))</f>
        <v/>
      </c>
      <c r="I436" s="19" t="str">
        <f>IFERROR(G436*H436,"")</f>
        <v/>
      </c>
      <c r="J436" s="19"/>
    </row>
    <row r="437" spans="1:10" ht="21">
      <c r="A437" s="14">
        <v>432</v>
      </c>
      <c r="C437" s="16"/>
      <c r="D437" s="14" t="str">
        <f>IF(Sales[[#This Row],[Product ID]]="","",Sales[[#This Row],[Date]]&amp;Sales[[#This Row],[Invoice no]])</f>
        <v/>
      </c>
      <c r="E4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7" s="19" t="str">
        <f>IF(_xlfn.XLOOKUP(Sales[[#This Row],[Product Name]],Inventory[Product Name],Inventory[Sale Price],"")=0,"",_xlfn.XLOOKUP(Sales[[#This Row],[Product Name]],Inventory[Product Name],Inventory[Sale Price]))</f>
        <v/>
      </c>
      <c r="I437" s="19" t="str">
        <f>IFERROR(G437*H437,"")</f>
        <v/>
      </c>
      <c r="J437" s="19"/>
    </row>
    <row r="438" spans="1:10" ht="21">
      <c r="A438" s="14">
        <v>433</v>
      </c>
      <c r="C438" s="16"/>
      <c r="D438" s="14" t="str">
        <f>IF(Sales[[#This Row],[Product ID]]="","",Sales[[#This Row],[Date]]&amp;Sales[[#This Row],[Invoice no]])</f>
        <v/>
      </c>
      <c r="E4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8" s="19" t="str">
        <f>IF(_xlfn.XLOOKUP(Sales[[#This Row],[Product Name]],Inventory[Product Name],Inventory[Sale Price],"")=0,"",_xlfn.XLOOKUP(Sales[[#This Row],[Product Name]],Inventory[Product Name],Inventory[Sale Price]))</f>
        <v/>
      </c>
      <c r="I438" s="19" t="str">
        <f>IFERROR(G438*H438,"")</f>
        <v/>
      </c>
      <c r="J438" s="19"/>
    </row>
    <row r="439" spans="1:10" ht="21">
      <c r="A439" s="14">
        <v>434</v>
      </c>
      <c r="C439" s="16"/>
      <c r="D439" s="14" t="str">
        <f>IF(Sales[[#This Row],[Product ID]]="","",Sales[[#This Row],[Date]]&amp;Sales[[#This Row],[Invoice no]])</f>
        <v/>
      </c>
      <c r="E4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39" s="19" t="str">
        <f>IF(_xlfn.XLOOKUP(Sales[[#This Row],[Product Name]],Inventory[Product Name],Inventory[Sale Price],"")=0,"",_xlfn.XLOOKUP(Sales[[#This Row],[Product Name]],Inventory[Product Name],Inventory[Sale Price]))</f>
        <v/>
      </c>
      <c r="I439" s="19" t="str">
        <f>IFERROR(G439*H439,"")</f>
        <v/>
      </c>
      <c r="J439" s="19"/>
    </row>
    <row r="440" spans="1:10" ht="21">
      <c r="A440" s="14">
        <v>435</v>
      </c>
      <c r="C440" s="16"/>
      <c r="D440" s="14" t="str">
        <f>IF(Sales[[#This Row],[Product ID]]="","",Sales[[#This Row],[Date]]&amp;Sales[[#This Row],[Invoice no]])</f>
        <v/>
      </c>
      <c r="E4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0" s="19" t="str">
        <f>IF(_xlfn.XLOOKUP(Sales[[#This Row],[Product Name]],Inventory[Product Name],Inventory[Sale Price],"")=0,"",_xlfn.XLOOKUP(Sales[[#This Row],[Product Name]],Inventory[Product Name],Inventory[Sale Price]))</f>
        <v/>
      </c>
      <c r="I440" s="19" t="str">
        <f>IFERROR(G440*H440,"")</f>
        <v/>
      </c>
      <c r="J440" s="19"/>
    </row>
    <row r="441" spans="1:10" ht="21">
      <c r="A441" s="14">
        <v>436</v>
      </c>
      <c r="C441" s="16"/>
      <c r="D441" s="14" t="str">
        <f>IF(Sales[[#This Row],[Product ID]]="","",Sales[[#This Row],[Date]]&amp;Sales[[#This Row],[Invoice no]])</f>
        <v/>
      </c>
      <c r="E4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1" s="19" t="str">
        <f>IF(_xlfn.XLOOKUP(Sales[[#This Row],[Product Name]],Inventory[Product Name],Inventory[Sale Price],"")=0,"",_xlfn.XLOOKUP(Sales[[#This Row],[Product Name]],Inventory[Product Name],Inventory[Sale Price]))</f>
        <v/>
      </c>
      <c r="I441" s="19" t="str">
        <f>IFERROR(G441*H441,"")</f>
        <v/>
      </c>
      <c r="J441" s="19"/>
    </row>
    <row r="442" spans="1:10" ht="21">
      <c r="A442" s="14">
        <v>437</v>
      </c>
      <c r="C442" s="16"/>
      <c r="D442" s="14" t="str">
        <f>IF(Sales[[#This Row],[Product ID]]="","",Sales[[#This Row],[Date]]&amp;Sales[[#This Row],[Invoice no]])</f>
        <v/>
      </c>
      <c r="E4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2" s="19" t="str">
        <f>IF(_xlfn.XLOOKUP(Sales[[#This Row],[Product Name]],Inventory[Product Name],Inventory[Sale Price],"")=0,"",_xlfn.XLOOKUP(Sales[[#This Row],[Product Name]],Inventory[Product Name],Inventory[Sale Price]))</f>
        <v/>
      </c>
      <c r="I442" s="19" t="str">
        <f>IFERROR(G442*H442,"")</f>
        <v/>
      </c>
      <c r="J442" s="19"/>
    </row>
    <row r="443" spans="1:10" ht="21">
      <c r="A443" s="14">
        <v>438</v>
      </c>
      <c r="C443" s="16"/>
      <c r="D443" s="14" t="str">
        <f>IF(Sales[[#This Row],[Product ID]]="","",Sales[[#This Row],[Date]]&amp;Sales[[#This Row],[Invoice no]])</f>
        <v/>
      </c>
      <c r="E4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3" s="19" t="str">
        <f>IF(_xlfn.XLOOKUP(Sales[[#This Row],[Product Name]],Inventory[Product Name],Inventory[Sale Price],"")=0,"",_xlfn.XLOOKUP(Sales[[#This Row],[Product Name]],Inventory[Product Name],Inventory[Sale Price]))</f>
        <v/>
      </c>
      <c r="I443" s="19" t="str">
        <f>IFERROR(G443*H443,"")</f>
        <v/>
      </c>
      <c r="J443" s="19"/>
    </row>
    <row r="444" spans="1:10" ht="21">
      <c r="A444" s="14">
        <v>439</v>
      </c>
      <c r="C444" s="16"/>
      <c r="D444" s="14" t="str">
        <f>IF(Sales[[#This Row],[Product ID]]="","",Sales[[#This Row],[Date]]&amp;Sales[[#This Row],[Invoice no]])</f>
        <v/>
      </c>
      <c r="E4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4" s="19" t="str">
        <f>IF(_xlfn.XLOOKUP(Sales[[#This Row],[Product Name]],Inventory[Product Name],Inventory[Sale Price],"")=0,"",_xlfn.XLOOKUP(Sales[[#This Row],[Product Name]],Inventory[Product Name],Inventory[Sale Price]))</f>
        <v/>
      </c>
      <c r="I444" s="19" t="str">
        <f>IFERROR(G444*H444,"")</f>
        <v/>
      </c>
      <c r="J444" s="19"/>
    </row>
    <row r="445" spans="1:10" ht="21">
      <c r="A445" s="14">
        <v>440</v>
      </c>
      <c r="C445" s="16"/>
      <c r="D445" s="14" t="str">
        <f>IF(Sales[[#This Row],[Product ID]]="","",Sales[[#This Row],[Date]]&amp;Sales[[#This Row],[Invoice no]])</f>
        <v/>
      </c>
      <c r="E4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5" s="19" t="str">
        <f>IF(_xlfn.XLOOKUP(Sales[[#This Row],[Product Name]],Inventory[Product Name],Inventory[Sale Price],"")=0,"",_xlfn.XLOOKUP(Sales[[#This Row],[Product Name]],Inventory[Product Name],Inventory[Sale Price]))</f>
        <v/>
      </c>
      <c r="I445" s="19" t="str">
        <f>IFERROR(G445*H445,"")</f>
        <v/>
      </c>
      <c r="J445" s="19"/>
    </row>
    <row r="446" spans="1:10" ht="21">
      <c r="A446" s="14">
        <v>441</v>
      </c>
      <c r="C446" s="16"/>
      <c r="D446" s="14" t="str">
        <f>IF(Sales[[#This Row],[Product ID]]="","",Sales[[#This Row],[Date]]&amp;Sales[[#This Row],[Invoice no]])</f>
        <v/>
      </c>
      <c r="E4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6" s="19" t="str">
        <f>IF(_xlfn.XLOOKUP(Sales[[#This Row],[Product Name]],Inventory[Product Name],Inventory[Sale Price],"")=0,"",_xlfn.XLOOKUP(Sales[[#This Row],[Product Name]],Inventory[Product Name],Inventory[Sale Price]))</f>
        <v/>
      </c>
      <c r="I446" s="19" t="str">
        <f>IFERROR(G446*H446,"")</f>
        <v/>
      </c>
      <c r="J446" s="19"/>
    </row>
    <row r="447" spans="1:10" ht="21">
      <c r="A447" s="14">
        <v>442</v>
      </c>
      <c r="C447" s="16"/>
      <c r="D447" s="14" t="str">
        <f>IF(Sales[[#This Row],[Product ID]]="","",Sales[[#This Row],[Date]]&amp;Sales[[#This Row],[Invoice no]])</f>
        <v/>
      </c>
      <c r="E4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7" s="19" t="str">
        <f>IF(_xlfn.XLOOKUP(Sales[[#This Row],[Product Name]],Inventory[Product Name],Inventory[Sale Price],"")=0,"",_xlfn.XLOOKUP(Sales[[#This Row],[Product Name]],Inventory[Product Name],Inventory[Sale Price]))</f>
        <v/>
      </c>
      <c r="I447" s="19" t="str">
        <f>IFERROR(G447*H447,"")</f>
        <v/>
      </c>
      <c r="J447" s="19"/>
    </row>
    <row r="448" spans="1:10" ht="21">
      <c r="A448" s="14">
        <v>443</v>
      </c>
      <c r="C448" s="16"/>
      <c r="D448" s="14" t="str">
        <f>IF(Sales[[#This Row],[Product ID]]="","",Sales[[#This Row],[Date]]&amp;Sales[[#This Row],[Invoice no]])</f>
        <v/>
      </c>
      <c r="E4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8" s="19" t="str">
        <f>IF(_xlfn.XLOOKUP(Sales[[#This Row],[Product Name]],Inventory[Product Name],Inventory[Sale Price],"")=0,"",_xlfn.XLOOKUP(Sales[[#This Row],[Product Name]],Inventory[Product Name],Inventory[Sale Price]))</f>
        <v/>
      </c>
      <c r="I448" s="19" t="str">
        <f>IFERROR(G448*H448,"")</f>
        <v/>
      </c>
      <c r="J448" s="19"/>
    </row>
    <row r="449" spans="1:10" ht="21">
      <c r="A449" s="14">
        <v>444</v>
      </c>
      <c r="C449" s="16"/>
      <c r="D449" s="14" t="str">
        <f>IF(Sales[[#This Row],[Product ID]]="","",Sales[[#This Row],[Date]]&amp;Sales[[#This Row],[Invoice no]])</f>
        <v/>
      </c>
      <c r="E4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49" s="19" t="str">
        <f>IF(_xlfn.XLOOKUP(Sales[[#This Row],[Product Name]],Inventory[Product Name],Inventory[Sale Price],"")=0,"",_xlfn.XLOOKUP(Sales[[#This Row],[Product Name]],Inventory[Product Name],Inventory[Sale Price]))</f>
        <v/>
      </c>
      <c r="I449" s="19" t="str">
        <f>IFERROR(G449*H449,"")</f>
        <v/>
      </c>
      <c r="J449" s="19"/>
    </row>
    <row r="450" spans="1:10" ht="21">
      <c r="A450" s="14">
        <v>445</v>
      </c>
      <c r="C450" s="16"/>
      <c r="D450" s="14" t="str">
        <f>IF(Sales[[#This Row],[Product ID]]="","",Sales[[#This Row],[Date]]&amp;Sales[[#This Row],[Invoice no]])</f>
        <v/>
      </c>
      <c r="E4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0" s="19" t="str">
        <f>IF(_xlfn.XLOOKUP(Sales[[#This Row],[Product Name]],Inventory[Product Name],Inventory[Sale Price],"")=0,"",_xlfn.XLOOKUP(Sales[[#This Row],[Product Name]],Inventory[Product Name],Inventory[Sale Price]))</f>
        <v/>
      </c>
      <c r="I450" s="19" t="str">
        <f>IFERROR(G450*H450,"")</f>
        <v/>
      </c>
      <c r="J450" s="19"/>
    </row>
    <row r="451" spans="1:10" ht="21">
      <c r="A451" s="14">
        <v>446</v>
      </c>
      <c r="C451" s="16"/>
      <c r="D451" s="14" t="str">
        <f>IF(Sales[[#This Row],[Product ID]]="","",Sales[[#This Row],[Date]]&amp;Sales[[#This Row],[Invoice no]])</f>
        <v/>
      </c>
      <c r="E4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1" s="19" t="str">
        <f>IF(_xlfn.XLOOKUP(Sales[[#This Row],[Product Name]],Inventory[Product Name],Inventory[Sale Price],"")=0,"",_xlfn.XLOOKUP(Sales[[#This Row],[Product Name]],Inventory[Product Name],Inventory[Sale Price]))</f>
        <v/>
      </c>
      <c r="I451" s="19" t="str">
        <f>IFERROR(G451*H451,"")</f>
        <v/>
      </c>
      <c r="J451" s="19"/>
    </row>
    <row r="452" spans="1:10" ht="21">
      <c r="A452" s="14">
        <v>447</v>
      </c>
      <c r="C452" s="16"/>
      <c r="D452" s="14" t="str">
        <f>IF(Sales[[#This Row],[Product ID]]="","",Sales[[#This Row],[Date]]&amp;Sales[[#This Row],[Invoice no]])</f>
        <v/>
      </c>
      <c r="E4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2" s="19" t="str">
        <f>IF(_xlfn.XLOOKUP(Sales[[#This Row],[Product Name]],Inventory[Product Name],Inventory[Sale Price],"")=0,"",_xlfn.XLOOKUP(Sales[[#This Row],[Product Name]],Inventory[Product Name],Inventory[Sale Price]))</f>
        <v/>
      </c>
      <c r="I452" s="19" t="str">
        <f>IFERROR(G452*H452,"")</f>
        <v/>
      </c>
      <c r="J452" s="19"/>
    </row>
    <row r="453" spans="1:10" ht="21">
      <c r="A453" s="14">
        <v>448</v>
      </c>
      <c r="C453" s="16"/>
      <c r="D453" s="14" t="str">
        <f>IF(Sales[[#This Row],[Product ID]]="","",Sales[[#This Row],[Date]]&amp;Sales[[#This Row],[Invoice no]])</f>
        <v/>
      </c>
      <c r="E4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3" s="19" t="str">
        <f>IF(_xlfn.XLOOKUP(Sales[[#This Row],[Product Name]],Inventory[Product Name],Inventory[Sale Price],"")=0,"",_xlfn.XLOOKUP(Sales[[#This Row],[Product Name]],Inventory[Product Name],Inventory[Sale Price]))</f>
        <v/>
      </c>
      <c r="I453" s="19" t="str">
        <f>IFERROR(G453*H453,"")</f>
        <v/>
      </c>
      <c r="J453" s="19"/>
    </row>
    <row r="454" spans="1:10" ht="21">
      <c r="A454" s="14">
        <v>449</v>
      </c>
      <c r="C454" s="16"/>
      <c r="D454" s="14" t="str">
        <f>IF(Sales[[#This Row],[Product ID]]="","",Sales[[#This Row],[Date]]&amp;Sales[[#This Row],[Invoice no]])</f>
        <v/>
      </c>
      <c r="E4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4" s="19" t="str">
        <f>IF(_xlfn.XLOOKUP(Sales[[#This Row],[Product Name]],Inventory[Product Name],Inventory[Sale Price],"")=0,"",_xlfn.XLOOKUP(Sales[[#This Row],[Product Name]],Inventory[Product Name],Inventory[Sale Price]))</f>
        <v/>
      </c>
      <c r="I454" s="19" t="str">
        <f>IFERROR(G454*H454,"")</f>
        <v/>
      </c>
      <c r="J454" s="19"/>
    </row>
    <row r="455" spans="1:10" ht="21">
      <c r="A455" s="14">
        <v>450</v>
      </c>
      <c r="C455" s="16"/>
      <c r="D455" s="14" t="str">
        <f>IF(Sales[[#This Row],[Product ID]]="","",Sales[[#This Row],[Date]]&amp;Sales[[#This Row],[Invoice no]])</f>
        <v/>
      </c>
      <c r="E4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5" s="19" t="str">
        <f>IF(_xlfn.XLOOKUP(Sales[[#This Row],[Product Name]],Inventory[Product Name],Inventory[Sale Price],"")=0,"",_xlfn.XLOOKUP(Sales[[#This Row],[Product Name]],Inventory[Product Name],Inventory[Sale Price]))</f>
        <v/>
      </c>
      <c r="I455" s="19" t="str">
        <f>IFERROR(G455*H455,"")</f>
        <v/>
      </c>
      <c r="J455" s="19"/>
    </row>
    <row r="456" spans="1:10" ht="21">
      <c r="A456" s="14">
        <v>451</v>
      </c>
      <c r="C456" s="16"/>
      <c r="D456" s="14" t="str">
        <f>IF(Sales[[#This Row],[Product ID]]="","",Sales[[#This Row],[Date]]&amp;Sales[[#This Row],[Invoice no]])</f>
        <v/>
      </c>
      <c r="E4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6" s="19" t="str">
        <f>IF(_xlfn.XLOOKUP(Sales[[#This Row],[Product Name]],Inventory[Product Name],Inventory[Sale Price],"")=0,"",_xlfn.XLOOKUP(Sales[[#This Row],[Product Name]],Inventory[Product Name],Inventory[Sale Price]))</f>
        <v/>
      </c>
      <c r="I456" s="19" t="str">
        <f>IFERROR(G456*H456,"")</f>
        <v/>
      </c>
      <c r="J456" s="19"/>
    </row>
    <row r="457" spans="1:10" ht="21">
      <c r="A457" s="14">
        <v>452</v>
      </c>
      <c r="C457" s="16"/>
      <c r="D457" s="14" t="str">
        <f>IF(Sales[[#This Row],[Product ID]]="","",Sales[[#This Row],[Date]]&amp;Sales[[#This Row],[Invoice no]])</f>
        <v/>
      </c>
      <c r="E4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7" s="19" t="str">
        <f>IF(_xlfn.XLOOKUP(Sales[[#This Row],[Product Name]],Inventory[Product Name],Inventory[Sale Price],"")=0,"",_xlfn.XLOOKUP(Sales[[#This Row],[Product Name]],Inventory[Product Name],Inventory[Sale Price]))</f>
        <v/>
      </c>
      <c r="I457" s="19" t="str">
        <f>IFERROR(G457*H457,"")</f>
        <v/>
      </c>
      <c r="J457" s="19"/>
    </row>
    <row r="458" spans="1:10" ht="21">
      <c r="A458" s="14">
        <v>453</v>
      </c>
      <c r="C458" s="16"/>
      <c r="D458" s="14" t="str">
        <f>IF(Sales[[#This Row],[Product ID]]="","",Sales[[#This Row],[Date]]&amp;Sales[[#This Row],[Invoice no]])</f>
        <v/>
      </c>
      <c r="E4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8" s="19" t="str">
        <f>IF(_xlfn.XLOOKUP(Sales[[#This Row],[Product Name]],Inventory[Product Name],Inventory[Sale Price],"")=0,"",_xlfn.XLOOKUP(Sales[[#This Row],[Product Name]],Inventory[Product Name],Inventory[Sale Price]))</f>
        <v/>
      </c>
      <c r="I458" s="19" t="str">
        <f>IFERROR(G458*H458,"")</f>
        <v/>
      </c>
      <c r="J458" s="19"/>
    </row>
    <row r="459" spans="1:10" ht="21">
      <c r="A459" s="14">
        <v>454</v>
      </c>
      <c r="C459" s="16"/>
      <c r="D459" s="14" t="str">
        <f>IF(Sales[[#This Row],[Product ID]]="","",Sales[[#This Row],[Date]]&amp;Sales[[#This Row],[Invoice no]])</f>
        <v/>
      </c>
      <c r="E4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59" s="19" t="str">
        <f>IF(_xlfn.XLOOKUP(Sales[[#This Row],[Product Name]],Inventory[Product Name],Inventory[Sale Price],"")=0,"",_xlfn.XLOOKUP(Sales[[#This Row],[Product Name]],Inventory[Product Name],Inventory[Sale Price]))</f>
        <v/>
      </c>
      <c r="I459" s="19" t="str">
        <f>IFERROR(G459*H459,"")</f>
        <v/>
      </c>
      <c r="J459" s="19"/>
    </row>
    <row r="460" spans="1:10" ht="21">
      <c r="A460" s="14">
        <v>455</v>
      </c>
      <c r="C460" s="16"/>
      <c r="D460" s="14" t="str">
        <f>IF(Sales[[#This Row],[Product ID]]="","",Sales[[#This Row],[Date]]&amp;Sales[[#This Row],[Invoice no]])</f>
        <v/>
      </c>
      <c r="E4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0" s="19" t="str">
        <f>IF(_xlfn.XLOOKUP(Sales[[#This Row],[Product Name]],Inventory[Product Name],Inventory[Sale Price],"")=0,"",_xlfn.XLOOKUP(Sales[[#This Row],[Product Name]],Inventory[Product Name],Inventory[Sale Price]))</f>
        <v/>
      </c>
      <c r="I460" s="19" t="str">
        <f>IFERROR(G460*H460,"")</f>
        <v/>
      </c>
      <c r="J460" s="19"/>
    </row>
    <row r="461" spans="1:10" ht="21">
      <c r="A461" s="14">
        <v>456</v>
      </c>
      <c r="C461" s="16"/>
      <c r="D461" s="14" t="str">
        <f>IF(Sales[[#This Row],[Product ID]]="","",Sales[[#This Row],[Date]]&amp;Sales[[#This Row],[Invoice no]])</f>
        <v/>
      </c>
      <c r="E4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1" s="19" t="str">
        <f>IF(_xlfn.XLOOKUP(Sales[[#This Row],[Product Name]],Inventory[Product Name],Inventory[Sale Price],"")=0,"",_xlfn.XLOOKUP(Sales[[#This Row],[Product Name]],Inventory[Product Name],Inventory[Sale Price]))</f>
        <v/>
      </c>
      <c r="I461" s="19" t="str">
        <f>IFERROR(G461*H461,"")</f>
        <v/>
      </c>
      <c r="J461" s="19"/>
    </row>
    <row r="462" spans="1:10" ht="21">
      <c r="A462" s="14">
        <v>457</v>
      </c>
      <c r="C462" s="16"/>
      <c r="D462" s="14" t="str">
        <f>IF(Sales[[#This Row],[Product ID]]="","",Sales[[#This Row],[Date]]&amp;Sales[[#This Row],[Invoice no]])</f>
        <v/>
      </c>
      <c r="E4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2" s="19" t="str">
        <f>IF(_xlfn.XLOOKUP(Sales[[#This Row],[Product Name]],Inventory[Product Name],Inventory[Sale Price],"")=0,"",_xlfn.XLOOKUP(Sales[[#This Row],[Product Name]],Inventory[Product Name],Inventory[Sale Price]))</f>
        <v/>
      </c>
      <c r="I462" s="19" t="str">
        <f>IFERROR(G462*H462,"")</f>
        <v/>
      </c>
      <c r="J462" s="19"/>
    </row>
    <row r="463" spans="1:10" ht="21">
      <c r="A463" s="14">
        <v>458</v>
      </c>
      <c r="C463" s="16"/>
      <c r="D463" s="14" t="str">
        <f>IF(Sales[[#This Row],[Product ID]]="","",Sales[[#This Row],[Date]]&amp;Sales[[#This Row],[Invoice no]])</f>
        <v/>
      </c>
      <c r="E4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3" s="19" t="str">
        <f>IF(_xlfn.XLOOKUP(Sales[[#This Row],[Product Name]],Inventory[Product Name],Inventory[Sale Price],"")=0,"",_xlfn.XLOOKUP(Sales[[#This Row],[Product Name]],Inventory[Product Name],Inventory[Sale Price]))</f>
        <v/>
      </c>
      <c r="I463" s="19" t="str">
        <f>IFERROR(G463*H463,"")</f>
        <v/>
      </c>
      <c r="J463" s="19"/>
    </row>
    <row r="464" spans="1:10" ht="21">
      <c r="A464" s="14">
        <v>459</v>
      </c>
      <c r="C464" s="16"/>
      <c r="D464" s="14" t="str">
        <f>IF(Sales[[#This Row],[Product ID]]="","",Sales[[#This Row],[Date]]&amp;Sales[[#This Row],[Invoice no]])</f>
        <v/>
      </c>
      <c r="E4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4" s="19" t="str">
        <f>IF(_xlfn.XLOOKUP(Sales[[#This Row],[Product Name]],Inventory[Product Name],Inventory[Sale Price],"")=0,"",_xlfn.XLOOKUP(Sales[[#This Row],[Product Name]],Inventory[Product Name],Inventory[Sale Price]))</f>
        <v/>
      </c>
      <c r="I464" s="19" t="str">
        <f>IFERROR(G464*H464,"")</f>
        <v/>
      </c>
      <c r="J464" s="19"/>
    </row>
    <row r="465" spans="1:10" ht="21">
      <c r="A465" s="14">
        <v>460</v>
      </c>
      <c r="C465" s="16"/>
      <c r="D465" s="14" t="str">
        <f>IF(Sales[[#This Row],[Product ID]]="","",Sales[[#This Row],[Date]]&amp;Sales[[#This Row],[Invoice no]])</f>
        <v/>
      </c>
      <c r="E4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5" s="19" t="str">
        <f>IF(_xlfn.XLOOKUP(Sales[[#This Row],[Product Name]],Inventory[Product Name],Inventory[Sale Price],"")=0,"",_xlfn.XLOOKUP(Sales[[#This Row],[Product Name]],Inventory[Product Name],Inventory[Sale Price]))</f>
        <v/>
      </c>
      <c r="I465" s="19" t="str">
        <f>IFERROR(G465*H465,"")</f>
        <v/>
      </c>
      <c r="J465" s="19"/>
    </row>
    <row r="466" spans="1:10" ht="21">
      <c r="A466" s="14">
        <v>461</v>
      </c>
      <c r="C466" s="16"/>
      <c r="D466" s="14" t="str">
        <f>IF(Sales[[#This Row],[Product ID]]="","",Sales[[#This Row],[Date]]&amp;Sales[[#This Row],[Invoice no]])</f>
        <v/>
      </c>
      <c r="E4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6" s="19" t="str">
        <f>IF(_xlfn.XLOOKUP(Sales[[#This Row],[Product Name]],Inventory[Product Name],Inventory[Sale Price],"")=0,"",_xlfn.XLOOKUP(Sales[[#This Row],[Product Name]],Inventory[Product Name],Inventory[Sale Price]))</f>
        <v/>
      </c>
      <c r="I466" s="19" t="str">
        <f>IFERROR(G466*H466,"")</f>
        <v/>
      </c>
      <c r="J466" s="19"/>
    </row>
    <row r="467" spans="1:10" ht="21">
      <c r="A467" s="14">
        <v>462</v>
      </c>
      <c r="C467" s="16"/>
      <c r="D467" s="14" t="str">
        <f>IF(Sales[[#This Row],[Product ID]]="","",Sales[[#This Row],[Date]]&amp;Sales[[#This Row],[Invoice no]])</f>
        <v/>
      </c>
      <c r="E4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7" s="19" t="str">
        <f>IF(_xlfn.XLOOKUP(Sales[[#This Row],[Product Name]],Inventory[Product Name],Inventory[Sale Price],"")=0,"",_xlfn.XLOOKUP(Sales[[#This Row],[Product Name]],Inventory[Product Name],Inventory[Sale Price]))</f>
        <v/>
      </c>
      <c r="I467" s="19" t="str">
        <f>IFERROR(G467*H467,"")</f>
        <v/>
      </c>
      <c r="J467" s="19"/>
    </row>
    <row r="468" spans="1:10" ht="21">
      <c r="A468" s="14">
        <v>463</v>
      </c>
      <c r="C468" s="16"/>
      <c r="D468" s="14" t="str">
        <f>IF(Sales[[#This Row],[Product ID]]="","",Sales[[#This Row],[Date]]&amp;Sales[[#This Row],[Invoice no]])</f>
        <v/>
      </c>
      <c r="E4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8" s="19" t="str">
        <f>IF(_xlfn.XLOOKUP(Sales[[#This Row],[Product Name]],Inventory[Product Name],Inventory[Sale Price],"")=0,"",_xlfn.XLOOKUP(Sales[[#This Row],[Product Name]],Inventory[Product Name],Inventory[Sale Price]))</f>
        <v/>
      </c>
      <c r="I468" s="19" t="str">
        <f>IFERROR(G468*H468,"")</f>
        <v/>
      </c>
      <c r="J468" s="19"/>
    </row>
    <row r="469" spans="1:10" ht="21">
      <c r="A469" s="14">
        <v>464</v>
      </c>
      <c r="C469" s="16"/>
      <c r="D469" s="14" t="str">
        <f>IF(Sales[[#This Row],[Product ID]]="","",Sales[[#This Row],[Date]]&amp;Sales[[#This Row],[Invoice no]])</f>
        <v/>
      </c>
      <c r="E4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69" s="19" t="str">
        <f>IF(_xlfn.XLOOKUP(Sales[[#This Row],[Product Name]],Inventory[Product Name],Inventory[Sale Price],"")=0,"",_xlfn.XLOOKUP(Sales[[#This Row],[Product Name]],Inventory[Product Name],Inventory[Sale Price]))</f>
        <v/>
      </c>
      <c r="I469" s="19" t="str">
        <f>IFERROR(G469*H469,"")</f>
        <v/>
      </c>
      <c r="J469" s="19"/>
    </row>
    <row r="470" spans="1:10" ht="21">
      <c r="A470" s="14">
        <v>465</v>
      </c>
      <c r="C470" s="16"/>
      <c r="D470" s="14" t="str">
        <f>IF(Sales[[#This Row],[Product ID]]="","",Sales[[#This Row],[Date]]&amp;Sales[[#This Row],[Invoice no]])</f>
        <v/>
      </c>
      <c r="E4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0" s="19" t="str">
        <f>IF(_xlfn.XLOOKUP(Sales[[#This Row],[Product Name]],Inventory[Product Name],Inventory[Sale Price],"")=0,"",_xlfn.XLOOKUP(Sales[[#This Row],[Product Name]],Inventory[Product Name],Inventory[Sale Price]))</f>
        <v/>
      </c>
      <c r="I470" s="19" t="str">
        <f>IFERROR(G470*H470,"")</f>
        <v/>
      </c>
      <c r="J470" s="19"/>
    </row>
    <row r="471" spans="1:10" ht="21">
      <c r="A471" s="14">
        <v>466</v>
      </c>
      <c r="C471" s="16"/>
      <c r="D471" s="14" t="str">
        <f>IF(Sales[[#This Row],[Product ID]]="","",Sales[[#This Row],[Date]]&amp;Sales[[#This Row],[Invoice no]])</f>
        <v/>
      </c>
      <c r="E4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1" s="19" t="str">
        <f>IF(_xlfn.XLOOKUP(Sales[[#This Row],[Product Name]],Inventory[Product Name],Inventory[Sale Price],"")=0,"",_xlfn.XLOOKUP(Sales[[#This Row],[Product Name]],Inventory[Product Name],Inventory[Sale Price]))</f>
        <v/>
      </c>
      <c r="I471" s="19" t="str">
        <f>IFERROR(G471*H471,"")</f>
        <v/>
      </c>
      <c r="J471" s="19"/>
    </row>
    <row r="472" spans="1:10" ht="21">
      <c r="A472" s="14">
        <v>467</v>
      </c>
      <c r="C472" s="16"/>
      <c r="D472" s="14" t="str">
        <f>IF(Sales[[#This Row],[Product ID]]="","",Sales[[#This Row],[Date]]&amp;Sales[[#This Row],[Invoice no]])</f>
        <v/>
      </c>
      <c r="E4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2" s="19" t="str">
        <f>IF(_xlfn.XLOOKUP(Sales[[#This Row],[Product Name]],Inventory[Product Name],Inventory[Sale Price],"")=0,"",_xlfn.XLOOKUP(Sales[[#This Row],[Product Name]],Inventory[Product Name],Inventory[Sale Price]))</f>
        <v/>
      </c>
      <c r="I472" s="19" t="str">
        <f>IFERROR(G472*H472,"")</f>
        <v/>
      </c>
      <c r="J472" s="19"/>
    </row>
    <row r="473" spans="1:10" ht="21">
      <c r="A473" s="14">
        <v>468</v>
      </c>
      <c r="C473" s="16"/>
      <c r="D473" s="14" t="str">
        <f>IF(Sales[[#This Row],[Product ID]]="","",Sales[[#This Row],[Date]]&amp;Sales[[#This Row],[Invoice no]])</f>
        <v/>
      </c>
      <c r="E4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3" s="19" t="str">
        <f>IF(_xlfn.XLOOKUP(Sales[[#This Row],[Product Name]],Inventory[Product Name],Inventory[Sale Price],"")=0,"",_xlfn.XLOOKUP(Sales[[#This Row],[Product Name]],Inventory[Product Name],Inventory[Sale Price]))</f>
        <v/>
      </c>
      <c r="I473" s="19" t="str">
        <f>IFERROR(G473*H473,"")</f>
        <v/>
      </c>
      <c r="J473" s="19"/>
    </row>
    <row r="474" spans="1:10" ht="21">
      <c r="A474" s="14">
        <v>469</v>
      </c>
      <c r="C474" s="16"/>
      <c r="D474" s="14" t="str">
        <f>IF(Sales[[#This Row],[Product ID]]="","",Sales[[#This Row],[Date]]&amp;Sales[[#This Row],[Invoice no]])</f>
        <v/>
      </c>
      <c r="E4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4" s="19" t="str">
        <f>IF(_xlfn.XLOOKUP(Sales[[#This Row],[Product Name]],Inventory[Product Name],Inventory[Sale Price],"")=0,"",_xlfn.XLOOKUP(Sales[[#This Row],[Product Name]],Inventory[Product Name],Inventory[Sale Price]))</f>
        <v/>
      </c>
      <c r="I474" s="19" t="str">
        <f>IFERROR(G474*H474,"")</f>
        <v/>
      </c>
      <c r="J474" s="19"/>
    </row>
    <row r="475" spans="1:10" ht="21">
      <c r="A475" s="14">
        <v>470</v>
      </c>
      <c r="C475" s="16"/>
      <c r="D475" s="14" t="str">
        <f>IF(Sales[[#This Row],[Product ID]]="","",Sales[[#This Row],[Date]]&amp;Sales[[#This Row],[Invoice no]])</f>
        <v/>
      </c>
      <c r="E4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5" s="19" t="str">
        <f>IF(_xlfn.XLOOKUP(Sales[[#This Row],[Product Name]],Inventory[Product Name],Inventory[Sale Price],"")=0,"",_xlfn.XLOOKUP(Sales[[#This Row],[Product Name]],Inventory[Product Name],Inventory[Sale Price]))</f>
        <v/>
      </c>
      <c r="I475" s="19" t="str">
        <f>IFERROR(G475*H475,"")</f>
        <v/>
      </c>
      <c r="J475" s="19"/>
    </row>
    <row r="476" spans="1:10" ht="21">
      <c r="A476" s="14">
        <v>471</v>
      </c>
      <c r="C476" s="16"/>
      <c r="D476" s="14" t="str">
        <f>IF(Sales[[#This Row],[Product ID]]="","",Sales[[#This Row],[Date]]&amp;Sales[[#This Row],[Invoice no]])</f>
        <v/>
      </c>
      <c r="E4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6" s="19" t="str">
        <f>IF(_xlfn.XLOOKUP(Sales[[#This Row],[Product Name]],Inventory[Product Name],Inventory[Sale Price],"")=0,"",_xlfn.XLOOKUP(Sales[[#This Row],[Product Name]],Inventory[Product Name],Inventory[Sale Price]))</f>
        <v/>
      </c>
      <c r="I476" s="19" t="str">
        <f>IFERROR(G476*H476,"")</f>
        <v/>
      </c>
      <c r="J476" s="19"/>
    </row>
    <row r="477" spans="1:10" ht="21">
      <c r="A477" s="14">
        <v>472</v>
      </c>
      <c r="C477" s="16"/>
      <c r="D477" s="14" t="str">
        <f>IF(Sales[[#This Row],[Product ID]]="","",Sales[[#This Row],[Date]]&amp;Sales[[#This Row],[Invoice no]])</f>
        <v/>
      </c>
      <c r="E4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7" s="19" t="str">
        <f>IF(_xlfn.XLOOKUP(Sales[[#This Row],[Product Name]],Inventory[Product Name],Inventory[Sale Price],"")=0,"",_xlfn.XLOOKUP(Sales[[#This Row],[Product Name]],Inventory[Product Name],Inventory[Sale Price]))</f>
        <v/>
      </c>
      <c r="I477" s="19" t="str">
        <f>IFERROR(G477*H477,"")</f>
        <v/>
      </c>
      <c r="J477" s="19"/>
    </row>
    <row r="478" spans="1:10" ht="21">
      <c r="A478" s="14">
        <v>473</v>
      </c>
      <c r="C478" s="16"/>
      <c r="D478" s="14" t="str">
        <f>IF(Sales[[#This Row],[Product ID]]="","",Sales[[#This Row],[Date]]&amp;Sales[[#This Row],[Invoice no]])</f>
        <v/>
      </c>
      <c r="E4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8" s="19" t="str">
        <f>IF(_xlfn.XLOOKUP(Sales[[#This Row],[Product Name]],Inventory[Product Name],Inventory[Sale Price],"")=0,"",_xlfn.XLOOKUP(Sales[[#This Row],[Product Name]],Inventory[Product Name],Inventory[Sale Price]))</f>
        <v/>
      </c>
      <c r="I478" s="19" t="str">
        <f>IFERROR(G478*H478,"")</f>
        <v/>
      </c>
      <c r="J478" s="19"/>
    </row>
    <row r="479" spans="1:10" ht="21">
      <c r="A479" s="14">
        <v>474</v>
      </c>
      <c r="C479" s="16"/>
      <c r="D479" s="14" t="str">
        <f>IF(Sales[[#This Row],[Product ID]]="","",Sales[[#This Row],[Date]]&amp;Sales[[#This Row],[Invoice no]])</f>
        <v/>
      </c>
      <c r="E4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79" s="19" t="str">
        <f>IF(_xlfn.XLOOKUP(Sales[[#This Row],[Product Name]],Inventory[Product Name],Inventory[Sale Price],"")=0,"",_xlfn.XLOOKUP(Sales[[#This Row],[Product Name]],Inventory[Product Name],Inventory[Sale Price]))</f>
        <v/>
      </c>
      <c r="I479" s="19" t="str">
        <f>IFERROR(G479*H479,"")</f>
        <v/>
      </c>
      <c r="J479" s="19"/>
    </row>
    <row r="480" spans="1:10" ht="21">
      <c r="A480" s="14">
        <v>475</v>
      </c>
      <c r="C480" s="16"/>
      <c r="D480" s="14" t="str">
        <f>IF(Sales[[#This Row],[Product ID]]="","",Sales[[#This Row],[Date]]&amp;Sales[[#This Row],[Invoice no]])</f>
        <v/>
      </c>
      <c r="E4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0" s="19" t="str">
        <f>IF(_xlfn.XLOOKUP(Sales[[#This Row],[Product Name]],Inventory[Product Name],Inventory[Sale Price],"")=0,"",_xlfn.XLOOKUP(Sales[[#This Row],[Product Name]],Inventory[Product Name],Inventory[Sale Price]))</f>
        <v/>
      </c>
      <c r="I480" s="19" t="str">
        <f>IFERROR(G480*H480,"")</f>
        <v/>
      </c>
      <c r="J480" s="19"/>
    </row>
    <row r="481" spans="1:10" ht="21">
      <c r="A481" s="14">
        <v>476</v>
      </c>
      <c r="C481" s="16"/>
      <c r="D481" s="14" t="str">
        <f>IF(Sales[[#This Row],[Product ID]]="","",Sales[[#This Row],[Date]]&amp;Sales[[#This Row],[Invoice no]])</f>
        <v/>
      </c>
      <c r="E4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1" s="19" t="str">
        <f>IF(_xlfn.XLOOKUP(Sales[[#This Row],[Product Name]],Inventory[Product Name],Inventory[Sale Price],"")=0,"",_xlfn.XLOOKUP(Sales[[#This Row],[Product Name]],Inventory[Product Name],Inventory[Sale Price]))</f>
        <v/>
      </c>
      <c r="I481" s="19" t="str">
        <f>IFERROR(G481*H481,"")</f>
        <v/>
      </c>
      <c r="J481" s="19"/>
    </row>
    <row r="482" spans="1:10" ht="21">
      <c r="A482" s="14">
        <v>477</v>
      </c>
      <c r="C482" s="16"/>
      <c r="D482" s="14" t="str">
        <f>IF(Sales[[#This Row],[Product ID]]="","",Sales[[#This Row],[Date]]&amp;Sales[[#This Row],[Invoice no]])</f>
        <v/>
      </c>
      <c r="E4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2" s="19" t="str">
        <f>IF(_xlfn.XLOOKUP(Sales[[#This Row],[Product Name]],Inventory[Product Name],Inventory[Sale Price],"")=0,"",_xlfn.XLOOKUP(Sales[[#This Row],[Product Name]],Inventory[Product Name],Inventory[Sale Price]))</f>
        <v/>
      </c>
      <c r="I482" s="19" t="str">
        <f>IFERROR(G482*H482,"")</f>
        <v/>
      </c>
      <c r="J482" s="19"/>
    </row>
    <row r="483" spans="1:10" ht="21">
      <c r="A483" s="14">
        <v>478</v>
      </c>
      <c r="C483" s="16"/>
      <c r="D483" s="14" t="str">
        <f>IF(Sales[[#This Row],[Product ID]]="","",Sales[[#This Row],[Date]]&amp;Sales[[#This Row],[Invoice no]])</f>
        <v/>
      </c>
      <c r="E4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3" s="19" t="str">
        <f>IF(_xlfn.XLOOKUP(Sales[[#This Row],[Product Name]],Inventory[Product Name],Inventory[Sale Price],"")=0,"",_xlfn.XLOOKUP(Sales[[#This Row],[Product Name]],Inventory[Product Name],Inventory[Sale Price]))</f>
        <v/>
      </c>
      <c r="I483" s="19" t="str">
        <f>IFERROR(G483*H483,"")</f>
        <v/>
      </c>
      <c r="J483" s="19"/>
    </row>
    <row r="484" spans="1:10" ht="21">
      <c r="A484" s="14">
        <v>479</v>
      </c>
      <c r="C484" s="16"/>
      <c r="D484" s="14" t="str">
        <f>IF(Sales[[#This Row],[Product ID]]="","",Sales[[#This Row],[Date]]&amp;Sales[[#This Row],[Invoice no]])</f>
        <v/>
      </c>
      <c r="E4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4" s="19" t="str">
        <f>IF(_xlfn.XLOOKUP(Sales[[#This Row],[Product Name]],Inventory[Product Name],Inventory[Sale Price],"")=0,"",_xlfn.XLOOKUP(Sales[[#This Row],[Product Name]],Inventory[Product Name],Inventory[Sale Price]))</f>
        <v/>
      </c>
      <c r="I484" s="19" t="str">
        <f>IFERROR(G484*H484,"")</f>
        <v/>
      </c>
      <c r="J484" s="19"/>
    </row>
    <row r="485" spans="1:10" ht="21">
      <c r="A485" s="14">
        <v>480</v>
      </c>
      <c r="C485" s="16"/>
      <c r="D485" s="14" t="str">
        <f>IF(Sales[[#This Row],[Product ID]]="","",Sales[[#This Row],[Date]]&amp;Sales[[#This Row],[Invoice no]])</f>
        <v/>
      </c>
      <c r="E4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5" s="19" t="str">
        <f>IF(_xlfn.XLOOKUP(Sales[[#This Row],[Product Name]],Inventory[Product Name],Inventory[Sale Price],"")=0,"",_xlfn.XLOOKUP(Sales[[#This Row],[Product Name]],Inventory[Product Name],Inventory[Sale Price]))</f>
        <v/>
      </c>
      <c r="I485" s="19" t="str">
        <f>IFERROR(G485*H485,"")</f>
        <v/>
      </c>
      <c r="J485" s="19"/>
    </row>
    <row r="486" spans="1:10" ht="21">
      <c r="A486" s="14">
        <v>481</v>
      </c>
      <c r="C486" s="16"/>
      <c r="D486" s="14" t="str">
        <f>IF(Sales[[#This Row],[Product ID]]="","",Sales[[#This Row],[Date]]&amp;Sales[[#This Row],[Invoice no]])</f>
        <v/>
      </c>
      <c r="E4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6" s="19" t="str">
        <f>IF(_xlfn.XLOOKUP(Sales[[#This Row],[Product Name]],Inventory[Product Name],Inventory[Sale Price],"")=0,"",_xlfn.XLOOKUP(Sales[[#This Row],[Product Name]],Inventory[Product Name],Inventory[Sale Price]))</f>
        <v/>
      </c>
      <c r="I486" s="19" t="str">
        <f>IFERROR(G486*H486,"")</f>
        <v/>
      </c>
      <c r="J486" s="19"/>
    </row>
    <row r="487" spans="1:10" ht="21">
      <c r="A487" s="14">
        <v>482</v>
      </c>
      <c r="C487" s="16"/>
      <c r="D487" s="14" t="str">
        <f>IF(Sales[[#This Row],[Product ID]]="","",Sales[[#This Row],[Date]]&amp;Sales[[#This Row],[Invoice no]])</f>
        <v/>
      </c>
      <c r="E4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7" s="19" t="str">
        <f>IF(_xlfn.XLOOKUP(Sales[[#This Row],[Product Name]],Inventory[Product Name],Inventory[Sale Price],"")=0,"",_xlfn.XLOOKUP(Sales[[#This Row],[Product Name]],Inventory[Product Name],Inventory[Sale Price]))</f>
        <v/>
      </c>
      <c r="I487" s="19" t="str">
        <f>IFERROR(G487*H487,"")</f>
        <v/>
      </c>
      <c r="J487" s="19"/>
    </row>
    <row r="488" spans="1:10" ht="21">
      <c r="A488" s="14">
        <v>483</v>
      </c>
      <c r="C488" s="16"/>
      <c r="D488" s="14" t="str">
        <f>IF(Sales[[#This Row],[Product ID]]="","",Sales[[#This Row],[Date]]&amp;Sales[[#This Row],[Invoice no]])</f>
        <v/>
      </c>
      <c r="E4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8" s="19" t="str">
        <f>IF(_xlfn.XLOOKUP(Sales[[#This Row],[Product Name]],Inventory[Product Name],Inventory[Sale Price],"")=0,"",_xlfn.XLOOKUP(Sales[[#This Row],[Product Name]],Inventory[Product Name],Inventory[Sale Price]))</f>
        <v/>
      </c>
      <c r="I488" s="19" t="str">
        <f>IFERROR(G488*H488,"")</f>
        <v/>
      </c>
      <c r="J488" s="19"/>
    </row>
    <row r="489" spans="1:10" ht="21">
      <c r="A489" s="14">
        <v>484</v>
      </c>
      <c r="C489" s="16"/>
      <c r="D489" s="14" t="str">
        <f>IF(Sales[[#This Row],[Product ID]]="","",Sales[[#This Row],[Date]]&amp;Sales[[#This Row],[Invoice no]])</f>
        <v/>
      </c>
      <c r="E4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89" s="19" t="str">
        <f>IF(_xlfn.XLOOKUP(Sales[[#This Row],[Product Name]],Inventory[Product Name],Inventory[Sale Price],"")=0,"",_xlfn.XLOOKUP(Sales[[#This Row],[Product Name]],Inventory[Product Name],Inventory[Sale Price]))</f>
        <v/>
      </c>
      <c r="I489" s="19" t="str">
        <f>IFERROR(G489*H489,"")</f>
        <v/>
      </c>
      <c r="J489" s="19"/>
    </row>
    <row r="490" spans="1:10" ht="21">
      <c r="A490" s="14">
        <v>485</v>
      </c>
      <c r="C490" s="16"/>
      <c r="D490" s="14" t="str">
        <f>IF(Sales[[#This Row],[Product ID]]="","",Sales[[#This Row],[Date]]&amp;Sales[[#This Row],[Invoice no]])</f>
        <v/>
      </c>
      <c r="E4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0" s="19" t="str">
        <f>IF(_xlfn.XLOOKUP(Sales[[#This Row],[Product Name]],Inventory[Product Name],Inventory[Sale Price],"")=0,"",_xlfn.XLOOKUP(Sales[[#This Row],[Product Name]],Inventory[Product Name],Inventory[Sale Price]))</f>
        <v/>
      </c>
      <c r="I490" s="19" t="str">
        <f>IFERROR(G490*H490,"")</f>
        <v/>
      </c>
      <c r="J490" s="19"/>
    </row>
    <row r="491" spans="1:10" ht="21">
      <c r="A491" s="14">
        <v>486</v>
      </c>
      <c r="C491" s="16"/>
      <c r="D491" s="14" t="str">
        <f>IF(Sales[[#This Row],[Product ID]]="","",Sales[[#This Row],[Date]]&amp;Sales[[#This Row],[Invoice no]])</f>
        <v/>
      </c>
      <c r="E4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1" s="19" t="str">
        <f>IF(_xlfn.XLOOKUP(Sales[[#This Row],[Product Name]],Inventory[Product Name],Inventory[Sale Price],"")=0,"",_xlfn.XLOOKUP(Sales[[#This Row],[Product Name]],Inventory[Product Name],Inventory[Sale Price]))</f>
        <v/>
      </c>
      <c r="I491" s="19" t="str">
        <f>IFERROR(G491*H491,"")</f>
        <v/>
      </c>
      <c r="J491" s="19"/>
    </row>
    <row r="492" spans="1:10" ht="21">
      <c r="A492" s="14">
        <v>487</v>
      </c>
      <c r="C492" s="16"/>
      <c r="D492" s="14" t="str">
        <f>IF(Sales[[#This Row],[Product ID]]="","",Sales[[#This Row],[Date]]&amp;Sales[[#This Row],[Invoice no]])</f>
        <v/>
      </c>
      <c r="E4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2" s="19" t="str">
        <f>IF(_xlfn.XLOOKUP(Sales[[#This Row],[Product Name]],Inventory[Product Name],Inventory[Sale Price],"")=0,"",_xlfn.XLOOKUP(Sales[[#This Row],[Product Name]],Inventory[Product Name],Inventory[Sale Price]))</f>
        <v/>
      </c>
      <c r="I492" s="19" t="str">
        <f>IFERROR(G492*H492,"")</f>
        <v/>
      </c>
      <c r="J492" s="19"/>
    </row>
    <row r="493" spans="1:10" ht="21">
      <c r="A493" s="14">
        <v>488</v>
      </c>
      <c r="C493" s="16"/>
      <c r="D493" s="14" t="str">
        <f>IF(Sales[[#This Row],[Product ID]]="","",Sales[[#This Row],[Date]]&amp;Sales[[#This Row],[Invoice no]])</f>
        <v/>
      </c>
      <c r="E4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3" s="19" t="str">
        <f>IF(_xlfn.XLOOKUP(Sales[[#This Row],[Product Name]],Inventory[Product Name],Inventory[Sale Price],"")=0,"",_xlfn.XLOOKUP(Sales[[#This Row],[Product Name]],Inventory[Product Name],Inventory[Sale Price]))</f>
        <v/>
      </c>
      <c r="I493" s="19" t="str">
        <f>IFERROR(G493*H493,"")</f>
        <v/>
      </c>
      <c r="J493" s="19"/>
    </row>
    <row r="494" spans="1:10" ht="21">
      <c r="A494" s="14">
        <v>489</v>
      </c>
      <c r="C494" s="16"/>
      <c r="D494" s="14" t="str">
        <f>IF(Sales[[#This Row],[Product ID]]="","",Sales[[#This Row],[Date]]&amp;Sales[[#This Row],[Invoice no]])</f>
        <v/>
      </c>
      <c r="E4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4" s="19" t="str">
        <f>IF(_xlfn.XLOOKUP(Sales[[#This Row],[Product Name]],Inventory[Product Name],Inventory[Sale Price],"")=0,"",_xlfn.XLOOKUP(Sales[[#This Row],[Product Name]],Inventory[Product Name],Inventory[Sale Price]))</f>
        <v/>
      </c>
      <c r="I494" s="19" t="str">
        <f>IFERROR(G494*H494,"")</f>
        <v/>
      </c>
      <c r="J494" s="19"/>
    </row>
    <row r="495" spans="1:10" ht="21">
      <c r="A495" s="14">
        <v>490</v>
      </c>
      <c r="C495" s="16"/>
      <c r="D495" s="14" t="str">
        <f>IF(Sales[[#This Row],[Product ID]]="","",Sales[[#This Row],[Date]]&amp;Sales[[#This Row],[Invoice no]])</f>
        <v/>
      </c>
      <c r="E4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5" s="19" t="str">
        <f>IF(_xlfn.XLOOKUP(Sales[[#This Row],[Product Name]],Inventory[Product Name],Inventory[Sale Price],"")=0,"",_xlfn.XLOOKUP(Sales[[#This Row],[Product Name]],Inventory[Product Name],Inventory[Sale Price]))</f>
        <v/>
      </c>
      <c r="I495" s="19" t="str">
        <f>IFERROR(G495*H495,"")</f>
        <v/>
      </c>
      <c r="J495" s="19"/>
    </row>
    <row r="496" spans="1:10" ht="21">
      <c r="A496" s="14">
        <v>491</v>
      </c>
      <c r="C496" s="16"/>
      <c r="D496" s="14" t="str">
        <f>IF(Sales[[#This Row],[Product ID]]="","",Sales[[#This Row],[Date]]&amp;Sales[[#This Row],[Invoice no]])</f>
        <v/>
      </c>
      <c r="E4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6" s="19" t="str">
        <f>IF(_xlfn.XLOOKUP(Sales[[#This Row],[Product Name]],Inventory[Product Name],Inventory[Sale Price],"")=0,"",_xlfn.XLOOKUP(Sales[[#This Row],[Product Name]],Inventory[Product Name],Inventory[Sale Price]))</f>
        <v/>
      </c>
      <c r="I496" s="19" t="str">
        <f>IFERROR(G496*H496,"")</f>
        <v/>
      </c>
      <c r="J496" s="19"/>
    </row>
    <row r="497" spans="1:10" ht="21">
      <c r="A497" s="14">
        <v>492</v>
      </c>
      <c r="C497" s="16"/>
      <c r="D497" s="14" t="str">
        <f>IF(Sales[[#This Row],[Product ID]]="","",Sales[[#This Row],[Date]]&amp;Sales[[#This Row],[Invoice no]])</f>
        <v/>
      </c>
      <c r="E4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7" s="19" t="str">
        <f>IF(_xlfn.XLOOKUP(Sales[[#This Row],[Product Name]],Inventory[Product Name],Inventory[Sale Price],"")=0,"",_xlfn.XLOOKUP(Sales[[#This Row],[Product Name]],Inventory[Product Name],Inventory[Sale Price]))</f>
        <v/>
      </c>
      <c r="I497" s="19" t="str">
        <f>IFERROR(G497*H497,"")</f>
        <v/>
      </c>
      <c r="J497" s="19"/>
    </row>
    <row r="498" spans="1:10" ht="21">
      <c r="A498" s="14">
        <v>493</v>
      </c>
      <c r="C498" s="16"/>
      <c r="D498" s="14" t="str">
        <f>IF(Sales[[#This Row],[Product ID]]="","",Sales[[#This Row],[Date]]&amp;Sales[[#This Row],[Invoice no]])</f>
        <v/>
      </c>
      <c r="E4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8" s="19" t="str">
        <f>IF(_xlfn.XLOOKUP(Sales[[#This Row],[Product Name]],Inventory[Product Name],Inventory[Sale Price],"")=0,"",_xlfn.XLOOKUP(Sales[[#This Row],[Product Name]],Inventory[Product Name],Inventory[Sale Price]))</f>
        <v/>
      </c>
      <c r="I498" s="19" t="str">
        <f>IFERROR(G498*H498,"")</f>
        <v/>
      </c>
      <c r="J498" s="19"/>
    </row>
    <row r="499" spans="1:10" ht="21">
      <c r="A499" s="14">
        <v>494</v>
      </c>
      <c r="C499" s="16"/>
      <c r="D499" s="14" t="str">
        <f>IF(Sales[[#This Row],[Product ID]]="","",Sales[[#This Row],[Date]]&amp;Sales[[#This Row],[Invoice no]])</f>
        <v/>
      </c>
      <c r="E4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499" s="19" t="str">
        <f>IF(_xlfn.XLOOKUP(Sales[[#This Row],[Product Name]],Inventory[Product Name],Inventory[Sale Price],"")=0,"",_xlfn.XLOOKUP(Sales[[#This Row],[Product Name]],Inventory[Product Name],Inventory[Sale Price]))</f>
        <v/>
      </c>
      <c r="I499" s="19" t="str">
        <f>IFERROR(G499*H499,"")</f>
        <v/>
      </c>
      <c r="J499" s="19"/>
    </row>
    <row r="500" spans="1:10" ht="21">
      <c r="A500" s="14">
        <v>495</v>
      </c>
      <c r="C500" s="16"/>
      <c r="D500" s="14" t="str">
        <f>IF(Sales[[#This Row],[Product ID]]="","",Sales[[#This Row],[Date]]&amp;Sales[[#This Row],[Invoice no]])</f>
        <v/>
      </c>
      <c r="E5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0" s="19" t="str">
        <f>IF(_xlfn.XLOOKUP(Sales[[#This Row],[Product Name]],Inventory[Product Name],Inventory[Sale Price],"")=0,"",_xlfn.XLOOKUP(Sales[[#This Row],[Product Name]],Inventory[Product Name],Inventory[Sale Price]))</f>
        <v/>
      </c>
      <c r="I500" s="19" t="str">
        <f>IFERROR(G500*H500,"")</f>
        <v/>
      </c>
      <c r="J500" s="19"/>
    </row>
    <row r="501" spans="1:10" ht="21">
      <c r="A501" s="14">
        <v>496</v>
      </c>
      <c r="C501" s="16"/>
      <c r="D501" s="14" t="str">
        <f>IF(Sales[[#This Row],[Product ID]]="","",Sales[[#This Row],[Date]]&amp;Sales[[#This Row],[Invoice no]])</f>
        <v/>
      </c>
      <c r="E5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1" s="19" t="str">
        <f>IF(_xlfn.XLOOKUP(Sales[[#This Row],[Product Name]],Inventory[Product Name],Inventory[Sale Price],"")=0,"",_xlfn.XLOOKUP(Sales[[#This Row],[Product Name]],Inventory[Product Name],Inventory[Sale Price]))</f>
        <v/>
      </c>
      <c r="I501" s="19" t="str">
        <f>IFERROR(G501*H501,"")</f>
        <v/>
      </c>
      <c r="J501" s="19"/>
    </row>
    <row r="502" spans="1:10" ht="21">
      <c r="A502" s="14">
        <v>497</v>
      </c>
      <c r="C502" s="16"/>
      <c r="D502" s="14" t="str">
        <f>IF(Sales[[#This Row],[Product ID]]="","",Sales[[#This Row],[Date]]&amp;Sales[[#This Row],[Invoice no]])</f>
        <v/>
      </c>
      <c r="E5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2" s="19" t="str">
        <f>IF(_xlfn.XLOOKUP(Sales[[#This Row],[Product Name]],Inventory[Product Name],Inventory[Sale Price],"")=0,"",_xlfn.XLOOKUP(Sales[[#This Row],[Product Name]],Inventory[Product Name],Inventory[Sale Price]))</f>
        <v/>
      </c>
      <c r="I502" s="19" t="str">
        <f>IFERROR(G502*H502,"")</f>
        <v/>
      </c>
      <c r="J502" s="19"/>
    </row>
    <row r="503" spans="1:10" ht="21">
      <c r="A503" s="14">
        <v>498</v>
      </c>
      <c r="C503" s="16"/>
      <c r="D503" s="14" t="str">
        <f>IF(Sales[[#This Row],[Product ID]]="","",Sales[[#This Row],[Date]]&amp;Sales[[#This Row],[Invoice no]])</f>
        <v/>
      </c>
      <c r="E5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3" s="19" t="str">
        <f>IF(_xlfn.XLOOKUP(Sales[[#This Row],[Product Name]],Inventory[Product Name],Inventory[Sale Price],"")=0,"",_xlfn.XLOOKUP(Sales[[#This Row],[Product Name]],Inventory[Product Name],Inventory[Sale Price]))</f>
        <v/>
      </c>
      <c r="I503" s="19" t="str">
        <f>IFERROR(G503*H503,"")</f>
        <v/>
      </c>
      <c r="J503" s="19"/>
    </row>
    <row r="504" spans="1:10" ht="21">
      <c r="A504" s="14">
        <v>499</v>
      </c>
      <c r="C504" s="16"/>
      <c r="D504" s="14" t="str">
        <f>IF(Sales[[#This Row],[Product ID]]="","",Sales[[#This Row],[Date]]&amp;Sales[[#This Row],[Invoice no]])</f>
        <v/>
      </c>
      <c r="E5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4" s="19" t="str">
        <f>IF(_xlfn.XLOOKUP(Sales[[#This Row],[Product Name]],Inventory[Product Name],Inventory[Sale Price],"")=0,"",_xlfn.XLOOKUP(Sales[[#This Row],[Product Name]],Inventory[Product Name],Inventory[Sale Price]))</f>
        <v/>
      </c>
      <c r="I504" s="19" t="str">
        <f>IFERROR(G504*H504,"")</f>
        <v/>
      </c>
      <c r="J504" s="19"/>
    </row>
    <row r="505" spans="1:10" ht="21">
      <c r="A505" s="14">
        <v>500</v>
      </c>
      <c r="C505" s="16"/>
      <c r="D505" s="14" t="str">
        <f>IF(Sales[[#This Row],[Product ID]]="","",Sales[[#This Row],[Date]]&amp;Sales[[#This Row],[Invoice no]])</f>
        <v/>
      </c>
      <c r="E5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5" s="19" t="str">
        <f>IF(_xlfn.XLOOKUP(Sales[[#This Row],[Product Name]],Inventory[Product Name],Inventory[Sale Price],"")=0,"",_xlfn.XLOOKUP(Sales[[#This Row],[Product Name]],Inventory[Product Name],Inventory[Sale Price]))</f>
        <v/>
      </c>
      <c r="I505" s="19" t="str">
        <f>IFERROR(G505*H505,"")</f>
        <v/>
      </c>
      <c r="J505" s="19"/>
    </row>
    <row r="506" spans="1:10" ht="21">
      <c r="A506" s="14">
        <v>501</v>
      </c>
      <c r="C506" s="16"/>
      <c r="D506" s="14" t="str">
        <f>IF(Sales[[#This Row],[Product ID]]="","",Sales[[#This Row],[Date]]&amp;Sales[[#This Row],[Invoice no]])</f>
        <v/>
      </c>
      <c r="E5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6" s="19" t="str">
        <f>IF(_xlfn.XLOOKUP(Sales[[#This Row],[Product Name]],Inventory[Product Name],Inventory[Sale Price],"")=0,"",_xlfn.XLOOKUP(Sales[[#This Row],[Product Name]],Inventory[Product Name],Inventory[Sale Price]))</f>
        <v/>
      </c>
      <c r="I506" s="19" t="str">
        <f>IFERROR(G506*H506,"")</f>
        <v/>
      </c>
      <c r="J506" s="19"/>
    </row>
    <row r="507" spans="1:10" ht="21">
      <c r="A507" s="14">
        <v>502</v>
      </c>
      <c r="C507" s="16"/>
      <c r="D507" s="14" t="str">
        <f>IF(Sales[[#This Row],[Product ID]]="","",Sales[[#This Row],[Date]]&amp;Sales[[#This Row],[Invoice no]])</f>
        <v/>
      </c>
      <c r="E5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7" s="19" t="str">
        <f>IF(_xlfn.XLOOKUP(Sales[[#This Row],[Product Name]],Inventory[Product Name],Inventory[Sale Price],"")=0,"",_xlfn.XLOOKUP(Sales[[#This Row],[Product Name]],Inventory[Product Name],Inventory[Sale Price]))</f>
        <v/>
      </c>
      <c r="I507" s="19" t="str">
        <f>IFERROR(G507*H507,"")</f>
        <v/>
      </c>
      <c r="J507" s="19"/>
    </row>
    <row r="508" spans="1:10" ht="21">
      <c r="A508" s="14">
        <v>503</v>
      </c>
      <c r="C508" s="16"/>
      <c r="D508" s="14" t="str">
        <f>IF(Sales[[#This Row],[Product ID]]="","",Sales[[#This Row],[Date]]&amp;Sales[[#This Row],[Invoice no]])</f>
        <v/>
      </c>
      <c r="E5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8" s="19" t="str">
        <f>IF(_xlfn.XLOOKUP(Sales[[#This Row],[Product Name]],Inventory[Product Name],Inventory[Sale Price],"")=0,"",_xlfn.XLOOKUP(Sales[[#This Row],[Product Name]],Inventory[Product Name],Inventory[Sale Price]))</f>
        <v/>
      </c>
      <c r="I508" s="19" t="str">
        <f>IFERROR(G508*H508,"")</f>
        <v/>
      </c>
      <c r="J508" s="19"/>
    </row>
    <row r="509" spans="1:10" ht="21">
      <c r="A509" s="14">
        <v>504</v>
      </c>
      <c r="C509" s="16"/>
      <c r="D509" s="14" t="str">
        <f>IF(Sales[[#This Row],[Product ID]]="","",Sales[[#This Row],[Date]]&amp;Sales[[#This Row],[Invoice no]])</f>
        <v/>
      </c>
      <c r="E5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09" s="19" t="str">
        <f>IF(_xlfn.XLOOKUP(Sales[[#This Row],[Product Name]],Inventory[Product Name],Inventory[Sale Price],"")=0,"",_xlfn.XLOOKUP(Sales[[#This Row],[Product Name]],Inventory[Product Name],Inventory[Sale Price]))</f>
        <v/>
      </c>
      <c r="I509" s="19" t="str">
        <f>IFERROR(G509*H509,"")</f>
        <v/>
      </c>
      <c r="J509" s="19"/>
    </row>
    <row r="510" spans="1:10" ht="21">
      <c r="A510" s="14">
        <v>505</v>
      </c>
      <c r="C510" s="16"/>
      <c r="D510" s="14" t="str">
        <f>IF(Sales[[#This Row],[Product ID]]="","",Sales[[#This Row],[Date]]&amp;Sales[[#This Row],[Invoice no]])</f>
        <v/>
      </c>
      <c r="E5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0" s="19" t="str">
        <f>IF(_xlfn.XLOOKUP(Sales[[#This Row],[Product Name]],Inventory[Product Name],Inventory[Sale Price],"")=0,"",_xlfn.XLOOKUP(Sales[[#This Row],[Product Name]],Inventory[Product Name],Inventory[Sale Price]))</f>
        <v/>
      </c>
      <c r="I510" s="19" t="str">
        <f>IFERROR(G510*H510,"")</f>
        <v/>
      </c>
      <c r="J510" s="19"/>
    </row>
    <row r="511" spans="1:10" ht="21">
      <c r="A511" s="14">
        <v>506</v>
      </c>
      <c r="C511" s="16"/>
      <c r="D511" s="14" t="str">
        <f>IF(Sales[[#This Row],[Product ID]]="","",Sales[[#This Row],[Date]]&amp;Sales[[#This Row],[Invoice no]])</f>
        <v/>
      </c>
      <c r="E5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1" s="19" t="str">
        <f>IF(_xlfn.XLOOKUP(Sales[[#This Row],[Product Name]],Inventory[Product Name],Inventory[Sale Price],"")=0,"",_xlfn.XLOOKUP(Sales[[#This Row],[Product Name]],Inventory[Product Name],Inventory[Sale Price]))</f>
        <v/>
      </c>
      <c r="I511" s="19" t="str">
        <f>IFERROR(G511*H511,"")</f>
        <v/>
      </c>
      <c r="J511" s="19"/>
    </row>
    <row r="512" spans="1:10" ht="21">
      <c r="A512" s="14">
        <v>507</v>
      </c>
      <c r="C512" s="16"/>
      <c r="D512" s="14" t="str">
        <f>IF(Sales[[#This Row],[Product ID]]="","",Sales[[#This Row],[Date]]&amp;Sales[[#This Row],[Invoice no]])</f>
        <v/>
      </c>
      <c r="E5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2" s="19" t="str">
        <f>IF(_xlfn.XLOOKUP(Sales[[#This Row],[Product Name]],Inventory[Product Name],Inventory[Sale Price],"")=0,"",_xlfn.XLOOKUP(Sales[[#This Row],[Product Name]],Inventory[Product Name],Inventory[Sale Price]))</f>
        <v/>
      </c>
      <c r="I512" s="19" t="str">
        <f>IFERROR(G512*H512,"")</f>
        <v/>
      </c>
      <c r="J512" s="19"/>
    </row>
    <row r="513" spans="1:10" ht="21">
      <c r="A513" s="14">
        <v>508</v>
      </c>
      <c r="C513" s="16"/>
      <c r="D513" s="14" t="str">
        <f>IF(Sales[[#This Row],[Product ID]]="","",Sales[[#This Row],[Date]]&amp;Sales[[#This Row],[Invoice no]])</f>
        <v/>
      </c>
      <c r="E5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3" s="19" t="str">
        <f>IF(_xlfn.XLOOKUP(Sales[[#This Row],[Product Name]],Inventory[Product Name],Inventory[Sale Price],"")=0,"",_xlfn.XLOOKUP(Sales[[#This Row],[Product Name]],Inventory[Product Name],Inventory[Sale Price]))</f>
        <v/>
      </c>
      <c r="I513" s="19" t="str">
        <f>IFERROR(G513*H513,"")</f>
        <v/>
      </c>
      <c r="J513" s="19"/>
    </row>
    <row r="514" spans="1:10" ht="21">
      <c r="A514" s="14">
        <v>509</v>
      </c>
      <c r="C514" s="16"/>
      <c r="D514" s="14" t="str">
        <f>IF(Sales[[#This Row],[Product ID]]="","",Sales[[#This Row],[Date]]&amp;Sales[[#This Row],[Invoice no]])</f>
        <v/>
      </c>
      <c r="E5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4" s="19" t="str">
        <f>IF(_xlfn.XLOOKUP(Sales[[#This Row],[Product Name]],Inventory[Product Name],Inventory[Sale Price],"")=0,"",_xlfn.XLOOKUP(Sales[[#This Row],[Product Name]],Inventory[Product Name],Inventory[Sale Price]))</f>
        <v/>
      </c>
      <c r="I514" s="19" t="str">
        <f>IFERROR(G514*H514,"")</f>
        <v/>
      </c>
      <c r="J514" s="19"/>
    </row>
    <row r="515" spans="1:10" ht="21">
      <c r="A515" s="14">
        <v>510</v>
      </c>
      <c r="C515" s="16"/>
      <c r="D515" s="14" t="str">
        <f>IF(Sales[[#This Row],[Product ID]]="","",Sales[[#This Row],[Date]]&amp;Sales[[#This Row],[Invoice no]])</f>
        <v/>
      </c>
      <c r="E5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5" s="19" t="str">
        <f>IF(_xlfn.XLOOKUP(Sales[[#This Row],[Product Name]],Inventory[Product Name],Inventory[Sale Price],"")=0,"",_xlfn.XLOOKUP(Sales[[#This Row],[Product Name]],Inventory[Product Name],Inventory[Sale Price]))</f>
        <v/>
      </c>
      <c r="I515" s="19" t="str">
        <f>IFERROR(G515*H515,"")</f>
        <v/>
      </c>
      <c r="J515" s="19"/>
    </row>
    <row r="516" spans="1:10" ht="21">
      <c r="A516" s="14">
        <v>511</v>
      </c>
      <c r="C516" s="16"/>
      <c r="D516" s="14" t="str">
        <f>IF(Sales[[#This Row],[Product ID]]="","",Sales[[#This Row],[Date]]&amp;Sales[[#This Row],[Invoice no]])</f>
        <v/>
      </c>
      <c r="E5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6" s="19" t="str">
        <f>IF(_xlfn.XLOOKUP(Sales[[#This Row],[Product Name]],Inventory[Product Name],Inventory[Sale Price],"")=0,"",_xlfn.XLOOKUP(Sales[[#This Row],[Product Name]],Inventory[Product Name],Inventory[Sale Price]))</f>
        <v/>
      </c>
      <c r="I516" s="19" t="str">
        <f>IFERROR(G516*H516,"")</f>
        <v/>
      </c>
      <c r="J516" s="19"/>
    </row>
    <row r="517" spans="1:10" ht="21">
      <c r="A517" s="14">
        <v>512</v>
      </c>
      <c r="C517" s="16"/>
      <c r="D517" s="14" t="str">
        <f>IF(Sales[[#This Row],[Product ID]]="","",Sales[[#This Row],[Date]]&amp;Sales[[#This Row],[Invoice no]])</f>
        <v/>
      </c>
      <c r="E5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7" s="19" t="str">
        <f>IF(_xlfn.XLOOKUP(Sales[[#This Row],[Product Name]],Inventory[Product Name],Inventory[Sale Price],"")=0,"",_xlfn.XLOOKUP(Sales[[#This Row],[Product Name]],Inventory[Product Name],Inventory[Sale Price]))</f>
        <v/>
      </c>
      <c r="I517" s="19" t="str">
        <f>IFERROR(G517*H517,"")</f>
        <v/>
      </c>
      <c r="J517" s="19"/>
    </row>
    <row r="518" spans="1:10" ht="21">
      <c r="A518" s="14">
        <v>513</v>
      </c>
      <c r="C518" s="16"/>
      <c r="D518" s="14" t="str">
        <f>IF(Sales[[#This Row],[Product ID]]="","",Sales[[#This Row],[Date]]&amp;Sales[[#This Row],[Invoice no]])</f>
        <v/>
      </c>
      <c r="E5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8" s="19" t="str">
        <f>IF(_xlfn.XLOOKUP(Sales[[#This Row],[Product Name]],Inventory[Product Name],Inventory[Sale Price],"")=0,"",_xlfn.XLOOKUP(Sales[[#This Row],[Product Name]],Inventory[Product Name],Inventory[Sale Price]))</f>
        <v/>
      </c>
      <c r="I518" s="19" t="str">
        <f>IFERROR(G518*H518,"")</f>
        <v/>
      </c>
      <c r="J518" s="19"/>
    </row>
    <row r="519" spans="1:10" ht="21">
      <c r="A519" s="14">
        <v>514</v>
      </c>
      <c r="C519" s="16"/>
      <c r="D519" s="14" t="str">
        <f>IF(Sales[[#This Row],[Product ID]]="","",Sales[[#This Row],[Date]]&amp;Sales[[#This Row],[Invoice no]])</f>
        <v/>
      </c>
      <c r="E5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19" s="19" t="str">
        <f>IF(_xlfn.XLOOKUP(Sales[[#This Row],[Product Name]],Inventory[Product Name],Inventory[Sale Price],"")=0,"",_xlfn.XLOOKUP(Sales[[#This Row],[Product Name]],Inventory[Product Name],Inventory[Sale Price]))</f>
        <v/>
      </c>
      <c r="I519" s="19" t="str">
        <f>IFERROR(G519*H519,"")</f>
        <v/>
      </c>
      <c r="J519" s="19"/>
    </row>
    <row r="520" spans="1:10" ht="21">
      <c r="A520" s="14">
        <v>515</v>
      </c>
      <c r="C520" s="16"/>
      <c r="D520" s="14" t="str">
        <f>IF(Sales[[#This Row],[Product ID]]="","",Sales[[#This Row],[Date]]&amp;Sales[[#This Row],[Invoice no]])</f>
        <v/>
      </c>
      <c r="E5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0" s="19" t="str">
        <f>IF(_xlfn.XLOOKUP(Sales[[#This Row],[Product Name]],Inventory[Product Name],Inventory[Sale Price],"")=0,"",_xlfn.XLOOKUP(Sales[[#This Row],[Product Name]],Inventory[Product Name],Inventory[Sale Price]))</f>
        <v/>
      </c>
      <c r="I520" s="19" t="str">
        <f>IFERROR(G520*H520,"")</f>
        <v/>
      </c>
      <c r="J520" s="19"/>
    </row>
    <row r="521" spans="1:10" ht="21">
      <c r="A521" s="14">
        <v>516</v>
      </c>
      <c r="C521" s="16"/>
      <c r="D521" s="14" t="str">
        <f>IF(Sales[[#This Row],[Product ID]]="","",Sales[[#This Row],[Date]]&amp;Sales[[#This Row],[Invoice no]])</f>
        <v/>
      </c>
      <c r="E5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1" s="19" t="str">
        <f>IF(_xlfn.XLOOKUP(Sales[[#This Row],[Product Name]],Inventory[Product Name],Inventory[Sale Price],"")=0,"",_xlfn.XLOOKUP(Sales[[#This Row],[Product Name]],Inventory[Product Name],Inventory[Sale Price]))</f>
        <v/>
      </c>
      <c r="I521" s="19" t="str">
        <f>IFERROR(G521*H521,"")</f>
        <v/>
      </c>
      <c r="J521" s="19"/>
    </row>
    <row r="522" spans="1:10" ht="21">
      <c r="A522" s="14">
        <v>517</v>
      </c>
      <c r="C522" s="16"/>
      <c r="D522" s="14" t="str">
        <f>IF(Sales[[#This Row],[Product ID]]="","",Sales[[#This Row],[Date]]&amp;Sales[[#This Row],[Invoice no]])</f>
        <v/>
      </c>
      <c r="E5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2" s="19" t="str">
        <f>IF(_xlfn.XLOOKUP(Sales[[#This Row],[Product Name]],Inventory[Product Name],Inventory[Sale Price],"")=0,"",_xlfn.XLOOKUP(Sales[[#This Row],[Product Name]],Inventory[Product Name],Inventory[Sale Price]))</f>
        <v/>
      </c>
      <c r="I522" s="19" t="str">
        <f>IFERROR(G522*H522,"")</f>
        <v/>
      </c>
      <c r="J522" s="19"/>
    </row>
    <row r="523" spans="1:10" ht="21">
      <c r="A523" s="14">
        <v>518</v>
      </c>
      <c r="C523" s="16"/>
      <c r="D523" s="14" t="str">
        <f>IF(Sales[[#This Row],[Product ID]]="","",Sales[[#This Row],[Date]]&amp;Sales[[#This Row],[Invoice no]])</f>
        <v/>
      </c>
      <c r="E5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3" s="19" t="str">
        <f>IF(_xlfn.XLOOKUP(Sales[[#This Row],[Product Name]],Inventory[Product Name],Inventory[Sale Price],"")=0,"",_xlfn.XLOOKUP(Sales[[#This Row],[Product Name]],Inventory[Product Name],Inventory[Sale Price]))</f>
        <v/>
      </c>
      <c r="I523" s="19" t="str">
        <f>IFERROR(G523*H523,"")</f>
        <v/>
      </c>
      <c r="J523" s="19"/>
    </row>
    <row r="524" spans="1:10" ht="21">
      <c r="A524" s="14">
        <v>519</v>
      </c>
      <c r="C524" s="16"/>
      <c r="D524" s="14" t="str">
        <f>IF(Sales[[#This Row],[Product ID]]="","",Sales[[#This Row],[Date]]&amp;Sales[[#This Row],[Invoice no]])</f>
        <v/>
      </c>
      <c r="E5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4" s="19" t="str">
        <f>IF(_xlfn.XLOOKUP(Sales[[#This Row],[Product Name]],Inventory[Product Name],Inventory[Sale Price],"")=0,"",_xlfn.XLOOKUP(Sales[[#This Row],[Product Name]],Inventory[Product Name],Inventory[Sale Price]))</f>
        <v/>
      </c>
      <c r="I524" s="19" t="str">
        <f>IFERROR(G524*H524,"")</f>
        <v/>
      </c>
      <c r="J524" s="19"/>
    </row>
    <row r="525" spans="1:10" ht="21">
      <c r="A525" s="14">
        <v>520</v>
      </c>
      <c r="C525" s="16"/>
      <c r="D525" s="14" t="str">
        <f>IF(Sales[[#This Row],[Product ID]]="","",Sales[[#This Row],[Date]]&amp;Sales[[#This Row],[Invoice no]])</f>
        <v/>
      </c>
      <c r="E5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5" s="19" t="str">
        <f>IF(_xlfn.XLOOKUP(Sales[[#This Row],[Product Name]],Inventory[Product Name],Inventory[Sale Price],"")=0,"",_xlfn.XLOOKUP(Sales[[#This Row],[Product Name]],Inventory[Product Name],Inventory[Sale Price]))</f>
        <v/>
      </c>
      <c r="I525" s="19" t="str">
        <f>IFERROR(G525*H525,"")</f>
        <v/>
      </c>
      <c r="J525" s="19"/>
    </row>
    <row r="526" spans="1:10" ht="21">
      <c r="A526" s="14">
        <v>521</v>
      </c>
      <c r="C526" s="16"/>
      <c r="D526" s="14" t="str">
        <f>IF(Sales[[#This Row],[Product ID]]="","",Sales[[#This Row],[Date]]&amp;Sales[[#This Row],[Invoice no]])</f>
        <v/>
      </c>
      <c r="E5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6" s="19" t="str">
        <f>IF(_xlfn.XLOOKUP(Sales[[#This Row],[Product Name]],Inventory[Product Name],Inventory[Sale Price],"")=0,"",_xlfn.XLOOKUP(Sales[[#This Row],[Product Name]],Inventory[Product Name],Inventory[Sale Price]))</f>
        <v/>
      </c>
      <c r="I526" s="19" t="str">
        <f>IFERROR(G526*H526,"")</f>
        <v/>
      </c>
      <c r="J526" s="19"/>
    </row>
    <row r="527" spans="1:10" ht="21">
      <c r="A527" s="14">
        <v>522</v>
      </c>
      <c r="C527" s="16"/>
      <c r="D527" s="14" t="str">
        <f>IF(Sales[[#This Row],[Product ID]]="","",Sales[[#This Row],[Date]]&amp;Sales[[#This Row],[Invoice no]])</f>
        <v/>
      </c>
      <c r="E5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7" s="19" t="str">
        <f>IF(_xlfn.XLOOKUP(Sales[[#This Row],[Product Name]],Inventory[Product Name],Inventory[Sale Price],"")=0,"",_xlfn.XLOOKUP(Sales[[#This Row],[Product Name]],Inventory[Product Name],Inventory[Sale Price]))</f>
        <v/>
      </c>
      <c r="I527" s="19" t="str">
        <f>IFERROR(G527*H527,"")</f>
        <v/>
      </c>
      <c r="J527" s="19"/>
    </row>
    <row r="528" spans="1:10" ht="21">
      <c r="A528" s="14">
        <v>523</v>
      </c>
      <c r="C528" s="16"/>
      <c r="D528" s="14" t="str">
        <f>IF(Sales[[#This Row],[Product ID]]="","",Sales[[#This Row],[Date]]&amp;Sales[[#This Row],[Invoice no]])</f>
        <v/>
      </c>
      <c r="E5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8" s="19" t="str">
        <f>IF(_xlfn.XLOOKUP(Sales[[#This Row],[Product Name]],Inventory[Product Name],Inventory[Sale Price],"")=0,"",_xlfn.XLOOKUP(Sales[[#This Row],[Product Name]],Inventory[Product Name],Inventory[Sale Price]))</f>
        <v/>
      </c>
      <c r="I528" s="19" t="str">
        <f>IFERROR(G528*H528,"")</f>
        <v/>
      </c>
      <c r="J528" s="19"/>
    </row>
    <row r="529" spans="1:10" ht="21">
      <c r="A529" s="14">
        <v>524</v>
      </c>
      <c r="C529" s="16"/>
      <c r="D529" s="14" t="str">
        <f>IF(Sales[[#This Row],[Product ID]]="","",Sales[[#This Row],[Date]]&amp;Sales[[#This Row],[Invoice no]])</f>
        <v/>
      </c>
      <c r="E5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29" s="19" t="str">
        <f>IF(_xlfn.XLOOKUP(Sales[[#This Row],[Product Name]],Inventory[Product Name],Inventory[Sale Price],"")=0,"",_xlfn.XLOOKUP(Sales[[#This Row],[Product Name]],Inventory[Product Name],Inventory[Sale Price]))</f>
        <v/>
      </c>
      <c r="I529" s="19" t="str">
        <f>IFERROR(G529*H529,"")</f>
        <v/>
      </c>
      <c r="J529" s="19"/>
    </row>
    <row r="530" spans="1:10" ht="21">
      <c r="A530" s="14">
        <v>525</v>
      </c>
      <c r="C530" s="16"/>
      <c r="D530" s="14" t="str">
        <f>IF(Sales[[#This Row],[Product ID]]="","",Sales[[#This Row],[Date]]&amp;Sales[[#This Row],[Invoice no]])</f>
        <v/>
      </c>
      <c r="E5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0" s="19" t="str">
        <f>IF(_xlfn.XLOOKUP(Sales[[#This Row],[Product Name]],Inventory[Product Name],Inventory[Sale Price],"")=0,"",_xlfn.XLOOKUP(Sales[[#This Row],[Product Name]],Inventory[Product Name],Inventory[Sale Price]))</f>
        <v/>
      </c>
      <c r="I530" s="19" t="str">
        <f>IFERROR(G530*H530,"")</f>
        <v/>
      </c>
      <c r="J530" s="19"/>
    </row>
    <row r="531" spans="1:10" ht="21">
      <c r="A531" s="14">
        <v>526</v>
      </c>
      <c r="C531" s="16"/>
      <c r="D531" s="14" t="str">
        <f>IF(Sales[[#This Row],[Product ID]]="","",Sales[[#This Row],[Date]]&amp;Sales[[#This Row],[Invoice no]])</f>
        <v/>
      </c>
      <c r="E5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1" s="19" t="str">
        <f>IF(_xlfn.XLOOKUP(Sales[[#This Row],[Product Name]],Inventory[Product Name],Inventory[Sale Price],"")=0,"",_xlfn.XLOOKUP(Sales[[#This Row],[Product Name]],Inventory[Product Name],Inventory[Sale Price]))</f>
        <v/>
      </c>
      <c r="I531" s="19" t="str">
        <f>IFERROR(G531*H531,"")</f>
        <v/>
      </c>
      <c r="J531" s="19"/>
    </row>
    <row r="532" spans="1:10" ht="21">
      <c r="A532" s="14">
        <v>527</v>
      </c>
      <c r="C532" s="16"/>
      <c r="D532" s="14" t="str">
        <f>IF(Sales[[#This Row],[Product ID]]="","",Sales[[#This Row],[Date]]&amp;Sales[[#This Row],[Invoice no]])</f>
        <v/>
      </c>
      <c r="E5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2" s="19" t="str">
        <f>IF(_xlfn.XLOOKUP(Sales[[#This Row],[Product Name]],Inventory[Product Name],Inventory[Sale Price],"")=0,"",_xlfn.XLOOKUP(Sales[[#This Row],[Product Name]],Inventory[Product Name],Inventory[Sale Price]))</f>
        <v/>
      </c>
      <c r="I532" s="19" t="str">
        <f>IFERROR(G532*H532,"")</f>
        <v/>
      </c>
      <c r="J532" s="19"/>
    </row>
    <row r="533" spans="1:10" ht="21">
      <c r="A533" s="14">
        <v>528</v>
      </c>
      <c r="C533" s="16"/>
      <c r="D533" s="14" t="str">
        <f>IF(Sales[[#This Row],[Product ID]]="","",Sales[[#This Row],[Date]]&amp;Sales[[#This Row],[Invoice no]])</f>
        <v/>
      </c>
      <c r="E5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3" s="19" t="str">
        <f>IF(_xlfn.XLOOKUP(Sales[[#This Row],[Product Name]],Inventory[Product Name],Inventory[Sale Price],"")=0,"",_xlfn.XLOOKUP(Sales[[#This Row],[Product Name]],Inventory[Product Name],Inventory[Sale Price]))</f>
        <v/>
      </c>
      <c r="I533" s="19" t="str">
        <f>IFERROR(G533*H533,"")</f>
        <v/>
      </c>
      <c r="J533" s="19"/>
    </row>
    <row r="534" spans="1:10" ht="21">
      <c r="A534" s="14">
        <v>529</v>
      </c>
      <c r="C534" s="16"/>
      <c r="D534" s="14" t="str">
        <f>IF(Sales[[#This Row],[Product ID]]="","",Sales[[#This Row],[Date]]&amp;Sales[[#This Row],[Invoice no]])</f>
        <v/>
      </c>
      <c r="E5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4" s="19" t="str">
        <f>IF(_xlfn.XLOOKUP(Sales[[#This Row],[Product Name]],Inventory[Product Name],Inventory[Sale Price],"")=0,"",_xlfn.XLOOKUP(Sales[[#This Row],[Product Name]],Inventory[Product Name],Inventory[Sale Price]))</f>
        <v/>
      </c>
      <c r="I534" s="19" t="str">
        <f>IFERROR(G534*H534,"")</f>
        <v/>
      </c>
      <c r="J534" s="19"/>
    </row>
    <row r="535" spans="1:10" ht="21">
      <c r="A535" s="14">
        <v>530</v>
      </c>
      <c r="C535" s="16"/>
      <c r="D535" s="14" t="str">
        <f>IF(Sales[[#This Row],[Product ID]]="","",Sales[[#This Row],[Date]]&amp;Sales[[#This Row],[Invoice no]])</f>
        <v/>
      </c>
      <c r="E5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5" s="19" t="str">
        <f>IF(_xlfn.XLOOKUP(Sales[[#This Row],[Product Name]],Inventory[Product Name],Inventory[Sale Price],"")=0,"",_xlfn.XLOOKUP(Sales[[#This Row],[Product Name]],Inventory[Product Name],Inventory[Sale Price]))</f>
        <v/>
      </c>
      <c r="I535" s="19" t="str">
        <f>IFERROR(G535*H535,"")</f>
        <v/>
      </c>
      <c r="J535" s="19"/>
    </row>
    <row r="536" spans="1:10" ht="21">
      <c r="A536" s="14">
        <v>531</v>
      </c>
      <c r="C536" s="16"/>
      <c r="D536" s="14" t="str">
        <f>IF(Sales[[#This Row],[Product ID]]="","",Sales[[#This Row],[Date]]&amp;Sales[[#This Row],[Invoice no]])</f>
        <v/>
      </c>
      <c r="E5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6" s="19" t="str">
        <f>IF(_xlfn.XLOOKUP(Sales[[#This Row],[Product Name]],Inventory[Product Name],Inventory[Sale Price],"")=0,"",_xlfn.XLOOKUP(Sales[[#This Row],[Product Name]],Inventory[Product Name],Inventory[Sale Price]))</f>
        <v/>
      </c>
      <c r="I536" s="19" t="str">
        <f>IFERROR(G536*H536,"")</f>
        <v/>
      </c>
      <c r="J536" s="19"/>
    </row>
    <row r="537" spans="1:10" ht="21">
      <c r="A537" s="14">
        <v>532</v>
      </c>
      <c r="C537" s="16"/>
      <c r="D537" s="14" t="str">
        <f>IF(Sales[[#This Row],[Product ID]]="","",Sales[[#This Row],[Date]]&amp;Sales[[#This Row],[Invoice no]])</f>
        <v/>
      </c>
      <c r="E5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7" s="19" t="str">
        <f>IF(_xlfn.XLOOKUP(Sales[[#This Row],[Product Name]],Inventory[Product Name],Inventory[Sale Price],"")=0,"",_xlfn.XLOOKUP(Sales[[#This Row],[Product Name]],Inventory[Product Name],Inventory[Sale Price]))</f>
        <v/>
      </c>
      <c r="I537" s="19" t="str">
        <f>IFERROR(G537*H537,"")</f>
        <v/>
      </c>
      <c r="J537" s="19"/>
    </row>
    <row r="538" spans="1:10" ht="21">
      <c r="A538" s="14">
        <v>533</v>
      </c>
      <c r="C538" s="16"/>
      <c r="D538" s="14" t="str">
        <f>IF(Sales[[#This Row],[Product ID]]="","",Sales[[#This Row],[Date]]&amp;Sales[[#This Row],[Invoice no]])</f>
        <v/>
      </c>
      <c r="E5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8" s="19" t="str">
        <f>IF(_xlfn.XLOOKUP(Sales[[#This Row],[Product Name]],Inventory[Product Name],Inventory[Sale Price],"")=0,"",_xlfn.XLOOKUP(Sales[[#This Row],[Product Name]],Inventory[Product Name],Inventory[Sale Price]))</f>
        <v/>
      </c>
      <c r="I538" s="19" t="str">
        <f>IFERROR(G538*H538,"")</f>
        <v/>
      </c>
      <c r="J538" s="19"/>
    </row>
    <row r="539" spans="1:10" ht="21">
      <c r="A539" s="14">
        <v>534</v>
      </c>
      <c r="C539" s="16"/>
      <c r="D539" s="14" t="str">
        <f>IF(Sales[[#This Row],[Product ID]]="","",Sales[[#This Row],[Date]]&amp;Sales[[#This Row],[Invoice no]])</f>
        <v/>
      </c>
      <c r="E5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39" s="19" t="str">
        <f>IF(_xlfn.XLOOKUP(Sales[[#This Row],[Product Name]],Inventory[Product Name],Inventory[Sale Price],"")=0,"",_xlfn.XLOOKUP(Sales[[#This Row],[Product Name]],Inventory[Product Name],Inventory[Sale Price]))</f>
        <v/>
      </c>
      <c r="I539" s="19" t="str">
        <f>IFERROR(G539*H539,"")</f>
        <v/>
      </c>
      <c r="J539" s="19"/>
    </row>
    <row r="540" spans="1:10" ht="21">
      <c r="A540" s="14">
        <v>535</v>
      </c>
      <c r="C540" s="16"/>
      <c r="D540" s="14" t="str">
        <f>IF(Sales[[#This Row],[Product ID]]="","",Sales[[#This Row],[Date]]&amp;Sales[[#This Row],[Invoice no]])</f>
        <v/>
      </c>
      <c r="E5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0" s="19" t="str">
        <f>IF(_xlfn.XLOOKUP(Sales[[#This Row],[Product Name]],Inventory[Product Name],Inventory[Sale Price],"")=0,"",_xlfn.XLOOKUP(Sales[[#This Row],[Product Name]],Inventory[Product Name],Inventory[Sale Price]))</f>
        <v/>
      </c>
      <c r="I540" s="19" t="str">
        <f>IFERROR(G540*H540,"")</f>
        <v/>
      </c>
      <c r="J540" s="19"/>
    </row>
    <row r="541" spans="1:10" ht="21">
      <c r="A541" s="14">
        <v>536</v>
      </c>
      <c r="C541" s="16"/>
      <c r="D541" s="14" t="str">
        <f>IF(Sales[[#This Row],[Product ID]]="","",Sales[[#This Row],[Date]]&amp;Sales[[#This Row],[Invoice no]])</f>
        <v/>
      </c>
      <c r="E5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1" s="19" t="str">
        <f>IF(_xlfn.XLOOKUP(Sales[[#This Row],[Product Name]],Inventory[Product Name],Inventory[Sale Price],"")=0,"",_xlfn.XLOOKUP(Sales[[#This Row],[Product Name]],Inventory[Product Name],Inventory[Sale Price]))</f>
        <v/>
      </c>
      <c r="I541" s="19" t="str">
        <f>IFERROR(G541*H541,"")</f>
        <v/>
      </c>
      <c r="J541" s="19"/>
    </row>
    <row r="542" spans="1:10" ht="21">
      <c r="A542" s="14">
        <v>537</v>
      </c>
      <c r="C542" s="16"/>
      <c r="D542" s="14" t="str">
        <f>IF(Sales[[#This Row],[Product ID]]="","",Sales[[#This Row],[Date]]&amp;Sales[[#This Row],[Invoice no]])</f>
        <v/>
      </c>
      <c r="E5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2" s="19" t="str">
        <f>IF(_xlfn.XLOOKUP(Sales[[#This Row],[Product Name]],Inventory[Product Name],Inventory[Sale Price],"")=0,"",_xlfn.XLOOKUP(Sales[[#This Row],[Product Name]],Inventory[Product Name],Inventory[Sale Price]))</f>
        <v/>
      </c>
      <c r="I542" s="19" t="str">
        <f>IFERROR(G542*H542,"")</f>
        <v/>
      </c>
      <c r="J542" s="19"/>
    </row>
    <row r="543" spans="1:10" ht="21">
      <c r="A543" s="14">
        <v>538</v>
      </c>
      <c r="C543" s="16"/>
      <c r="D543" s="14" t="str">
        <f>IF(Sales[[#This Row],[Product ID]]="","",Sales[[#This Row],[Date]]&amp;Sales[[#This Row],[Invoice no]])</f>
        <v/>
      </c>
      <c r="E5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3" s="19" t="str">
        <f>IF(_xlfn.XLOOKUP(Sales[[#This Row],[Product Name]],Inventory[Product Name],Inventory[Sale Price],"")=0,"",_xlfn.XLOOKUP(Sales[[#This Row],[Product Name]],Inventory[Product Name],Inventory[Sale Price]))</f>
        <v/>
      </c>
      <c r="I543" s="19" t="str">
        <f>IFERROR(G543*H543,"")</f>
        <v/>
      </c>
      <c r="J543" s="19"/>
    </row>
    <row r="544" spans="1:10" ht="21">
      <c r="A544" s="14">
        <v>539</v>
      </c>
      <c r="C544" s="16"/>
      <c r="D544" s="14" t="str">
        <f>IF(Sales[[#This Row],[Product ID]]="","",Sales[[#This Row],[Date]]&amp;Sales[[#This Row],[Invoice no]])</f>
        <v/>
      </c>
      <c r="E5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4" s="19" t="str">
        <f>IF(_xlfn.XLOOKUP(Sales[[#This Row],[Product Name]],Inventory[Product Name],Inventory[Sale Price],"")=0,"",_xlfn.XLOOKUP(Sales[[#This Row],[Product Name]],Inventory[Product Name],Inventory[Sale Price]))</f>
        <v/>
      </c>
      <c r="I544" s="19" t="str">
        <f>IFERROR(G544*H544,"")</f>
        <v/>
      </c>
      <c r="J544" s="19"/>
    </row>
    <row r="545" spans="1:10" ht="21">
      <c r="A545" s="14">
        <v>540</v>
      </c>
      <c r="C545" s="16"/>
      <c r="D545" s="14" t="str">
        <f>IF(Sales[[#This Row],[Product ID]]="","",Sales[[#This Row],[Date]]&amp;Sales[[#This Row],[Invoice no]])</f>
        <v/>
      </c>
      <c r="E5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5" s="19" t="str">
        <f>IF(_xlfn.XLOOKUP(Sales[[#This Row],[Product Name]],Inventory[Product Name],Inventory[Sale Price],"")=0,"",_xlfn.XLOOKUP(Sales[[#This Row],[Product Name]],Inventory[Product Name],Inventory[Sale Price]))</f>
        <v/>
      </c>
      <c r="I545" s="19" t="str">
        <f>IFERROR(G545*H545,"")</f>
        <v/>
      </c>
      <c r="J545" s="19"/>
    </row>
    <row r="546" spans="1:10" ht="21">
      <c r="A546" s="14">
        <v>541</v>
      </c>
      <c r="C546" s="16"/>
      <c r="D546" s="14" t="str">
        <f>IF(Sales[[#This Row],[Product ID]]="","",Sales[[#This Row],[Date]]&amp;Sales[[#This Row],[Invoice no]])</f>
        <v/>
      </c>
      <c r="E5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6" s="19" t="str">
        <f>IF(_xlfn.XLOOKUP(Sales[[#This Row],[Product Name]],Inventory[Product Name],Inventory[Sale Price],"")=0,"",_xlfn.XLOOKUP(Sales[[#This Row],[Product Name]],Inventory[Product Name],Inventory[Sale Price]))</f>
        <v/>
      </c>
      <c r="I546" s="19" t="str">
        <f>IFERROR(G546*H546,"")</f>
        <v/>
      </c>
      <c r="J546" s="19"/>
    </row>
    <row r="547" spans="1:10" ht="21">
      <c r="A547" s="14">
        <v>542</v>
      </c>
      <c r="C547" s="16"/>
      <c r="D547" s="14" t="str">
        <f>IF(Sales[[#This Row],[Product ID]]="","",Sales[[#This Row],[Date]]&amp;Sales[[#This Row],[Invoice no]])</f>
        <v/>
      </c>
      <c r="E5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7" s="19" t="str">
        <f>IF(_xlfn.XLOOKUP(Sales[[#This Row],[Product Name]],Inventory[Product Name],Inventory[Sale Price],"")=0,"",_xlfn.XLOOKUP(Sales[[#This Row],[Product Name]],Inventory[Product Name],Inventory[Sale Price]))</f>
        <v/>
      </c>
      <c r="I547" s="19" t="str">
        <f>IFERROR(G547*H547,"")</f>
        <v/>
      </c>
      <c r="J547" s="19"/>
    </row>
    <row r="548" spans="1:10" ht="21">
      <c r="A548" s="14">
        <v>543</v>
      </c>
      <c r="C548" s="16"/>
      <c r="D548" s="14" t="str">
        <f>IF(Sales[[#This Row],[Product ID]]="","",Sales[[#This Row],[Date]]&amp;Sales[[#This Row],[Invoice no]])</f>
        <v/>
      </c>
      <c r="E5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8" s="19" t="str">
        <f>IF(_xlfn.XLOOKUP(Sales[[#This Row],[Product Name]],Inventory[Product Name],Inventory[Sale Price],"")=0,"",_xlfn.XLOOKUP(Sales[[#This Row],[Product Name]],Inventory[Product Name],Inventory[Sale Price]))</f>
        <v/>
      </c>
      <c r="I548" s="19" t="str">
        <f>IFERROR(G548*H548,"")</f>
        <v/>
      </c>
      <c r="J548" s="19"/>
    </row>
    <row r="549" spans="1:10" ht="21">
      <c r="A549" s="14">
        <v>544</v>
      </c>
      <c r="C549" s="16"/>
      <c r="D549" s="14" t="str">
        <f>IF(Sales[[#This Row],[Product ID]]="","",Sales[[#This Row],[Date]]&amp;Sales[[#This Row],[Invoice no]])</f>
        <v/>
      </c>
      <c r="E5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49" s="19" t="str">
        <f>IF(_xlfn.XLOOKUP(Sales[[#This Row],[Product Name]],Inventory[Product Name],Inventory[Sale Price],"")=0,"",_xlfn.XLOOKUP(Sales[[#This Row],[Product Name]],Inventory[Product Name],Inventory[Sale Price]))</f>
        <v/>
      </c>
      <c r="I549" s="19" t="str">
        <f>IFERROR(G549*H549,"")</f>
        <v/>
      </c>
      <c r="J549" s="19"/>
    </row>
    <row r="550" spans="1:10" ht="21">
      <c r="A550" s="14">
        <v>545</v>
      </c>
      <c r="C550" s="16"/>
      <c r="D550" s="14" t="str">
        <f>IF(Sales[[#This Row],[Product ID]]="","",Sales[[#This Row],[Date]]&amp;Sales[[#This Row],[Invoice no]])</f>
        <v/>
      </c>
      <c r="E5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0" s="19" t="str">
        <f>IF(_xlfn.XLOOKUP(Sales[[#This Row],[Product Name]],Inventory[Product Name],Inventory[Sale Price],"")=0,"",_xlfn.XLOOKUP(Sales[[#This Row],[Product Name]],Inventory[Product Name],Inventory[Sale Price]))</f>
        <v/>
      </c>
      <c r="I550" s="19" t="str">
        <f>IFERROR(G550*H550,"")</f>
        <v/>
      </c>
      <c r="J550" s="19"/>
    </row>
    <row r="551" spans="1:10" ht="21">
      <c r="A551" s="14">
        <v>546</v>
      </c>
      <c r="C551" s="16"/>
      <c r="D551" s="14" t="str">
        <f>IF(Sales[[#This Row],[Product ID]]="","",Sales[[#This Row],[Date]]&amp;Sales[[#This Row],[Invoice no]])</f>
        <v/>
      </c>
      <c r="E5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1" s="19" t="str">
        <f>IF(_xlfn.XLOOKUP(Sales[[#This Row],[Product Name]],Inventory[Product Name],Inventory[Sale Price],"")=0,"",_xlfn.XLOOKUP(Sales[[#This Row],[Product Name]],Inventory[Product Name],Inventory[Sale Price]))</f>
        <v/>
      </c>
      <c r="I551" s="19" t="str">
        <f>IFERROR(G551*H551,"")</f>
        <v/>
      </c>
      <c r="J551" s="19"/>
    </row>
    <row r="552" spans="1:10" ht="21">
      <c r="A552" s="14">
        <v>547</v>
      </c>
      <c r="C552" s="16"/>
      <c r="D552" s="14" t="str">
        <f>IF(Sales[[#This Row],[Product ID]]="","",Sales[[#This Row],[Date]]&amp;Sales[[#This Row],[Invoice no]])</f>
        <v/>
      </c>
      <c r="E5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2" s="19" t="str">
        <f>IF(_xlfn.XLOOKUP(Sales[[#This Row],[Product Name]],Inventory[Product Name],Inventory[Sale Price],"")=0,"",_xlfn.XLOOKUP(Sales[[#This Row],[Product Name]],Inventory[Product Name],Inventory[Sale Price]))</f>
        <v/>
      </c>
      <c r="I552" s="19" t="str">
        <f>IFERROR(G552*H552,"")</f>
        <v/>
      </c>
      <c r="J552" s="19"/>
    </row>
    <row r="553" spans="1:10" ht="21">
      <c r="A553" s="14">
        <v>548</v>
      </c>
      <c r="C553" s="16"/>
      <c r="D553" s="14" t="str">
        <f>IF(Sales[[#This Row],[Product ID]]="","",Sales[[#This Row],[Date]]&amp;Sales[[#This Row],[Invoice no]])</f>
        <v/>
      </c>
      <c r="E5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3" s="19" t="str">
        <f>IF(_xlfn.XLOOKUP(Sales[[#This Row],[Product Name]],Inventory[Product Name],Inventory[Sale Price],"")=0,"",_xlfn.XLOOKUP(Sales[[#This Row],[Product Name]],Inventory[Product Name],Inventory[Sale Price]))</f>
        <v/>
      </c>
      <c r="I553" s="19" t="str">
        <f>IFERROR(G553*H553,"")</f>
        <v/>
      </c>
      <c r="J553" s="19"/>
    </row>
    <row r="554" spans="1:10" ht="21">
      <c r="A554" s="14">
        <v>549</v>
      </c>
      <c r="C554" s="16"/>
      <c r="D554" s="14" t="str">
        <f>IF(Sales[[#This Row],[Product ID]]="","",Sales[[#This Row],[Date]]&amp;Sales[[#This Row],[Invoice no]])</f>
        <v/>
      </c>
      <c r="E5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4" s="19" t="str">
        <f>IF(_xlfn.XLOOKUP(Sales[[#This Row],[Product Name]],Inventory[Product Name],Inventory[Sale Price],"")=0,"",_xlfn.XLOOKUP(Sales[[#This Row],[Product Name]],Inventory[Product Name],Inventory[Sale Price]))</f>
        <v/>
      </c>
      <c r="I554" s="19" t="str">
        <f>IFERROR(G554*H554,"")</f>
        <v/>
      </c>
      <c r="J554" s="19"/>
    </row>
    <row r="555" spans="1:10" ht="21">
      <c r="A555" s="14">
        <v>550</v>
      </c>
      <c r="C555" s="16"/>
      <c r="D555" s="14" t="str">
        <f>IF(Sales[[#This Row],[Product ID]]="","",Sales[[#This Row],[Date]]&amp;Sales[[#This Row],[Invoice no]])</f>
        <v/>
      </c>
      <c r="E5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5" s="19" t="str">
        <f>IF(_xlfn.XLOOKUP(Sales[[#This Row],[Product Name]],Inventory[Product Name],Inventory[Sale Price],"")=0,"",_xlfn.XLOOKUP(Sales[[#This Row],[Product Name]],Inventory[Product Name],Inventory[Sale Price]))</f>
        <v/>
      </c>
      <c r="I555" s="19" t="str">
        <f>IFERROR(G555*H555,"")</f>
        <v/>
      </c>
      <c r="J555" s="19"/>
    </row>
    <row r="556" spans="1:10" ht="21">
      <c r="A556" s="14">
        <v>551</v>
      </c>
      <c r="C556" s="16"/>
      <c r="D556" s="14" t="str">
        <f>IF(Sales[[#This Row],[Product ID]]="","",Sales[[#This Row],[Date]]&amp;Sales[[#This Row],[Invoice no]])</f>
        <v/>
      </c>
      <c r="E5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6" s="19" t="str">
        <f>IF(_xlfn.XLOOKUP(Sales[[#This Row],[Product Name]],Inventory[Product Name],Inventory[Sale Price],"")=0,"",_xlfn.XLOOKUP(Sales[[#This Row],[Product Name]],Inventory[Product Name],Inventory[Sale Price]))</f>
        <v/>
      </c>
      <c r="I556" s="19" t="str">
        <f>IFERROR(G556*H556,"")</f>
        <v/>
      </c>
      <c r="J556" s="19"/>
    </row>
    <row r="557" spans="1:10" ht="21">
      <c r="A557" s="14">
        <v>552</v>
      </c>
      <c r="C557" s="16"/>
      <c r="D557" s="14" t="str">
        <f>IF(Sales[[#This Row],[Product ID]]="","",Sales[[#This Row],[Date]]&amp;Sales[[#This Row],[Invoice no]])</f>
        <v/>
      </c>
      <c r="E5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7" s="19" t="str">
        <f>IF(_xlfn.XLOOKUP(Sales[[#This Row],[Product Name]],Inventory[Product Name],Inventory[Sale Price],"")=0,"",_xlfn.XLOOKUP(Sales[[#This Row],[Product Name]],Inventory[Product Name],Inventory[Sale Price]))</f>
        <v/>
      </c>
      <c r="I557" s="19" t="str">
        <f>IFERROR(G557*H557,"")</f>
        <v/>
      </c>
      <c r="J557" s="19"/>
    </row>
    <row r="558" spans="1:10" ht="21">
      <c r="A558" s="14">
        <v>553</v>
      </c>
      <c r="C558" s="16"/>
      <c r="D558" s="14" t="str">
        <f>IF(Sales[[#This Row],[Product ID]]="","",Sales[[#This Row],[Date]]&amp;Sales[[#This Row],[Invoice no]])</f>
        <v/>
      </c>
      <c r="E5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8" s="19" t="str">
        <f>IF(_xlfn.XLOOKUP(Sales[[#This Row],[Product Name]],Inventory[Product Name],Inventory[Sale Price],"")=0,"",_xlfn.XLOOKUP(Sales[[#This Row],[Product Name]],Inventory[Product Name],Inventory[Sale Price]))</f>
        <v/>
      </c>
      <c r="I558" s="19" t="str">
        <f>IFERROR(G558*H558,"")</f>
        <v/>
      </c>
      <c r="J558" s="19"/>
    </row>
    <row r="559" spans="1:10" ht="21">
      <c r="A559" s="14">
        <v>554</v>
      </c>
      <c r="C559" s="16"/>
      <c r="D559" s="14" t="str">
        <f>IF(Sales[[#This Row],[Product ID]]="","",Sales[[#This Row],[Date]]&amp;Sales[[#This Row],[Invoice no]])</f>
        <v/>
      </c>
      <c r="E5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59" s="19" t="str">
        <f>IF(_xlfn.XLOOKUP(Sales[[#This Row],[Product Name]],Inventory[Product Name],Inventory[Sale Price],"")=0,"",_xlfn.XLOOKUP(Sales[[#This Row],[Product Name]],Inventory[Product Name],Inventory[Sale Price]))</f>
        <v/>
      </c>
      <c r="I559" s="19" t="str">
        <f>IFERROR(G559*H559,"")</f>
        <v/>
      </c>
      <c r="J559" s="19"/>
    </row>
    <row r="560" spans="1:10" ht="21">
      <c r="A560" s="14">
        <v>555</v>
      </c>
      <c r="C560" s="16"/>
      <c r="D560" s="14" t="str">
        <f>IF(Sales[[#This Row],[Product ID]]="","",Sales[[#This Row],[Date]]&amp;Sales[[#This Row],[Invoice no]])</f>
        <v/>
      </c>
      <c r="E5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0" s="19" t="str">
        <f>IF(_xlfn.XLOOKUP(Sales[[#This Row],[Product Name]],Inventory[Product Name],Inventory[Sale Price],"")=0,"",_xlfn.XLOOKUP(Sales[[#This Row],[Product Name]],Inventory[Product Name],Inventory[Sale Price]))</f>
        <v/>
      </c>
      <c r="I560" s="19" t="str">
        <f>IFERROR(G560*H560,"")</f>
        <v/>
      </c>
      <c r="J560" s="19"/>
    </row>
    <row r="561" spans="1:10" ht="21">
      <c r="A561" s="14">
        <v>556</v>
      </c>
      <c r="C561" s="16"/>
      <c r="D561" s="14" t="str">
        <f>IF(Sales[[#This Row],[Product ID]]="","",Sales[[#This Row],[Date]]&amp;Sales[[#This Row],[Invoice no]])</f>
        <v/>
      </c>
      <c r="E5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1" s="19" t="str">
        <f>IF(_xlfn.XLOOKUP(Sales[[#This Row],[Product Name]],Inventory[Product Name],Inventory[Sale Price],"")=0,"",_xlfn.XLOOKUP(Sales[[#This Row],[Product Name]],Inventory[Product Name],Inventory[Sale Price]))</f>
        <v/>
      </c>
      <c r="I561" s="19" t="str">
        <f>IFERROR(G561*H561,"")</f>
        <v/>
      </c>
      <c r="J561" s="19"/>
    </row>
    <row r="562" spans="1:10" ht="21">
      <c r="A562" s="14">
        <v>557</v>
      </c>
      <c r="C562" s="16"/>
      <c r="D562" s="14" t="str">
        <f>IF(Sales[[#This Row],[Product ID]]="","",Sales[[#This Row],[Date]]&amp;Sales[[#This Row],[Invoice no]])</f>
        <v/>
      </c>
      <c r="E5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2" s="19" t="str">
        <f>IF(_xlfn.XLOOKUP(Sales[[#This Row],[Product Name]],Inventory[Product Name],Inventory[Sale Price],"")=0,"",_xlfn.XLOOKUP(Sales[[#This Row],[Product Name]],Inventory[Product Name],Inventory[Sale Price]))</f>
        <v/>
      </c>
      <c r="I562" s="19" t="str">
        <f>IFERROR(G562*H562,"")</f>
        <v/>
      </c>
      <c r="J562" s="19"/>
    </row>
    <row r="563" spans="1:10" ht="21">
      <c r="A563" s="14">
        <v>558</v>
      </c>
      <c r="C563" s="16"/>
      <c r="D563" s="14" t="str">
        <f>IF(Sales[[#This Row],[Product ID]]="","",Sales[[#This Row],[Date]]&amp;Sales[[#This Row],[Invoice no]])</f>
        <v/>
      </c>
      <c r="E5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3" s="19" t="str">
        <f>IF(_xlfn.XLOOKUP(Sales[[#This Row],[Product Name]],Inventory[Product Name],Inventory[Sale Price],"")=0,"",_xlfn.XLOOKUP(Sales[[#This Row],[Product Name]],Inventory[Product Name],Inventory[Sale Price]))</f>
        <v/>
      </c>
      <c r="I563" s="19" t="str">
        <f>IFERROR(G563*H563,"")</f>
        <v/>
      </c>
      <c r="J563" s="19"/>
    </row>
    <row r="564" spans="1:10" ht="21">
      <c r="A564" s="14">
        <v>559</v>
      </c>
      <c r="C564" s="16"/>
      <c r="D564" s="14" t="str">
        <f>IF(Sales[[#This Row],[Product ID]]="","",Sales[[#This Row],[Date]]&amp;Sales[[#This Row],[Invoice no]])</f>
        <v/>
      </c>
      <c r="E5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4" s="19" t="str">
        <f>IF(_xlfn.XLOOKUP(Sales[[#This Row],[Product Name]],Inventory[Product Name],Inventory[Sale Price],"")=0,"",_xlfn.XLOOKUP(Sales[[#This Row],[Product Name]],Inventory[Product Name],Inventory[Sale Price]))</f>
        <v/>
      </c>
      <c r="I564" s="19" t="str">
        <f>IFERROR(G564*H564,"")</f>
        <v/>
      </c>
      <c r="J564" s="19"/>
    </row>
    <row r="565" spans="1:10" ht="21">
      <c r="A565" s="14">
        <v>560</v>
      </c>
      <c r="C565" s="16"/>
      <c r="D565" s="14" t="str">
        <f>IF(Sales[[#This Row],[Product ID]]="","",Sales[[#This Row],[Date]]&amp;Sales[[#This Row],[Invoice no]])</f>
        <v/>
      </c>
      <c r="E5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5" s="19" t="str">
        <f>IF(_xlfn.XLOOKUP(Sales[[#This Row],[Product Name]],Inventory[Product Name],Inventory[Sale Price],"")=0,"",_xlfn.XLOOKUP(Sales[[#This Row],[Product Name]],Inventory[Product Name],Inventory[Sale Price]))</f>
        <v/>
      </c>
      <c r="I565" s="19" t="str">
        <f>IFERROR(G565*H565,"")</f>
        <v/>
      </c>
      <c r="J565" s="19"/>
    </row>
    <row r="566" spans="1:10" ht="21">
      <c r="A566" s="14">
        <v>561</v>
      </c>
      <c r="C566" s="16"/>
      <c r="D566" s="14" t="str">
        <f>IF(Sales[[#This Row],[Product ID]]="","",Sales[[#This Row],[Date]]&amp;Sales[[#This Row],[Invoice no]])</f>
        <v/>
      </c>
      <c r="E5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6" s="19" t="str">
        <f>IF(_xlfn.XLOOKUP(Sales[[#This Row],[Product Name]],Inventory[Product Name],Inventory[Sale Price],"")=0,"",_xlfn.XLOOKUP(Sales[[#This Row],[Product Name]],Inventory[Product Name],Inventory[Sale Price]))</f>
        <v/>
      </c>
      <c r="I566" s="19" t="str">
        <f>IFERROR(G566*H566,"")</f>
        <v/>
      </c>
      <c r="J566" s="19"/>
    </row>
    <row r="567" spans="1:10" ht="21">
      <c r="A567" s="14">
        <v>562</v>
      </c>
      <c r="C567" s="16"/>
      <c r="D567" s="14" t="str">
        <f>IF(Sales[[#This Row],[Product ID]]="","",Sales[[#This Row],[Date]]&amp;Sales[[#This Row],[Invoice no]])</f>
        <v/>
      </c>
      <c r="E5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7" s="19" t="str">
        <f>IF(_xlfn.XLOOKUP(Sales[[#This Row],[Product Name]],Inventory[Product Name],Inventory[Sale Price],"")=0,"",_xlfn.XLOOKUP(Sales[[#This Row],[Product Name]],Inventory[Product Name],Inventory[Sale Price]))</f>
        <v/>
      </c>
      <c r="I567" s="19" t="str">
        <f>IFERROR(G567*H567,"")</f>
        <v/>
      </c>
      <c r="J567" s="19"/>
    </row>
    <row r="568" spans="1:10" ht="21">
      <c r="A568" s="14">
        <v>563</v>
      </c>
      <c r="C568" s="16"/>
      <c r="D568" s="14" t="str">
        <f>IF(Sales[[#This Row],[Product ID]]="","",Sales[[#This Row],[Date]]&amp;Sales[[#This Row],[Invoice no]])</f>
        <v/>
      </c>
      <c r="E5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8" s="19" t="str">
        <f>IF(_xlfn.XLOOKUP(Sales[[#This Row],[Product Name]],Inventory[Product Name],Inventory[Sale Price],"")=0,"",_xlfn.XLOOKUP(Sales[[#This Row],[Product Name]],Inventory[Product Name],Inventory[Sale Price]))</f>
        <v/>
      </c>
      <c r="I568" s="19" t="str">
        <f>IFERROR(G568*H568,"")</f>
        <v/>
      </c>
      <c r="J568" s="19"/>
    </row>
    <row r="569" spans="1:10" ht="21">
      <c r="A569" s="14">
        <v>564</v>
      </c>
      <c r="C569" s="16"/>
      <c r="D569" s="14" t="str">
        <f>IF(Sales[[#This Row],[Product ID]]="","",Sales[[#This Row],[Date]]&amp;Sales[[#This Row],[Invoice no]])</f>
        <v/>
      </c>
      <c r="E5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69" s="19" t="str">
        <f>IF(_xlfn.XLOOKUP(Sales[[#This Row],[Product Name]],Inventory[Product Name],Inventory[Sale Price],"")=0,"",_xlfn.XLOOKUP(Sales[[#This Row],[Product Name]],Inventory[Product Name],Inventory[Sale Price]))</f>
        <v/>
      </c>
      <c r="I569" s="19" t="str">
        <f>IFERROR(G569*H569,"")</f>
        <v/>
      </c>
      <c r="J569" s="19"/>
    </row>
    <row r="570" spans="1:10" ht="21">
      <c r="A570" s="14">
        <v>565</v>
      </c>
      <c r="C570" s="16"/>
      <c r="D570" s="14" t="str">
        <f>IF(Sales[[#This Row],[Product ID]]="","",Sales[[#This Row],[Date]]&amp;Sales[[#This Row],[Invoice no]])</f>
        <v/>
      </c>
      <c r="E5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0" s="19" t="str">
        <f>IF(_xlfn.XLOOKUP(Sales[[#This Row],[Product Name]],Inventory[Product Name],Inventory[Sale Price],"")=0,"",_xlfn.XLOOKUP(Sales[[#This Row],[Product Name]],Inventory[Product Name],Inventory[Sale Price]))</f>
        <v/>
      </c>
      <c r="I570" s="19" t="str">
        <f>IFERROR(G570*H570,"")</f>
        <v/>
      </c>
      <c r="J570" s="19"/>
    </row>
    <row r="571" spans="1:10" ht="21">
      <c r="A571" s="14">
        <v>566</v>
      </c>
      <c r="C571" s="16"/>
      <c r="D571" s="14" t="str">
        <f>IF(Sales[[#This Row],[Product ID]]="","",Sales[[#This Row],[Date]]&amp;Sales[[#This Row],[Invoice no]])</f>
        <v/>
      </c>
      <c r="E5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1" s="19" t="str">
        <f>IF(_xlfn.XLOOKUP(Sales[[#This Row],[Product Name]],Inventory[Product Name],Inventory[Sale Price],"")=0,"",_xlfn.XLOOKUP(Sales[[#This Row],[Product Name]],Inventory[Product Name],Inventory[Sale Price]))</f>
        <v/>
      </c>
      <c r="I571" s="19" t="str">
        <f>IFERROR(G571*H571,"")</f>
        <v/>
      </c>
      <c r="J571" s="19"/>
    </row>
    <row r="572" spans="1:10" ht="21">
      <c r="A572" s="14">
        <v>567</v>
      </c>
      <c r="C572" s="16"/>
      <c r="D572" s="14" t="str">
        <f>IF(Sales[[#This Row],[Product ID]]="","",Sales[[#This Row],[Date]]&amp;Sales[[#This Row],[Invoice no]])</f>
        <v/>
      </c>
      <c r="E5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2" s="19" t="str">
        <f>IF(_xlfn.XLOOKUP(Sales[[#This Row],[Product Name]],Inventory[Product Name],Inventory[Sale Price],"")=0,"",_xlfn.XLOOKUP(Sales[[#This Row],[Product Name]],Inventory[Product Name],Inventory[Sale Price]))</f>
        <v/>
      </c>
      <c r="I572" s="19" t="str">
        <f>IFERROR(G572*H572,"")</f>
        <v/>
      </c>
      <c r="J572" s="19"/>
    </row>
    <row r="573" spans="1:10" ht="21">
      <c r="A573" s="14">
        <v>568</v>
      </c>
      <c r="C573" s="16"/>
      <c r="D573" s="14" t="str">
        <f>IF(Sales[[#This Row],[Product ID]]="","",Sales[[#This Row],[Date]]&amp;Sales[[#This Row],[Invoice no]])</f>
        <v/>
      </c>
      <c r="E5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3" s="19" t="str">
        <f>IF(_xlfn.XLOOKUP(Sales[[#This Row],[Product Name]],Inventory[Product Name],Inventory[Sale Price],"")=0,"",_xlfn.XLOOKUP(Sales[[#This Row],[Product Name]],Inventory[Product Name],Inventory[Sale Price]))</f>
        <v/>
      </c>
      <c r="I573" s="19" t="str">
        <f>IFERROR(G573*H573,"")</f>
        <v/>
      </c>
      <c r="J573" s="19"/>
    </row>
    <row r="574" spans="1:10" ht="21">
      <c r="A574" s="14">
        <v>569</v>
      </c>
      <c r="C574" s="16"/>
      <c r="D574" s="14" t="str">
        <f>IF(Sales[[#This Row],[Product ID]]="","",Sales[[#This Row],[Date]]&amp;Sales[[#This Row],[Invoice no]])</f>
        <v/>
      </c>
      <c r="E5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4" s="19" t="str">
        <f>IF(_xlfn.XLOOKUP(Sales[[#This Row],[Product Name]],Inventory[Product Name],Inventory[Sale Price],"")=0,"",_xlfn.XLOOKUP(Sales[[#This Row],[Product Name]],Inventory[Product Name],Inventory[Sale Price]))</f>
        <v/>
      </c>
      <c r="I574" s="19" t="str">
        <f>IFERROR(G574*H574,"")</f>
        <v/>
      </c>
      <c r="J574" s="19"/>
    </row>
    <row r="575" spans="1:10" ht="21">
      <c r="A575" s="14">
        <v>570</v>
      </c>
      <c r="C575" s="16"/>
      <c r="D575" s="14" t="str">
        <f>IF(Sales[[#This Row],[Product ID]]="","",Sales[[#This Row],[Date]]&amp;Sales[[#This Row],[Invoice no]])</f>
        <v/>
      </c>
      <c r="E5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5" s="19" t="str">
        <f>IF(_xlfn.XLOOKUP(Sales[[#This Row],[Product Name]],Inventory[Product Name],Inventory[Sale Price],"")=0,"",_xlfn.XLOOKUP(Sales[[#This Row],[Product Name]],Inventory[Product Name],Inventory[Sale Price]))</f>
        <v/>
      </c>
      <c r="I575" s="19" t="str">
        <f>IFERROR(G575*H575,"")</f>
        <v/>
      </c>
      <c r="J575" s="19"/>
    </row>
    <row r="576" spans="1:10" ht="21">
      <c r="A576" s="14">
        <v>571</v>
      </c>
      <c r="C576" s="16"/>
      <c r="D576" s="14" t="str">
        <f>IF(Sales[[#This Row],[Product ID]]="","",Sales[[#This Row],[Date]]&amp;Sales[[#This Row],[Invoice no]])</f>
        <v/>
      </c>
      <c r="E5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6" s="19" t="str">
        <f>IF(_xlfn.XLOOKUP(Sales[[#This Row],[Product Name]],Inventory[Product Name],Inventory[Sale Price],"")=0,"",_xlfn.XLOOKUP(Sales[[#This Row],[Product Name]],Inventory[Product Name],Inventory[Sale Price]))</f>
        <v/>
      </c>
      <c r="I576" s="19" t="str">
        <f>IFERROR(G576*H576,"")</f>
        <v/>
      </c>
      <c r="J576" s="19"/>
    </row>
    <row r="577" spans="1:10" ht="21">
      <c r="A577" s="14">
        <v>572</v>
      </c>
      <c r="C577" s="16"/>
      <c r="D577" s="14" t="str">
        <f>IF(Sales[[#This Row],[Product ID]]="","",Sales[[#This Row],[Date]]&amp;Sales[[#This Row],[Invoice no]])</f>
        <v/>
      </c>
      <c r="E5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7" s="19" t="str">
        <f>IF(_xlfn.XLOOKUP(Sales[[#This Row],[Product Name]],Inventory[Product Name],Inventory[Sale Price],"")=0,"",_xlfn.XLOOKUP(Sales[[#This Row],[Product Name]],Inventory[Product Name],Inventory[Sale Price]))</f>
        <v/>
      </c>
      <c r="I577" s="19" t="str">
        <f>IFERROR(G577*H577,"")</f>
        <v/>
      </c>
      <c r="J577" s="19"/>
    </row>
    <row r="578" spans="1:10" ht="21">
      <c r="A578" s="14">
        <v>573</v>
      </c>
      <c r="C578" s="16"/>
      <c r="D578" s="14" t="str">
        <f>IF(Sales[[#This Row],[Product ID]]="","",Sales[[#This Row],[Date]]&amp;Sales[[#This Row],[Invoice no]])</f>
        <v/>
      </c>
      <c r="E5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8" s="19" t="str">
        <f>IF(_xlfn.XLOOKUP(Sales[[#This Row],[Product Name]],Inventory[Product Name],Inventory[Sale Price],"")=0,"",_xlfn.XLOOKUP(Sales[[#This Row],[Product Name]],Inventory[Product Name],Inventory[Sale Price]))</f>
        <v/>
      </c>
      <c r="I578" s="19" t="str">
        <f>IFERROR(G578*H578,"")</f>
        <v/>
      </c>
      <c r="J578" s="19"/>
    </row>
    <row r="579" spans="1:10" ht="21">
      <c r="A579" s="14">
        <v>574</v>
      </c>
      <c r="C579" s="16"/>
      <c r="D579" s="14" t="str">
        <f>IF(Sales[[#This Row],[Product ID]]="","",Sales[[#This Row],[Date]]&amp;Sales[[#This Row],[Invoice no]])</f>
        <v/>
      </c>
      <c r="E5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79" s="19" t="str">
        <f>IF(_xlfn.XLOOKUP(Sales[[#This Row],[Product Name]],Inventory[Product Name],Inventory[Sale Price],"")=0,"",_xlfn.XLOOKUP(Sales[[#This Row],[Product Name]],Inventory[Product Name],Inventory[Sale Price]))</f>
        <v/>
      </c>
      <c r="I579" s="19" t="str">
        <f>IFERROR(G579*H579,"")</f>
        <v/>
      </c>
      <c r="J579" s="19"/>
    </row>
    <row r="580" spans="1:10" ht="21">
      <c r="A580" s="14">
        <v>575</v>
      </c>
      <c r="C580" s="16"/>
      <c r="D580" s="14" t="str">
        <f>IF(Sales[[#This Row],[Product ID]]="","",Sales[[#This Row],[Date]]&amp;Sales[[#This Row],[Invoice no]])</f>
        <v/>
      </c>
      <c r="E5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0" s="19" t="str">
        <f>IF(_xlfn.XLOOKUP(Sales[[#This Row],[Product Name]],Inventory[Product Name],Inventory[Sale Price],"")=0,"",_xlfn.XLOOKUP(Sales[[#This Row],[Product Name]],Inventory[Product Name],Inventory[Sale Price]))</f>
        <v/>
      </c>
      <c r="I580" s="19" t="str">
        <f>IFERROR(G580*H580,"")</f>
        <v/>
      </c>
      <c r="J580" s="19"/>
    </row>
    <row r="581" spans="1:10" ht="21">
      <c r="A581" s="14">
        <v>576</v>
      </c>
      <c r="C581" s="16"/>
      <c r="D581" s="14" t="str">
        <f>IF(Sales[[#This Row],[Product ID]]="","",Sales[[#This Row],[Date]]&amp;Sales[[#This Row],[Invoice no]])</f>
        <v/>
      </c>
      <c r="E5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1" s="19" t="str">
        <f>IF(_xlfn.XLOOKUP(Sales[[#This Row],[Product Name]],Inventory[Product Name],Inventory[Sale Price],"")=0,"",_xlfn.XLOOKUP(Sales[[#This Row],[Product Name]],Inventory[Product Name],Inventory[Sale Price]))</f>
        <v/>
      </c>
      <c r="I581" s="19" t="str">
        <f>IFERROR(G581*H581,"")</f>
        <v/>
      </c>
      <c r="J581" s="19"/>
    </row>
    <row r="582" spans="1:10" ht="21">
      <c r="A582" s="14">
        <v>577</v>
      </c>
      <c r="C582" s="16"/>
      <c r="D582" s="14" t="str">
        <f>IF(Sales[[#This Row],[Product ID]]="","",Sales[[#This Row],[Date]]&amp;Sales[[#This Row],[Invoice no]])</f>
        <v/>
      </c>
      <c r="E5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2" s="19" t="str">
        <f>IF(_xlfn.XLOOKUP(Sales[[#This Row],[Product Name]],Inventory[Product Name],Inventory[Sale Price],"")=0,"",_xlfn.XLOOKUP(Sales[[#This Row],[Product Name]],Inventory[Product Name],Inventory[Sale Price]))</f>
        <v/>
      </c>
      <c r="I582" s="19" t="str">
        <f>IFERROR(G582*H582,"")</f>
        <v/>
      </c>
      <c r="J582" s="19"/>
    </row>
    <row r="583" spans="1:10" ht="21">
      <c r="A583" s="14">
        <v>578</v>
      </c>
      <c r="C583" s="16"/>
      <c r="D583" s="14" t="str">
        <f>IF(Sales[[#This Row],[Product ID]]="","",Sales[[#This Row],[Date]]&amp;Sales[[#This Row],[Invoice no]])</f>
        <v/>
      </c>
      <c r="E5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3" s="19" t="str">
        <f>IF(_xlfn.XLOOKUP(Sales[[#This Row],[Product Name]],Inventory[Product Name],Inventory[Sale Price],"")=0,"",_xlfn.XLOOKUP(Sales[[#This Row],[Product Name]],Inventory[Product Name],Inventory[Sale Price]))</f>
        <v/>
      </c>
      <c r="I583" s="19" t="str">
        <f>IFERROR(G583*H583,"")</f>
        <v/>
      </c>
      <c r="J583" s="19"/>
    </row>
    <row r="584" spans="1:10" ht="21">
      <c r="A584" s="14">
        <v>579</v>
      </c>
      <c r="C584" s="16"/>
      <c r="D584" s="14" t="str">
        <f>IF(Sales[[#This Row],[Product ID]]="","",Sales[[#This Row],[Date]]&amp;Sales[[#This Row],[Invoice no]])</f>
        <v/>
      </c>
      <c r="E5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4" s="19" t="str">
        <f>IF(_xlfn.XLOOKUP(Sales[[#This Row],[Product Name]],Inventory[Product Name],Inventory[Sale Price],"")=0,"",_xlfn.XLOOKUP(Sales[[#This Row],[Product Name]],Inventory[Product Name],Inventory[Sale Price]))</f>
        <v/>
      </c>
      <c r="I584" s="19" t="str">
        <f>IFERROR(G584*H584,"")</f>
        <v/>
      </c>
      <c r="J584" s="19"/>
    </row>
    <row r="585" spans="1:10" ht="21">
      <c r="A585" s="14">
        <v>580</v>
      </c>
      <c r="C585" s="16"/>
      <c r="D585" s="14" t="str">
        <f>IF(Sales[[#This Row],[Product ID]]="","",Sales[[#This Row],[Date]]&amp;Sales[[#This Row],[Invoice no]])</f>
        <v/>
      </c>
      <c r="E5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5" s="19" t="str">
        <f>IF(_xlfn.XLOOKUP(Sales[[#This Row],[Product Name]],Inventory[Product Name],Inventory[Sale Price],"")=0,"",_xlfn.XLOOKUP(Sales[[#This Row],[Product Name]],Inventory[Product Name],Inventory[Sale Price]))</f>
        <v/>
      </c>
      <c r="I585" s="19" t="str">
        <f>IFERROR(G585*H585,"")</f>
        <v/>
      </c>
      <c r="J585" s="19"/>
    </row>
    <row r="586" spans="1:10" ht="21">
      <c r="A586" s="14">
        <v>581</v>
      </c>
      <c r="C586" s="16"/>
      <c r="D586" s="14" t="str">
        <f>IF(Sales[[#This Row],[Product ID]]="","",Sales[[#This Row],[Date]]&amp;Sales[[#This Row],[Invoice no]])</f>
        <v/>
      </c>
      <c r="E5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6" s="19" t="str">
        <f>IF(_xlfn.XLOOKUP(Sales[[#This Row],[Product Name]],Inventory[Product Name],Inventory[Sale Price],"")=0,"",_xlfn.XLOOKUP(Sales[[#This Row],[Product Name]],Inventory[Product Name],Inventory[Sale Price]))</f>
        <v/>
      </c>
      <c r="I586" s="19" t="str">
        <f>IFERROR(G586*H586,"")</f>
        <v/>
      </c>
      <c r="J586" s="19"/>
    </row>
    <row r="587" spans="1:10" ht="21">
      <c r="A587" s="14">
        <v>582</v>
      </c>
      <c r="C587" s="16"/>
      <c r="D587" s="14" t="str">
        <f>IF(Sales[[#This Row],[Product ID]]="","",Sales[[#This Row],[Date]]&amp;Sales[[#This Row],[Invoice no]])</f>
        <v/>
      </c>
      <c r="E5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7" s="19" t="str">
        <f>IF(_xlfn.XLOOKUP(Sales[[#This Row],[Product Name]],Inventory[Product Name],Inventory[Sale Price],"")=0,"",_xlfn.XLOOKUP(Sales[[#This Row],[Product Name]],Inventory[Product Name],Inventory[Sale Price]))</f>
        <v/>
      </c>
      <c r="I587" s="19" t="str">
        <f>IFERROR(G587*H587,"")</f>
        <v/>
      </c>
      <c r="J587" s="19"/>
    </row>
    <row r="588" spans="1:10" ht="21">
      <c r="A588" s="14">
        <v>583</v>
      </c>
      <c r="C588" s="16"/>
      <c r="D588" s="14" t="str">
        <f>IF(Sales[[#This Row],[Product ID]]="","",Sales[[#This Row],[Date]]&amp;Sales[[#This Row],[Invoice no]])</f>
        <v/>
      </c>
      <c r="E5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8" s="19" t="str">
        <f>IF(_xlfn.XLOOKUP(Sales[[#This Row],[Product Name]],Inventory[Product Name],Inventory[Sale Price],"")=0,"",_xlfn.XLOOKUP(Sales[[#This Row],[Product Name]],Inventory[Product Name],Inventory[Sale Price]))</f>
        <v/>
      </c>
      <c r="I588" s="19" t="str">
        <f>IFERROR(G588*H588,"")</f>
        <v/>
      </c>
      <c r="J588" s="19"/>
    </row>
    <row r="589" spans="1:10" ht="21">
      <c r="A589" s="14">
        <v>584</v>
      </c>
      <c r="C589" s="16"/>
      <c r="D589" s="14" t="str">
        <f>IF(Sales[[#This Row],[Product ID]]="","",Sales[[#This Row],[Date]]&amp;Sales[[#This Row],[Invoice no]])</f>
        <v/>
      </c>
      <c r="E5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89" s="19" t="str">
        <f>IF(_xlfn.XLOOKUP(Sales[[#This Row],[Product Name]],Inventory[Product Name],Inventory[Sale Price],"")=0,"",_xlfn.XLOOKUP(Sales[[#This Row],[Product Name]],Inventory[Product Name],Inventory[Sale Price]))</f>
        <v/>
      </c>
      <c r="I589" s="19" t="str">
        <f>IFERROR(G589*H589,"")</f>
        <v/>
      </c>
      <c r="J589" s="19"/>
    </row>
    <row r="590" spans="1:10" ht="21">
      <c r="A590" s="14">
        <v>585</v>
      </c>
      <c r="C590" s="16"/>
      <c r="D590" s="14" t="str">
        <f>IF(Sales[[#This Row],[Product ID]]="","",Sales[[#This Row],[Date]]&amp;Sales[[#This Row],[Invoice no]])</f>
        <v/>
      </c>
      <c r="E5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0" s="19" t="str">
        <f>IF(_xlfn.XLOOKUP(Sales[[#This Row],[Product Name]],Inventory[Product Name],Inventory[Sale Price],"")=0,"",_xlfn.XLOOKUP(Sales[[#This Row],[Product Name]],Inventory[Product Name],Inventory[Sale Price]))</f>
        <v/>
      </c>
      <c r="I590" s="19" t="str">
        <f>IFERROR(G590*H590,"")</f>
        <v/>
      </c>
      <c r="J590" s="19"/>
    </row>
    <row r="591" spans="1:10" ht="21">
      <c r="A591" s="14">
        <v>586</v>
      </c>
      <c r="C591" s="16"/>
      <c r="D591" s="14" t="str">
        <f>IF(Sales[[#This Row],[Product ID]]="","",Sales[[#This Row],[Date]]&amp;Sales[[#This Row],[Invoice no]])</f>
        <v/>
      </c>
      <c r="E5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1" s="19" t="str">
        <f>IF(_xlfn.XLOOKUP(Sales[[#This Row],[Product Name]],Inventory[Product Name],Inventory[Sale Price],"")=0,"",_xlfn.XLOOKUP(Sales[[#This Row],[Product Name]],Inventory[Product Name],Inventory[Sale Price]))</f>
        <v/>
      </c>
      <c r="I591" s="19" t="str">
        <f>IFERROR(G591*H591,"")</f>
        <v/>
      </c>
      <c r="J591" s="19"/>
    </row>
    <row r="592" spans="1:10" ht="21">
      <c r="A592" s="14">
        <v>587</v>
      </c>
      <c r="C592" s="16"/>
      <c r="D592" s="14" t="str">
        <f>IF(Sales[[#This Row],[Product ID]]="","",Sales[[#This Row],[Date]]&amp;Sales[[#This Row],[Invoice no]])</f>
        <v/>
      </c>
      <c r="E5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2" s="19" t="str">
        <f>IF(_xlfn.XLOOKUP(Sales[[#This Row],[Product Name]],Inventory[Product Name],Inventory[Sale Price],"")=0,"",_xlfn.XLOOKUP(Sales[[#This Row],[Product Name]],Inventory[Product Name],Inventory[Sale Price]))</f>
        <v/>
      </c>
      <c r="I592" s="19" t="str">
        <f>IFERROR(G592*H592,"")</f>
        <v/>
      </c>
      <c r="J592" s="19"/>
    </row>
    <row r="593" spans="1:10" ht="21">
      <c r="A593" s="14">
        <v>588</v>
      </c>
      <c r="C593" s="16"/>
      <c r="D593" s="14" t="str">
        <f>IF(Sales[[#This Row],[Product ID]]="","",Sales[[#This Row],[Date]]&amp;Sales[[#This Row],[Invoice no]])</f>
        <v/>
      </c>
      <c r="E5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3" s="19" t="str">
        <f>IF(_xlfn.XLOOKUP(Sales[[#This Row],[Product Name]],Inventory[Product Name],Inventory[Sale Price],"")=0,"",_xlfn.XLOOKUP(Sales[[#This Row],[Product Name]],Inventory[Product Name],Inventory[Sale Price]))</f>
        <v/>
      </c>
      <c r="I593" s="19" t="str">
        <f>IFERROR(G593*H593,"")</f>
        <v/>
      </c>
      <c r="J593" s="19"/>
    </row>
    <row r="594" spans="1:10" ht="21">
      <c r="A594" s="14">
        <v>589</v>
      </c>
      <c r="C594" s="16"/>
      <c r="D594" s="14" t="str">
        <f>IF(Sales[[#This Row],[Product ID]]="","",Sales[[#This Row],[Date]]&amp;Sales[[#This Row],[Invoice no]])</f>
        <v/>
      </c>
      <c r="E5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4" s="19" t="str">
        <f>IF(_xlfn.XLOOKUP(Sales[[#This Row],[Product Name]],Inventory[Product Name],Inventory[Sale Price],"")=0,"",_xlfn.XLOOKUP(Sales[[#This Row],[Product Name]],Inventory[Product Name],Inventory[Sale Price]))</f>
        <v/>
      </c>
      <c r="I594" s="19" t="str">
        <f>IFERROR(G594*H594,"")</f>
        <v/>
      </c>
      <c r="J594" s="19"/>
    </row>
    <row r="595" spans="1:10" ht="21">
      <c r="A595" s="14">
        <v>590</v>
      </c>
      <c r="C595" s="16"/>
      <c r="D595" s="14" t="str">
        <f>IF(Sales[[#This Row],[Product ID]]="","",Sales[[#This Row],[Date]]&amp;Sales[[#This Row],[Invoice no]])</f>
        <v/>
      </c>
      <c r="E5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5" s="19" t="str">
        <f>IF(_xlfn.XLOOKUP(Sales[[#This Row],[Product Name]],Inventory[Product Name],Inventory[Sale Price],"")=0,"",_xlfn.XLOOKUP(Sales[[#This Row],[Product Name]],Inventory[Product Name],Inventory[Sale Price]))</f>
        <v/>
      </c>
      <c r="I595" s="19" t="str">
        <f>IFERROR(G595*H595,"")</f>
        <v/>
      </c>
      <c r="J595" s="19"/>
    </row>
    <row r="596" spans="1:10" ht="21">
      <c r="A596" s="14">
        <v>591</v>
      </c>
      <c r="C596" s="16"/>
      <c r="D596" s="14" t="str">
        <f>IF(Sales[[#This Row],[Product ID]]="","",Sales[[#This Row],[Date]]&amp;Sales[[#This Row],[Invoice no]])</f>
        <v/>
      </c>
      <c r="E5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6" s="19" t="str">
        <f>IF(_xlfn.XLOOKUP(Sales[[#This Row],[Product Name]],Inventory[Product Name],Inventory[Sale Price],"")=0,"",_xlfn.XLOOKUP(Sales[[#This Row],[Product Name]],Inventory[Product Name],Inventory[Sale Price]))</f>
        <v/>
      </c>
      <c r="I596" s="19" t="str">
        <f>IFERROR(G596*H596,"")</f>
        <v/>
      </c>
      <c r="J596" s="19"/>
    </row>
    <row r="597" spans="1:10" ht="21">
      <c r="A597" s="14">
        <v>592</v>
      </c>
      <c r="C597" s="16"/>
      <c r="D597" s="14" t="str">
        <f>IF(Sales[[#This Row],[Product ID]]="","",Sales[[#This Row],[Date]]&amp;Sales[[#This Row],[Invoice no]])</f>
        <v/>
      </c>
      <c r="E5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7" s="19" t="str">
        <f>IF(_xlfn.XLOOKUP(Sales[[#This Row],[Product Name]],Inventory[Product Name],Inventory[Sale Price],"")=0,"",_xlfn.XLOOKUP(Sales[[#This Row],[Product Name]],Inventory[Product Name],Inventory[Sale Price]))</f>
        <v/>
      </c>
      <c r="I597" s="19" t="str">
        <f>IFERROR(G597*H597,"")</f>
        <v/>
      </c>
      <c r="J597" s="19"/>
    </row>
    <row r="598" spans="1:10" ht="21">
      <c r="A598" s="14">
        <v>593</v>
      </c>
      <c r="C598" s="16"/>
      <c r="D598" s="14" t="str">
        <f>IF(Sales[[#This Row],[Product ID]]="","",Sales[[#This Row],[Date]]&amp;Sales[[#This Row],[Invoice no]])</f>
        <v/>
      </c>
      <c r="E5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8" s="19" t="str">
        <f>IF(_xlfn.XLOOKUP(Sales[[#This Row],[Product Name]],Inventory[Product Name],Inventory[Sale Price],"")=0,"",_xlfn.XLOOKUP(Sales[[#This Row],[Product Name]],Inventory[Product Name],Inventory[Sale Price]))</f>
        <v/>
      </c>
      <c r="I598" s="19" t="str">
        <f>IFERROR(G598*H598,"")</f>
        <v/>
      </c>
      <c r="J598" s="19"/>
    </row>
    <row r="599" spans="1:10" ht="21">
      <c r="A599" s="14">
        <v>594</v>
      </c>
      <c r="C599" s="16"/>
      <c r="D599" s="14" t="str">
        <f>IF(Sales[[#This Row],[Product ID]]="","",Sales[[#This Row],[Date]]&amp;Sales[[#This Row],[Invoice no]])</f>
        <v/>
      </c>
      <c r="E5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599" s="19" t="str">
        <f>IF(_xlfn.XLOOKUP(Sales[[#This Row],[Product Name]],Inventory[Product Name],Inventory[Sale Price],"")=0,"",_xlfn.XLOOKUP(Sales[[#This Row],[Product Name]],Inventory[Product Name],Inventory[Sale Price]))</f>
        <v/>
      </c>
      <c r="I599" s="19" t="str">
        <f>IFERROR(G599*H599,"")</f>
        <v/>
      </c>
      <c r="J599" s="19"/>
    </row>
    <row r="600" spans="1:10" ht="21">
      <c r="A600" s="14">
        <v>595</v>
      </c>
      <c r="C600" s="16"/>
      <c r="D600" s="14" t="str">
        <f>IF(Sales[[#This Row],[Product ID]]="","",Sales[[#This Row],[Date]]&amp;Sales[[#This Row],[Invoice no]])</f>
        <v/>
      </c>
      <c r="E6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0" s="19" t="str">
        <f>IF(_xlfn.XLOOKUP(Sales[[#This Row],[Product Name]],Inventory[Product Name],Inventory[Sale Price],"")=0,"",_xlfn.XLOOKUP(Sales[[#This Row],[Product Name]],Inventory[Product Name],Inventory[Sale Price]))</f>
        <v/>
      </c>
      <c r="I600" s="19" t="str">
        <f>IFERROR(G600*H600,"")</f>
        <v/>
      </c>
      <c r="J600" s="19"/>
    </row>
    <row r="601" spans="1:10" ht="21">
      <c r="A601" s="14">
        <v>596</v>
      </c>
      <c r="C601" s="16"/>
      <c r="D601" s="14" t="str">
        <f>IF(Sales[[#This Row],[Product ID]]="","",Sales[[#This Row],[Date]]&amp;Sales[[#This Row],[Invoice no]])</f>
        <v/>
      </c>
      <c r="E6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1" s="19" t="str">
        <f>IF(_xlfn.XLOOKUP(Sales[[#This Row],[Product Name]],Inventory[Product Name],Inventory[Sale Price],"")=0,"",_xlfn.XLOOKUP(Sales[[#This Row],[Product Name]],Inventory[Product Name],Inventory[Sale Price]))</f>
        <v/>
      </c>
      <c r="I601" s="19" t="str">
        <f>IFERROR(G601*H601,"")</f>
        <v/>
      </c>
      <c r="J601" s="19"/>
    </row>
    <row r="602" spans="1:10" ht="21">
      <c r="A602" s="14">
        <v>597</v>
      </c>
      <c r="C602" s="16"/>
      <c r="D602" s="14" t="str">
        <f>IF(Sales[[#This Row],[Product ID]]="","",Sales[[#This Row],[Date]]&amp;Sales[[#This Row],[Invoice no]])</f>
        <v/>
      </c>
      <c r="E6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2" s="19" t="str">
        <f>IF(_xlfn.XLOOKUP(Sales[[#This Row],[Product Name]],Inventory[Product Name],Inventory[Sale Price],"")=0,"",_xlfn.XLOOKUP(Sales[[#This Row],[Product Name]],Inventory[Product Name],Inventory[Sale Price]))</f>
        <v/>
      </c>
      <c r="I602" s="19" t="str">
        <f>IFERROR(G602*H602,"")</f>
        <v/>
      </c>
      <c r="J602" s="19"/>
    </row>
    <row r="603" spans="1:10" ht="21">
      <c r="A603" s="14">
        <v>598</v>
      </c>
      <c r="C603" s="16"/>
      <c r="D603" s="14" t="str">
        <f>IF(Sales[[#This Row],[Product ID]]="","",Sales[[#This Row],[Date]]&amp;Sales[[#This Row],[Invoice no]])</f>
        <v/>
      </c>
      <c r="E6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3" s="19" t="str">
        <f>IF(_xlfn.XLOOKUP(Sales[[#This Row],[Product Name]],Inventory[Product Name],Inventory[Sale Price],"")=0,"",_xlfn.XLOOKUP(Sales[[#This Row],[Product Name]],Inventory[Product Name],Inventory[Sale Price]))</f>
        <v/>
      </c>
      <c r="I603" s="19" t="str">
        <f>IFERROR(G603*H603,"")</f>
        <v/>
      </c>
      <c r="J603" s="19"/>
    </row>
    <row r="604" spans="1:10" ht="21">
      <c r="A604" s="14">
        <v>599</v>
      </c>
      <c r="C604" s="16"/>
      <c r="D604" s="14" t="str">
        <f>IF(Sales[[#This Row],[Product ID]]="","",Sales[[#This Row],[Date]]&amp;Sales[[#This Row],[Invoice no]])</f>
        <v/>
      </c>
      <c r="E6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4" s="19" t="str">
        <f>IF(_xlfn.XLOOKUP(Sales[[#This Row],[Product Name]],Inventory[Product Name],Inventory[Sale Price],"")=0,"",_xlfn.XLOOKUP(Sales[[#This Row],[Product Name]],Inventory[Product Name],Inventory[Sale Price]))</f>
        <v/>
      </c>
      <c r="I604" s="19" t="str">
        <f>IFERROR(G604*H604,"")</f>
        <v/>
      </c>
      <c r="J604" s="19"/>
    </row>
    <row r="605" spans="1:10" ht="21">
      <c r="A605" s="14">
        <v>600</v>
      </c>
      <c r="C605" s="16"/>
      <c r="D605" s="14" t="str">
        <f>IF(Sales[[#This Row],[Product ID]]="","",Sales[[#This Row],[Date]]&amp;Sales[[#This Row],[Invoice no]])</f>
        <v/>
      </c>
      <c r="E6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5" s="19" t="str">
        <f>IF(_xlfn.XLOOKUP(Sales[[#This Row],[Product Name]],Inventory[Product Name],Inventory[Sale Price],"")=0,"",_xlfn.XLOOKUP(Sales[[#This Row],[Product Name]],Inventory[Product Name],Inventory[Sale Price]))</f>
        <v/>
      </c>
      <c r="I605" s="19" t="str">
        <f>IFERROR(G605*H605,"")</f>
        <v/>
      </c>
      <c r="J605" s="19"/>
    </row>
    <row r="606" spans="1:10" ht="21">
      <c r="A606" s="14">
        <v>601</v>
      </c>
      <c r="C606" s="16"/>
      <c r="D606" s="14" t="str">
        <f>IF(Sales[[#This Row],[Product ID]]="","",Sales[[#This Row],[Date]]&amp;Sales[[#This Row],[Invoice no]])</f>
        <v/>
      </c>
      <c r="E6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6" s="19" t="str">
        <f>IF(_xlfn.XLOOKUP(Sales[[#This Row],[Product Name]],Inventory[Product Name],Inventory[Sale Price],"")=0,"",_xlfn.XLOOKUP(Sales[[#This Row],[Product Name]],Inventory[Product Name],Inventory[Sale Price]))</f>
        <v/>
      </c>
      <c r="I606" s="19" t="str">
        <f>IFERROR(G606*H606,"")</f>
        <v/>
      </c>
      <c r="J606" s="19"/>
    </row>
    <row r="607" spans="1:10" ht="21">
      <c r="A607" s="14">
        <v>602</v>
      </c>
      <c r="C607" s="16"/>
      <c r="D607" s="14" t="str">
        <f>IF(Sales[[#This Row],[Product ID]]="","",Sales[[#This Row],[Date]]&amp;Sales[[#This Row],[Invoice no]])</f>
        <v/>
      </c>
      <c r="E6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7" s="19" t="str">
        <f>IF(_xlfn.XLOOKUP(Sales[[#This Row],[Product Name]],Inventory[Product Name],Inventory[Sale Price],"")=0,"",_xlfn.XLOOKUP(Sales[[#This Row],[Product Name]],Inventory[Product Name],Inventory[Sale Price]))</f>
        <v/>
      </c>
      <c r="I607" s="19" t="str">
        <f>IFERROR(G607*H607,"")</f>
        <v/>
      </c>
      <c r="J607" s="19"/>
    </row>
    <row r="608" spans="1:10" ht="21">
      <c r="A608" s="14">
        <v>603</v>
      </c>
      <c r="C608" s="16"/>
      <c r="D608" s="14" t="str">
        <f>IF(Sales[[#This Row],[Product ID]]="","",Sales[[#This Row],[Date]]&amp;Sales[[#This Row],[Invoice no]])</f>
        <v/>
      </c>
      <c r="E6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8" s="19" t="str">
        <f>IF(_xlfn.XLOOKUP(Sales[[#This Row],[Product Name]],Inventory[Product Name],Inventory[Sale Price],"")=0,"",_xlfn.XLOOKUP(Sales[[#This Row],[Product Name]],Inventory[Product Name],Inventory[Sale Price]))</f>
        <v/>
      </c>
      <c r="I608" s="19" t="str">
        <f>IFERROR(G608*H608,"")</f>
        <v/>
      </c>
      <c r="J608" s="19"/>
    </row>
    <row r="609" spans="1:10" ht="21">
      <c r="A609" s="14">
        <v>604</v>
      </c>
      <c r="C609" s="16"/>
      <c r="D609" s="14" t="str">
        <f>IF(Sales[[#This Row],[Product ID]]="","",Sales[[#This Row],[Date]]&amp;Sales[[#This Row],[Invoice no]])</f>
        <v/>
      </c>
      <c r="E6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09" s="19" t="str">
        <f>IF(_xlfn.XLOOKUP(Sales[[#This Row],[Product Name]],Inventory[Product Name],Inventory[Sale Price],"")=0,"",_xlfn.XLOOKUP(Sales[[#This Row],[Product Name]],Inventory[Product Name],Inventory[Sale Price]))</f>
        <v/>
      </c>
      <c r="I609" s="19" t="str">
        <f>IFERROR(G609*H609,"")</f>
        <v/>
      </c>
      <c r="J609" s="19"/>
    </row>
    <row r="610" spans="1:10" ht="21">
      <c r="A610" s="14">
        <v>605</v>
      </c>
      <c r="C610" s="16"/>
      <c r="D610" s="14" t="str">
        <f>IF(Sales[[#This Row],[Product ID]]="","",Sales[[#This Row],[Date]]&amp;Sales[[#This Row],[Invoice no]])</f>
        <v/>
      </c>
      <c r="E6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0" s="19" t="str">
        <f>IF(_xlfn.XLOOKUP(Sales[[#This Row],[Product Name]],Inventory[Product Name],Inventory[Sale Price],"")=0,"",_xlfn.XLOOKUP(Sales[[#This Row],[Product Name]],Inventory[Product Name],Inventory[Sale Price]))</f>
        <v/>
      </c>
      <c r="I610" s="19" t="str">
        <f>IFERROR(G610*H610,"")</f>
        <v/>
      </c>
      <c r="J610" s="19"/>
    </row>
    <row r="611" spans="1:10" ht="21">
      <c r="A611" s="14">
        <v>606</v>
      </c>
      <c r="C611" s="16"/>
      <c r="D611" s="14" t="str">
        <f>IF(Sales[[#This Row],[Product ID]]="","",Sales[[#This Row],[Date]]&amp;Sales[[#This Row],[Invoice no]])</f>
        <v/>
      </c>
      <c r="E6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1" s="19" t="str">
        <f>IF(_xlfn.XLOOKUP(Sales[[#This Row],[Product Name]],Inventory[Product Name],Inventory[Sale Price],"")=0,"",_xlfn.XLOOKUP(Sales[[#This Row],[Product Name]],Inventory[Product Name],Inventory[Sale Price]))</f>
        <v/>
      </c>
      <c r="I611" s="19" t="str">
        <f>IFERROR(G611*H611,"")</f>
        <v/>
      </c>
      <c r="J611" s="19"/>
    </row>
    <row r="612" spans="1:10" ht="21">
      <c r="A612" s="14">
        <v>607</v>
      </c>
      <c r="C612" s="16"/>
      <c r="D612" s="14" t="str">
        <f>IF(Sales[[#This Row],[Product ID]]="","",Sales[[#This Row],[Date]]&amp;Sales[[#This Row],[Invoice no]])</f>
        <v/>
      </c>
      <c r="E6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2" s="19" t="str">
        <f>IF(_xlfn.XLOOKUP(Sales[[#This Row],[Product Name]],Inventory[Product Name],Inventory[Sale Price],"")=0,"",_xlfn.XLOOKUP(Sales[[#This Row],[Product Name]],Inventory[Product Name],Inventory[Sale Price]))</f>
        <v/>
      </c>
      <c r="I612" s="19" t="str">
        <f>IFERROR(G612*H612,"")</f>
        <v/>
      </c>
      <c r="J612" s="19"/>
    </row>
    <row r="613" spans="1:10" ht="21">
      <c r="A613" s="14">
        <v>608</v>
      </c>
      <c r="C613" s="16"/>
      <c r="D613" s="14" t="str">
        <f>IF(Sales[[#This Row],[Product ID]]="","",Sales[[#This Row],[Date]]&amp;Sales[[#This Row],[Invoice no]])</f>
        <v/>
      </c>
      <c r="E6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3" s="19" t="str">
        <f>IF(_xlfn.XLOOKUP(Sales[[#This Row],[Product Name]],Inventory[Product Name],Inventory[Sale Price],"")=0,"",_xlfn.XLOOKUP(Sales[[#This Row],[Product Name]],Inventory[Product Name],Inventory[Sale Price]))</f>
        <v/>
      </c>
      <c r="I613" s="19" t="str">
        <f>IFERROR(G613*H613,"")</f>
        <v/>
      </c>
      <c r="J613" s="19"/>
    </row>
    <row r="614" spans="1:10" ht="21">
      <c r="A614" s="14">
        <v>609</v>
      </c>
      <c r="C614" s="16"/>
      <c r="D614" s="14" t="str">
        <f>IF(Sales[[#This Row],[Product ID]]="","",Sales[[#This Row],[Date]]&amp;Sales[[#This Row],[Invoice no]])</f>
        <v/>
      </c>
      <c r="E6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4" s="19" t="str">
        <f>IF(_xlfn.XLOOKUP(Sales[[#This Row],[Product Name]],Inventory[Product Name],Inventory[Sale Price],"")=0,"",_xlfn.XLOOKUP(Sales[[#This Row],[Product Name]],Inventory[Product Name],Inventory[Sale Price]))</f>
        <v/>
      </c>
      <c r="I614" s="19" t="str">
        <f>IFERROR(G614*H614,"")</f>
        <v/>
      </c>
      <c r="J614" s="19"/>
    </row>
    <row r="615" spans="1:10" ht="21">
      <c r="A615" s="14">
        <v>610</v>
      </c>
      <c r="C615" s="16"/>
      <c r="D615" s="14" t="str">
        <f>IF(Sales[[#This Row],[Product ID]]="","",Sales[[#This Row],[Date]]&amp;Sales[[#This Row],[Invoice no]])</f>
        <v/>
      </c>
      <c r="E6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5" s="19" t="str">
        <f>IF(_xlfn.XLOOKUP(Sales[[#This Row],[Product Name]],Inventory[Product Name],Inventory[Sale Price],"")=0,"",_xlfn.XLOOKUP(Sales[[#This Row],[Product Name]],Inventory[Product Name],Inventory[Sale Price]))</f>
        <v/>
      </c>
      <c r="I615" s="19" t="str">
        <f>IFERROR(G615*H615,"")</f>
        <v/>
      </c>
      <c r="J615" s="19"/>
    </row>
    <row r="616" spans="1:10" ht="21">
      <c r="A616" s="14">
        <v>611</v>
      </c>
      <c r="C616" s="16"/>
      <c r="D616" s="14" t="str">
        <f>IF(Sales[[#This Row],[Product ID]]="","",Sales[[#This Row],[Date]]&amp;Sales[[#This Row],[Invoice no]])</f>
        <v/>
      </c>
      <c r="E6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6" s="19" t="str">
        <f>IF(_xlfn.XLOOKUP(Sales[[#This Row],[Product Name]],Inventory[Product Name],Inventory[Sale Price],"")=0,"",_xlfn.XLOOKUP(Sales[[#This Row],[Product Name]],Inventory[Product Name],Inventory[Sale Price]))</f>
        <v/>
      </c>
      <c r="I616" s="19" t="str">
        <f>IFERROR(G616*H616,"")</f>
        <v/>
      </c>
      <c r="J616" s="19"/>
    </row>
    <row r="617" spans="1:10" ht="21">
      <c r="A617" s="14">
        <v>612</v>
      </c>
      <c r="C617" s="16"/>
      <c r="D617" s="14" t="str">
        <f>IF(Sales[[#This Row],[Product ID]]="","",Sales[[#This Row],[Date]]&amp;Sales[[#This Row],[Invoice no]])</f>
        <v/>
      </c>
      <c r="E6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7" s="19" t="str">
        <f>IF(_xlfn.XLOOKUP(Sales[[#This Row],[Product Name]],Inventory[Product Name],Inventory[Sale Price],"")=0,"",_xlfn.XLOOKUP(Sales[[#This Row],[Product Name]],Inventory[Product Name],Inventory[Sale Price]))</f>
        <v/>
      </c>
      <c r="I617" s="19" t="str">
        <f>IFERROR(G617*H617,"")</f>
        <v/>
      </c>
      <c r="J617" s="19"/>
    </row>
    <row r="618" spans="1:10" ht="21">
      <c r="A618" s="14">
        <v>613</v>
      </c>
      <c r="C618" s="16"/>
      <c r="D618" s="14" t="str">
        <f>IF(Sales[[#This Row],[Product ID]]="","",Sales[[#This Row],[Date]]&amp;Sales[[#This Row],[Invoice no]])</f>
        <v/>
      </c>
      <c r="E6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8" s="19" t="str">
        <f>IF(_xlfn.XLOOKUP(Sales[[#This Row],[Product Name]],Inventory[Product Name],Inventory[Sale Price],"")=0,"",_xlfn.XLOOKUP(Sales[[#This Row],[Product Name]],Inventory[Product Name],Inventory[Sale Price]))</f>
        <v/>
      </c>
      <c r="I618" s="19" t="str">
        <f>IFERROR(G618*H618,"")</f>
        <v/>
      </c>
      <c r="J618" s="19"/>
    </row>
    <row r="619" spans="1:10" ht="21">
      <c r="A619" s="14">
        <v>614</v>
      </c>
      <c r="C619" s="16"/>
      <c r="D619" s="14" t="str">
        <f>IF(Sales[[#This Row],[Product ID]]="","",Sales[[#This Row],[Date]]&amp;Sales[[#This Row],[Invoice no]])</f>
        <v/>
      </c>
      <c r="E6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19" s="19" t="str">
        <f>IF(_xlfn.XLOOKUP(Sales[[#This Row],[Product Name]],Inventory[Product Name],Inventory[Sale Price],"")=0,"",_xlfn.XLOOKUP(Sales[[#This Row],[Product Name]],Inventory[Product Name],Inventory[Sale Price]))</f>
        <v/>
      </c>
      <c r="I619" s="19" t="str">
        <f>IFERROR(G619*H619,"")</f>
        <v/>
      </c>
      <c r="J619" s="19"/>
    </row>
    <row r="620" spans="1:10" ht="21">
      <c r="A620" s="14">
        <v>615</v>
      </c>
      <c r="C620" s="16"/>
      <c r="D620" s="14" t="str">
        <f>IF(Sales[[#This Row],[Product ID]]="","",Sales[[#This Row],[Date]]&amp;Sales[[#This Row],[Invoice no]])</f>
        <v/>
      </c>
      <c r="E6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0" s="19" t="str">
        <f>IF(_xlfn.XLOOKUP(Sales[[#This Row],[Product Name]],Inventory[Product Name],Inventory[Sale Price],"")=0,"",_xlfn.XLOOKUP(Sales[[#This Row],[Product Name]],Inventory[Product Name],Inventory[Sale Price]))</f>
        <v/>
      </c>
      <c r="I620" s="19" t="str">
        <f>IFERROR(G620*H620,"")</f>
        <v/>
      </c>
      <c r="J620" s="19"/>
    </row>
    <row r="621" spans="1:10" ht="21">
      <c r="A621" s="14">
        <v>616</v>
      </c>
      <c r="C621" s="16"/>
      <c r="D621" s="14" t="str">
        <f>IF(Sales[[#This Row],[Product ID]]="","",Sales[[#This Row],[Date]]&amp;Sales[[#This Row],[Invoice no]])</f>
        <v/>
      </c>
      <c r="E6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1" s="19" t="str">
        <f>IF(_xlfn.XLOOKUP(Sales[[#This Row],[Product Name]],Inventory[Product Name],Inventory[Sale Price],"")=0,"",_xlfn.XLOOKUP(Sales[[#This Row],[Product Name]],Inventory[Product Name],Inventory[Sale Price]))</f>
        <v/>
      </c>
      <c r="I621" s="19" t="str">
        <f>IFERROR(G621*H621,"")</f>
        <v/>
      </c>
      <c r="J621" s="19"/>
    </row>
    <row r="622" spans="1:10" ht="21">
      <c r="A622" s="14">
        <v>617</v>
      </c>
      <c r="C622" s="16"/>
      <c r="D622" s="14" t="str">
        <f>IF(Sales[[#This Row],[Product ID]]="","",Sales[[#This Row],[Date]]&amp;Sales[[#This Row],[Invoice no]])</f>
        <v/>
      </c>
      <c r="E6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2" s="19" t="str">
        <f>IF(_xlfn.XLOOKUP(Sales[[#This Row],[Product Name]],Inventory[Product Name],Inventory[Sale Price],"")=0,"",_xlfn.XLOOKUP(Sales[[#This Row],[Product Name]],Inventory[Product Name],Inventory[Sale Price]))</f>
        <v/>
      </c>
      <c r="I622" s="19" t="str">
        <f>IFERROR(G622*H622,"")</f>
        <v/>
      </c>
      <c r="J622" s="19"/>
    </row>
    <row r="623" spans="1:10" ht="21">
      <c r="A623" s="14">
        <v>618</v>
      </c>
      <c r="C623" s="16"/>
      <c r="D623" s="14" t="str">
        <f>IF(Sales[[#This Row],[Product ID]]="","",Sales[[#This Row],[Date]]&amp;Sales[[#This Row],[Invoice no]])</f>
        <v/>
      </c>
      <c r="E6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3" s="19" t="str">
        <f>IF(_xlfn.XLOOKUP(Sales[[#This Row],[Product Name]],Inventory[Product Name],Inventory[Sale Price],"")=0,"",_xlfn.XLOOKUP(Sales[[#This Row],[Product Name]],Inventory[Product Name],Inventory[Sale Price]))</f>
        <v/>
      </c>
      <c r="I623" s="19" t="str">
        <f>IFERROR(G623*H623,"")</f>
        <v/>
      </c>
      <c r="J623" s="19"/>
    </row>
    <row r="624" spans="1:10" ht="21">
      <c r="A624" s="14">
        <v>619</v>
      </c>
      <c r="C624" s="16"/>
      <c r="D624" s="14" t="str">
        <f>IF(Sales[[#This Row],[Product ID]]="","",Sales[[#This Row],[Date]]&amp;Sales[[#This Row],[Invoice no]])</f>
        <v/>
      </c>
      <c r="E6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4" s="19" t="str">
        <f>IF(_xlfn.XLOOKUP(Sales[[#This Row],[Product Name]],Inventory[Product Name],Inventory[Sale Price],"")=0,"",_xlfn.XLOOKUP(Sales[[#This Row],[Product Name]],Inventory[Product Name],Inventory[Sale Price]))</f>
        <v/>
      </c>
      <c r="I624" s="19" t="str">
        <f>IFERROR(G624*H624,"")</f>
        <v/>
      </c>
      <c r="J624" s="19"/>
    </row>
    <row r="625" spans="1:10" ht="21">
      <c r="A625" s="14">
        <v>620</v>
      </c>
      <c r="C625" s="16"/>
      <c r="D625" s="14" t="str">
        <f>IF(Sales[[#This Row],[Product ID]]="","",Sales[[#This Row],[Date]]&amp;Sales[[#This Row],[Invoice no]])</f>
        <v/>
      </c>
      <c r="E6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5" s="19" t="str">
        <f>IF(_xlfn.XLOOKUP(Sales[[#This Row],[Product Name]],Inventory[Product Name],Inventory[Sale Price],"")=0,"",_xlfn.XLOOKUP(Sales[[#This Row],[Product Name]],Inventory[Product Name],Inventory[Sale Price]))</f>
        <v/>
      </c>
      <c r="I625" s="19" t="str">
        <f>IFERROR(G625*H625,"")</f>
        <v/>
      </c>
      <c r="J625" s="19"/>
    </row>
    <row r="626" spans="1:10" ht="21">
      <c r="A626" s="14">
        <v>621</v>
      </c>
      <c r="C626" s="16"/>
      <c r="D626" s="14" t="str">
        <f>IF(Sales[[#This Row],[Product ID]]="","",Sales[[#This Row],[Date]]&amp;Sales[[#This Row],[Invoice no]])</f>
        <v/>
      </c>
      <c r="E6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6" s="19" t="str">
        <f>IF(_xlfn.XLOOKUP(Sales[[#This Row],[Product Name]],Inventory[Product Name],Inventory[Sale Price],"")=0,"",_xlfn.XLOOKUP(Sales[[#This Row],[Product Name]],Inventory[Product Name],Inventory[Sale Price]))</f>
        <v/>
      </c>
      <c r="I626" s="19" t="str">
        <f>IFERROR(G626*H626,"")</f>
        <v/>
      </c>
      <c r="J626" s="19"/>
    </row>
    <row r="627" spans="1:10" ht="21">
      <c r="A627" s="14">
        <v>622</v>
      </c>
      <c r="C627" s="16"/>
      <c r="D627" s="14" t="str">
        <f>IF(Sales[[#This Row],[Product ID]]="","",Sales[[#This Row],[Date]]&amp;Sales[[#This Row],[Invoice no]])</f>
        <v/>
      </c>
      <c r="E6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7" s="19" t="str">
        <f>IF(_xlfn.XLOOKUP(Sales[[#This Row],[Product Name]],Inventory[Product Name],Inventory[Sale Price],"")=0,"",_xlfn.XLOOKUP(Sales[[#This Row],[Product Name]],Inventory[Product Name],Inventory[Sale Price]))</f>
        <v/>
      </c>
      <c r="I627" s="19" t="str">
        <f>IFERROR(G627*H627,"")</f>
        <v/>
      </c>
      <c r="J627" s="19"/>
    </row>
    <row r="628" spans="1:10" ht="21">
      <c r="A628" s="14">
        <v>623</v>
      </c>
      <c r="C628" s="16"/>
      <c r="D628" s="14" t="str">
        <f>IF(Sales[[#This Row],[Product ID]]="","",Sales[[#This Row],[Date]]&amp;Sales[[#This Row],[Invoice no]])</f>
        <v/>
      </c>
      <c r="E6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8" s="19" t="str">
        <f>IF(_xlfn.XLOOKUP(Sales[[#This Row],[Product Name]],Inventory[Product Name],Inventory[Sale Price],"")=0,"",_xlfn.XLOOKUP(Sales[[#This Row],[Product Name]],Inventory[Product Name],Inventory[Sale Price]))</f>
        <v/>
      </c>
      <c r="I628" s="19" t="str">
        <f>IFERROR(G628*H628,"")</f>
        <v/>
      </c>
      <c r="J628" s="19"/>
    </row>
    <row r="629" spans="1:10" ht="21">
      <c r="A629" s="14">
        <v>624</v>
      </c>
      <c r="C629" s="16"/>
      <c r="D629" s="14" t="str">
        <f>IF(Sales[[#This Row],[Product ID]]="","",Sales[[#This Row],[Date]]&amp;Sales[[#This Row],[Invoice no]])</f>
        <v/>
      </c>
      <c r="E6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29" s="19" t="str">
        <f>IF(_xlfn.XLOOKUP(Sales[[#This Row],[Product Name]],Inventory[Product Name],Inventory[Sale Price],"")=0,"",_xlfn.XLOOKUP(Sales[[#This Row],[Product Name]],Inventory[Product Name],Inventory[Sale Price]))</f>
        <v/>
      </c>
      <c r="I629" s="19" t="str">
        <f>IFERROR(G629*H629,"")</f>
        <v/>
      </c>
      <c r="J629" s="19"/>
    </row>
    <row r="630" spans="1:10" ht="21">
      <c r="A630" s="14">
        <v>625</v>
      </c>
      <c r="C630" s="16"/>
      <c r="D630" s="14" t="str">
        <f>IF(Sales[[#This Row],[Product ID]]="","",Sales[[#This Row],[Date]]&amp;Sales[[#This Row],[Invoice no]])</f>
        <v/>
      </c>
      <c r="E6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0" s="19" t="str">
        <f>IF(_xlfn.XLOOKUP(Sales[[#This Row],[Product Name]],Inventory[Product Name],Inventory[Sale Price],"")=0,"",_xlfn.XLOOKUP(Sales[[#This Row],[Product Name]],Inventory[Product Name],Inventory[Sale Price]))</f>
        <v/>
      </c>
      <c r="I630" s="19" t="str">
        <f>IFERROR(G630*H630,"")</f>
        <v/>
      </c>
      <c r="J630" s="19"/>
    </row>
    <row r="631" spans="1:10" ht="21">
      <c r="A631" s="14">
        <v>626</v>
      </c>
      <c r="C631" s="16"/>
      <c r="D631" s="14" t="str">
        <f>IF(Sales[[#This Row],[Product ID]]="","",Sales[[#This Row],[Date]]&amp;Sales[[#This Row],[Invoice no]])</f>
        <v/>
      </c>
      <c r="E6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1" s="19" t="str">
        <f>IF(_xlfn.XLOOKUP(Sales[[#This Row],[Product Name]],Inventory[Product Name],Inventory[Sale Price],"")=0,"",_xlfn.XLOOKUP(Sales[[#This Row],[Product Name]],Inventory[Product Name],Inventory[Sale Price]))</f>
        <v/>
      </c>
      <c r="I631" s="19" t="str">
        <f>IFERROR(G631*H631,"")</f>
        <v/>
      </c>
      <c r="J631" s="19"/>
    </row>
    <row r="632" spans="1:10" ht="21">
      <c r="A632" s="14">
        <v>627</v>
      </c>
      <c r="C632" s="16"/>
      <c r="D632" s="14" t="str">
        <f>IF(Sales[[#This Row],[Product ID]]="","",Sales[[#This Row],[Date]]&amp;Sales[[#This Row],[Invoice no]])</f>
        <v/>
      </c>
      <c r="E6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2" s="19" t="str">
        <f>IF(_xlfn.XLOOKUP(Sales[[#This Row],[Product Name]],Inventory[Product Name],Inventory[Sale Price],"")=0,"",_xlfn.XLOOKUP(Sales[[#This Row],[Product Name]],Inventory[Product Name],Inventory[Sale Price]))</f>
        <v/>
      </c>
      <c r="I632" s="19" t="str">
        <f>IFERROR(G632*H632,"")</f>
        <v/>
      </c>
      <c r="J632" s="19"/>
    </row>
    <row r="633" spans="1:10" ht="21">
      <c r="A633" s="14">
        <v>628</v>
      </c>
      <c r="C633" s="16"/>
      <c r="D633" s="14" t="str">
        <f>IF(Sales[[#This Row],[Product ID]]="","",Sales[[#This Row],[Date]]&amp;Sales[[#This Row],[Invoice no]])</f>
        <v/>
      </c>
      <c r="E6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3" s="19" t="str">
        <f>IF(_xlfn.XLOOKUP(Sales[[#This Row],[Product Name]],Inventory[Product Name],Inventory[Sale Price],"")=0,"",_xlfn.XLOOKUP(Sales[[#This Row],[Product Name]],Inventory[Product Name],Inventory[Sale Price]))</f>
        <v/>
      </c>
      <c r="I633" s="19" t="str">
        <f>IFERROR(G633*H633,"")</f>
        <v/>
      </c>
      <c r="J633" s="19"/>
    </row>
    <row r="634" spans="1:10" ht="21">
      <c r="A634" s="14">
        <v>629</v>
      </c>
      <c r="C634" s="16"/>
      <c r="D634" s="14" t="str">
        <f>IF(Sales[[#This Row],[Product ID]]="","",Sales[[#This Row],[Date]]&amp;Sales[[#This Row],[Invoice no]])</f>
        <v/>
      </c>
      <c r="E6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4" s="19" t="str">
        <f>IF(_xlfn.XLOOKUP(Sales[[#This Row],[Product Name]],Inventory[Product Name],Inventory[Sale Price],"")=0,"",_xlfn.XLOOKUP(Sales[[#This Row],[Product Name]],Inventory[Product Name],Inventory[Sale Price]))</f>
        <v/>
      </c>
      <c r="I634" s="19" t="str">
        <f>IFERROR(G634*H634,"")</f>
        <v/>
      </c>
      <c r="J634" s="19"/>
    </row>
    <row r="635" spans="1:10" ht="21">
      <c r="A635" s="14">
        <v>630</v>
      </c>
      <c r="C635" s="16"/>
      <c r="D635" s="14" t="str">
        <f>IF(Sales[[#This Row],[Product ID]]="","",Sales[[#This Row],[Date]]&amp;Sales[[#This Row],[Invoice no]])</f>
        <v/>
      </c>
      <c r="E6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5" s="19" t="str">
        <f>IF(_xlfn.XLOOKUP(Sales[[#This Row],[Product Name]],Inventory[Product Name],Inventory[Sale Price],"")=0,"",_xlfn.XLOOKUP(Sales[[#This Row],[Product Name]],Inventory[Product Name],Inventory[Sale Price]))</f>
        <v/>
      </c>
      <c r="I635" s="19" t="str">
        <f>IFERROR(G635*H635,"")</f>
        <v/>
      </c>
      <c r="J635" s="19"/>
    </row>
    <row r="636" spans="1:10" ht="21">
      <c r="A636" s="14">
        <v>631</v>
      </c>
      <c r="C636" s="16"/>
      <c r="D636" s="14" t="str">
        <f>IF(Sales[[#This Row],[Product ID]]="","",Sales[[#This Row],[Date]]&amp;Sales[[#This Row],[Invoice no]])</f>
        <v/>
      </c>
      <c r="E6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6" s="19" t="str">
        <f>IF(_xlfn.XLOOKUP(Sales[[#This Row],[Product Name]],Inventory[Product Name],Inventory[Sale Price],"")=0,"",_xlfn.XLOOKUP(Sales[[#This Row],[Product Name]],Inventory[Product Name],Inventory[Sale Price]))</f>
        <v/>
      </c>
      <c r="I636" s="19" t="str">
        <f>IFERROR(G636*H636,"")</f>
        <v/>
      </c>
      <c r="J636" s="19"/>
    </row>
    <row r="637" spans="1:10" ht="21">
      <c r="A637" s="14">
        <v>632</v>
      </c>
      <c r="C637" s="16"/>
      <c r="D637" s="14" t="str">
        <f>IF(Sales[[#This Row],[Product ID]]="","",Sales[[#This Row],[Date]]&amp;Sales[[#This Row],[Invoice no]])</f>
        <v/>
      </c>
      <c r="E6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7" s="19" t="str">
        <f>IF(_xlfn.XLOOKUP(Sales[[#This Row],[Product Name]],Inventory[Product Name],Inventory[Sale Price],"")=0,"",_xlfn.XLOOKUP(Sales[[#This Row],[Product Name]],Inventory[Product Name],Inventory[Sale Price]))</f>
        <v/>
      </c>
      <c r="I637" s="19" t="str">
        <f>IFERROR(G637*H637,"")</f>
        <v/>
      </c>
      <c r="J637" s="19"/>
    </row>
    <row r="638" spans="1:10" ht="21">
      <c r="A638" s="14">
        <v>633</v>
      </c>
      <c r="C638" s="16"/>
      <c r="D638" s="14" t="str">
        <f>IF(Sales[[#This Row],[Product ID]]="","",Sales[[#This Row],[Date]]&amp;Sales[[#This Row],[Invoice no]])</f>
        <v/>
      </c>
      <c r="E6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8" s="19" t="str">
        <f>IF(_xlfn.XLOOKUP(Sales[[#This Row],[Product Name]],Inventory[Product Name],Inventory[Sale Price],"")=0,"",_xlfn.XLOOKUP(Sales[[#This Row],[Product Name]],Inventory[Product Name],Inventory[Sale Price]))</f>
        <v/>
      </c>
      <c r="I638" s="19" t="str">
        <f>IFERROR(G638*H638,"")</f>
        <v/>
      </c>
      <c r="J638" s="19"/>
    </row>
    <row r="639" spans="1:10" ht="21">
      <c r="A639" s="14">
        <v>634</v>
      </c>
      <c r="C639" s="16"/>
      <c r="D639" s="14" t="str">
        <f>IF(Sales[[#This Row],[Product ID]]="","",Sales[[#This Row],[Date]]&amp;Sales[[#This Row],[Invoice no]])</f>
        <v/>
      </c>
      <c r="E6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39" s="19" t="str">
        <f>IF(_xlfn.XLOOKUP(Sales[[#This Row],[Product Name]],Inventory[Product Name],Inventory[Sale Price],"")=0,"",_xlfn.XLOOKUP(Sales[[#This Row],[Product Name]],Inventory[Product Name],Inventory[Sale Price]))</f>
        <v/>
      </c>
      <c r="I639" s="19" t="str">
        <f>IFERROR(G639*H639,"")</f>
        <v/>
      </c>
      <c r="J639" s="19"/>
    </row>
    <row r="640" spans="1:10" ht="21">
      <c r="A640" s="14">
        <v>635</v>
      </c>
      <c r="C640" s="16"/>
      <c r="D640" s="14" t="str">
        <f>IF(Sales[[#This Row],[Product ID]]="","",Sales[[#This Row],[Date]]&amp;Sales[[#This Row],[Invoice no]])</f>
        <v/>
      </c>
      <c r="E6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0" s="19" t="str">
        <f>IF(_xlfn.XLOOKUP(Sales[[#This Row],[Product Name]],Inventory[Product Name],Inventory[Sale Price],"")=0,"",_xlfn.XLOOKUP(Sales[[#This Row],[Product Name]],Inventory[Product Name],Inventory[Sale Price]))</f>
        <v/>
      </c>
      <c r="I640" s="19" t="str">
        <f>IFERROR(G640*H640,"")</f>
        <v/>
      </c>
      <c r="J640" s="19"/>
    </row>
    <row r="641" spans="1:10" ht="21">
      <c r="A641" s="14">
        <v>636</v>
      </c>
      <c r="C641" s="16"/>
      <c r="D641" s="14" t="str">
        <f>IF(Sales[[#This Row],[Product ID]]="","",Sales[[#This Row],[Date]]&amp;Sales[[#This Row],[Invoice no]])</f>
        <v/>
      </c>
      <c r="E6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1" s="19" t="str">
        <f>IF(_xlfn.XLOOKUP(Sales[[#This Row],[Product Name]],Inventory[Product Name],Inventory[Sale Price],"")=0,"",_xlfn.XLOOKUP(Sales[[#This Row],[Product Name]],Inventory[Product Name],Inventory[Sale Price]))</f>
        <v/>
      </c>
      <c r="I641" s="19" t="str">
        <f>IFERROR(G641*H641,"")</f>
        <v/>
      </c>
      <c r="J641" s="19"/>
    </row>
    <row r="642" spans="1:10" ht="21">
      <c r="A642" s="14">
        <v>637</v>
      </c>
      <c r="C642" s="16"/>
      <c r="D642" s="14" t="str">
        <f>IF(Sales[[#This Row],[Product ID]]="","",Sales[[#This Row],[Date]]&amp;Sales[[#This Row],[Invoice no]])</f>
        <v/>
      </c>
      <c r="E6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2" s="19" t="str">
        <f>IF(_xlfn.XLOOKUP(Sales[[#This Row],[Product Name]],Inventory[Product Name],Inventory[Sale Price],"")=0,"",_xlfn.XLOOKUP(Sales[[#This Row],[Product Name]],Inventory[Product Name],Inventory[Sale Price]))</f>
        <v/>
      </c>
      <c r="I642" s="19" t="str">
        <f>IFERROR(G642*H642,"")</f>
        <v/>
      </c>
      <c r="J642" s="19"/>
    </row>
    <row r="643" spans="1:10" ht="21">
      <c r="A643" s="14">
        <v>638</v>
      </c>
      <c r="C643" s="16"/>
      <c r="D643" s="14" t="str">
        <f>IF(Sales[[#This Row],[Product ID]]="","",Sales[[#This Row],[Date]]&amp;Sales[[#This Row],[Invoice no]])</f>
        <v/>
      </c>
      <c r="E6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3" s="19" t="str">
        <f>IF(_xlfn.XLOOKUP(Sales[[#This Row],[Product Name]],Inventory[Product Name],Inventory[Sale Price],"")=0,"",_xlfn.XLOOKUP(Sales[[#This Row],[Product Name]],Inventory[Product Name],Inventory[Sale Price]))</f>
        <v/>
      </c>
      <c r="I643" s="19" t="str">
        <f>IFERROR(G643*H643,"")</f>
        <v/>
      </c>
      <c r="J643" s="19"/>
    </row>
    <row r="644" spans="1:10" ht="21">
      <c r="A644" s="14">
        <v>639</v>
      </c>
      <c r="C644" s="16"/>
      <c r="D644" s="14" t="str">
        <f>IF(Sales[[#This Row],[Product ID]]="","",Sales[[#This Row],[Date]]&amp;Sales[[#This Row],[Invoice no]])</f>
        <v/>
      </c>
      <c r="E6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4" s="19" t="str">
        <f>IF(_xlfn.XLOOKUP(Sales[[#This Row],[Product Name]],Inventory[Product Name],Inventory[Sale Price],"")=0,"",_xlfn.XLOOKUP(Sales[[#This Row],[Product Name]],Inventory[Product Name],Inventory[Sale Price]))</f>
        <v/>
      </c>
      <c r="I644" s="19" t="str">
        <f>IFERROR(G644*H644,"")</f>
        <v/>
      </c>
      <c r="J644" s="19"/>
    </row>
    <row r="645" spans="1:10" ht="21">
      <c r="A645" s="14">
        <v>640</v>
      </c>
      <c r="C645" s="16"/>
      <c r="D645" s="14" t="str">
        <f>IF(Sales[[#This Row],[Product ID]]="","",Sales[[#This Row],[Date]]&amp;Sales[[#This Row],[Invoice no]])</f>
        <v/>
      </c>
      <c r="E6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5" s="19" t="str">
        <f>IF(_xlfn.XLOOKUP(Sales[[#This Row],[Product Name]],Inventory[Product Name],Inventory[Sale Price],"")=0,"",_xlfn.XLOOKUP(Sales[[#This Row],[Product Name]],Inventory[Product Name],Inventory[Sale Price]))</f>
        <v/>
      </c>
      <c r="I645" s="19" t="str">
        <f>IFERROR(G645*H645,"")</f>
        <v/>
      </c>
      <c r="J645" s="19"/>
    </row>
    <row r="646" spans="1:10" ht="21">
      <c r="A646" s="14">
        <v>641</v>
      </c>
      <c r="C646" s="16"/>
      <c r="D646" s="14" t="str">
        <f>IF(Sales[[#This Row],[Product ID]]="","",Sales[[#This Row],[Date]]&amp;Sales[[#This Row],[Invoice no]])</f>
        <v/>
      </c>
      <c r="E6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6" s="19" t="str">
        <f>IF(_xlfn.XLOOKUP(Sales[[#This Row],[Product Name]],Inventory[Product Name],Inventory[Sale Price],"")=0,"",_xlfn.XLOOKUP(Sales[[#This Row],[Product Name]],Inventory[Product Name],Inventory[Sale Price]))</f>
        <v/>
      </c>
      <c r="I646" s="19" t="str">
        <f>IFERROR(G646*H646,"")</f>
        <v/>
      </c>
      <c r="J646" s="19"/>
    </row>
    <row r="647" spans="1:10" ht="21">
      <c r="A647" s="14">
        <v>642</v>
      </c>
      <c r="C647" s="16"/>
      <c r="D647" s="14" t="str">
        <f>IF(Sales[[#This Row],[Product ID]]="","",Sales[[#This Row],[Date]]&amp;Sales[[#This Row],[Invoice no]])</f>
        <v/>
      </c>
      <c r="E6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7" s="19" t="str">
        <f>IF(_xlfn.XLOOKUP(Sales[[#This Row],[Product Name]],Inventory[Product Name],Inventory[Sale Price],"")=0,"",_xlfn.XLOOKUP(Sales[[#This Row],[Product Name]],Inventory[Product Name],Inventory[Sale Price]))</f>
        <v/>
      </c>
      <c r="I647" s="19" t="str">
        <f>IFERROR(G647*H647,"")</f>
        <v/>
      </c>
      <c r="J647" s="19"/>
    </row>
    <row r="648" spans="1:10" ht="21">
      <c r="A648" s="14">
        <v>643</v>
      </c>
      <c r="C648" s="16"/>
      <c r="D648" s="14" t="str">
        <f>IF(Sales[[#This Row],[Product ID]]="","",Sales[[#This Row],[Date]]&amp;Sales[[#This Row],[Invoice no]])</f>
        <v/>
      </c>
      <c r="E6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8" s="19" t="str">
        <f>IF(_xlfn.XLOOKUP(Sales[[#This Row],[Product Name]],Inventory[Product Name],Inventory[Sale Price],"")=0,"",_xlfn.XLOOKUP(Sales[[#This Row],[Product Name]],Inventory[Product Name],Inventory[Sale Price]))</f>
        <v/>
      </c>
      <c r="I648" s="19" t="str">
        <f>IFERROR(G648*H648,"")</f>
        <v/>
      </c>
      <c r="J648" s="19"/>
    </row>
    <row r="649" spans="1:10" ht="21">
      <c r="A649" s="14">
        <v>644</v>
      </c>
      <c r="C649" s="16"/>
      <c r="D649" s="14" t="str">
        <f>IF(Sales[[#This Row],[Product ID]]="","",Sales[[#This Row],[Date]]&amp;Sales[[#This Row],[Invoice no]])</f>
        <v/>
      </c>
      <c r="E6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49" s="19" t="str">
        <f>IF(_xlfn.XLOOKUP(Sales[[#This Row],[Product Name]],Inventory[Product Name],Inventory[Sale Price],"")=0,"",_xlfn.XLOOKUP(Sales[[#This Row],[Product Name]],Inventory[Product Name],Inventory[Sale Price]))</f>
        <v/>
      </c>
      <c r="I649" s="19" t="str">
        <f>IFERROR(G649*H649,"")</f>
        <v/>
      </c>
      <c r="J649" s="19"/>
    </row>
    <row r="650" spans="1:10" ht="21">
      <c r="A650" s="14">
        <v>645</v>
      </c>
      <c r="C650" s="16"/>
      <c r="D650" s="14" t="str">
        <f>IF(Sales[[#This Row],[Product ID]]="","",Sales[[#This Row],[Date]]&amp;Sales[[#This Row],[Invoice no]])</f>
        <v/>
      </c>
      <c r="E6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0" s="19" t="str">
        <f>IF(_xlfn.XLOOKUP(Sales[[#This Row],[Product Name]],Inventory[Product Name],Inventory[Sale Price],"")=0,"",_xlfn.XLOOKUP(Sales[[#This Row],[Product Name]],Inventory[Product Name],Inventory[Sale Price]))</f>
        <v/>
      </c>
      <c r="I650" s="19" t="str">
        <f>IFERROR(G650*H650,"")</f>
        <v/>
      </c>
      <c r="J650" s="19"/>
    </row>
    <row r="651" spans="1:10" ht="21">
      <c r="A651" s="14">
        <v>646</v>
      </c>
      <c r="C651" s="16"/>
      <c r="D651" s="14" t="str">
        <f>IF(Sales[[#This Row],[Product ID]]="","",Sales[[#This Row],[Date]]&amp;Sales[[#This Row],[Invoice no]])</f>
        <v/>
      </c>
      <c r="E6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1" s="19" t="str">
        <f>IF(_xlfn.XLOOKUP(Sales[[#This Row],[Product Name]],Inventory[Product Name],Inventory[Sale Price],"")=0,"",_xlfn.XLOOKUP(Sales[[#This Row],[Product Name]],Inventory[Product Name],Inventory[Sale Price]))</f>
        <v/>
      </c>
      <c r="I651" s="19" t="str">
        <f>IFERROR(G651*H651,"")</f>
        <v/>
      </c>
      <c r="J651" s="19"/>
    </row>
    <row r="652" spans="1:10" ht="21">
      <c r="A652" s="14">
        <v>647</v>
      </c>
      <c r="C652" s="16"/>
      <c r="D652" s="14" t="str">
        <f>IF(Sales[[#This Row],[Product ID]]="","",Sales[[#This Row],[Date]]&amp;Sales[[#This Row],[Invoice no]])</f>
        <v/>
      </c>
      <c r="E6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2" s="19" t="str">
        <f>IF(_xlfn.XLOOKUP(Sales[[#This Row],[Product Name]],Inventory[Product Name],Inventory[Sale Price],"")=0,"",_xlfn.XLOOKUP(Sales[[#This Row],[Product Name]],Inventory[Product Name],Inventory[Sale Price]))</f>
        <v/>
      </c>
      <c r="I652" s="19" t="str">
        <f>IFERROR(G652*H652,"")</f>
        <v/>
      </c>
      <c r="J652" s="19"/>
    </row>
    <row r="653" spans="1:10" ht="21">
      <c r="A653" s="14">
        <v>648</v>
      </c>
      <c r="C653" s="16"/>
      <c r="D653" s="14" t="str">
        <f>IF(Sales[[#This Row],[Product ID]]="","",Sales[[#This Row],[Date]]&amp;Sales[[#This Row],[Invoice no]])</f>
        <v/>
      </c>
      <c r="E6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3" s="19" t="str">
        <f>IF(_xlfn.XLOOKUP(Sales[[#This Row],[Product Name]],Inventory[Product Name],Inventory[Sale Price],"")=0,"",_xlfn.XLOOKUP(Sales[[#This Row],[Product Name]],Inventory[Product Name],Inventory[Sale Price]))</f>
        <v/>
      </c>
      <c r="I653" s="19" t="str">
        <f>IFERROR(G653*H653,"")</f>
        <v/>
      </c>
      <c r="J653" s="19"/>
    </row>
    <row r="654" spans="1:10" ht="21">
      <c r="A654" s="14">
        <v>649</v>
      </c>
      <c r="C654" s="16"/>
      <c r="D654" s="14" t="str">
        <f>IF(Sales[[#This Row],[Product ID]]="","",Sales[[#This Row],[Date]]&amp;Sales[[#This Row],[Invoice no]])</f>
        <v/>
      </c>
      <c r="E6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4" s="19" t="str">
        <f>IF(_xlfn.XLOOKUP(Sales[[#This Row],[Product Name]],Inventory[Product Name],Inventory[Sale Price],"")=0,"",_xlfn.XLOOKUP(Sales[[#This Row],[Product Name]],Inventory[Product Name],Inventory[Sale Price]))</f>
        <v/>
      </c>
      <c r="I654" s="19" t="str">
        <f>IFERROR(G654*H654,"")</f>
        <v/>
      </c>
      <c r="J654" s="19"/>
    </row>
    <row r="655" spans="1:10" ht="21">
      <c r="A655" s="14">
        <v>650</v>
      </c>
      <c r="C655" s="16"/>
      <c r="D655" s="14" t="str">
        <f>IF(Sales[[#This Row],[Product ID]]="","",Sales[[#This Row],[Date]]&amp;Sales[[#This Row],[Invoice no]])</f>
        <v/>
      </c>
      <c r="E6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5" s="19" t="str">
        <f>IF(_xlfn.XLOOKUP(Sales[[#This Row],[Product Name]],Inventory[Product Name],Inventory[Sale Price],"")=0,"",_xlfn.XLOOKUP(Sales[[#This Row],[Product Name]],Inventory[Product Name],Inventory[Sale Price]))</f>
        <v/>
      </c>
      <c r="I655" s="19" t="str">
        <f>IFERROR(G655*H655,"")</f>
        <v/>
      </c>
      <c r="J655" s="19"/>
    </row>
    <row r="656" spans="1:10" ht="21">
      <c r="A656" s="14">
        <v>651</v>
      </c>
      <c r="C656" s="16"/>
      <c r="D656" s="14" t="str">
        <f>IF(Sales[[#This Row],[Product ID]]="","",Sales[[#This Row],[Date]]&amp;Sales[[#This Row],[Invoice no]])</f>
        <v/>
      </c>
      <c r="E6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6" s="19" t="str">
        <f>IF(_xlfn.XLOOKUP(Sales[[#This Row],[Product Name]],Inventory[Product Name],Inventory[Sale Price],"")=0,"",_xlfn.XLOOKUP(Sales[[#This Row],[Product Name]],Inventory[Product Name],Inventory[Sale Price]))</f>
        <v/>
      </c>
      <c r="I656" s="19" t="str">
        <f>IFERROR(G656*H656,"")</f>
        <v/>
      </c>
      <c r="J656" s="19"/>
    </row>
    <row r="657" spans="1:10" ht="21">
      <c r="A657" s="14">
        <v>652</v>
      </c>
      <c r="C657" s="16"/>
      <c r="D657" s="14" t="str">
        <f>IF(Sales[[#This Row],[Product ID]]="","",Sales[[#This Row],[Date]]&amp;Sales[[#This Row],[Invoice no]])</f>
        <v/>
      </c>
      <c r="E6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7" s="19" t="str">
        <f>IF(_xlfn.XLOOKUP(Sales[[#This Row],[Product Name]],Inventory[Product Name],Inventory[Sale Price],"")=0,"",_xlfn.XLOOKUP(Sales[[#This Row],[Product Name]],Inventory[Product Name],Inventory[Sale Price]))</f>
        <v/>
      </c>
      <c r="I657" s="19" t="str">
        <f>IFERROR(G657*H657,"")</f>
        <v/>
      </c>
      <c r="J657" s="19"/>
    </row>
    <row r="658" spans="1:10" ht="21">
      <c r="A658" s="14">
        <v>653</v>
      </c>
      <c r="C658" s="16"/>
      <c r="D658" s="14" t="str">
        <f>IF(Sales[[#This Row],[Product ID]]="","",Sales[[#This Row],[Date]]&amp;Sales[[#This Row],[Invoice no]])</f>
        <v/>
      </c>
      <c r="E6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8" s="19" t="str">
        <f>IF(_xlfn.XLOOKUP(Sales[[#This Row],[Product Name]],Inventory[Product Name],Inventory[Sale Price],"")=0,"",_xlfn.XLOOKUP(Sales[[#This Row],[Product Name]],Inventory[Product Name],Inventory[Sale Price]))</f>
        <v/>
      </c>
      <c r="I658" s="19" t="str">
        <f>IFERROR(G658*H658,"")</f>
        <v/>
      </c>
      <c r="J658" s="19"/>
    </row>
    <row r="659" spans="1:10" ht="21">
      <c r="A659" s="14">
        <v>654</v>
      </c>
      <c r="C659" s="16"/>
      <c r="D659" s="14" t="str">
        <f>IF(Sales[[#This Row],[Product ID]]="","",Sales[[#This Row],[Date]]&amp;Sales[[#This Row],[Invoice no]])</f>
        <v/>
      </c>
      <c r="E6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59" s="19" t="str">
        <f>IF(_xlfn.XLOOKUP(Sales[[#This Row],[Product Name]],Inventory[Product Name],Inventory[Sale Price],"")=0,"",_xlfn.XLOOKUP(Sales[[#This Row],[Product Name]],Inventory[Product Name],Inventory[Sale Price]))</f>
        <v/>
      </c>
      <c r="I659" s="19" t="str">
        <f>IFERROR(G659*H659,"")</f>
        <v/>
      </c>
      <c r="J659" s="19"/>
    </row>
    <row r="660" spans="1:10" ht="21">
      <c r="A660" s="14">
        <v>655</v>
      </c>
      <c r="C660" s="16"/>
      <c r="D660" s="14" t="str">
        <f>IF(Sales[[#This Row],[Product ID]]="","",Sales[[#This Row],[Date]]&amp;Sales[[#This Row],[Invoice no]])</f>
        <v/>
      </c>
      <c r="E6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0" s="19" t="str">
        <f>IF(_xlfn.XLOOKUP(Sales[[#This Row],[Product Name]],Inventory[Product Name],Inventory[Sale Price],"")=0,"",_xlfn.XLOOKUP(Sales[[#This Row],[Product Name]],Inventory[Product Name],Inventory[Sale Price]))</f>
        <v/>
      </c>
      <c r="I660" s="19" t="str">
        <f>IFERROR(G660*H660,"")</f>
        <v/>
      </c>
      <c r="J660" s="19"/>
    </row>
    <row r="661" spans="1:10" ht="21">
      <c r="A661" s="14">
        <v>656</v>
      </c>
      <c r="C661" s="16"/>
      <c r="D661" s="14" t="str">
        <f>IF(Sales[[#This Row],[Product ID]]="","",Sales[[#This Row],[Date]]&amp;Sales[[#This Row],[Invoice no]])</f>
        <v/>
      </c>
      <c r="E6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1" s="19" t="str">
        <f>IF(_xlfn.XLOOKUP(Sales[[#This Row],[Product Name]],Inventory[Product Name],Inventory[Sale Price],"")=0,"",_xlfn.XLOOKUP(Sales[[#This Row],[Product Name]],Inventory[Product Name],Inventory[Sale Price]))</f>
        <v/>
      </c>
      <c r="I661" s="19" t="str">
        <f>IFERROR(G661*H661,"")</f>
        <v/>
      </c>
      <c r="J661" s="19"/>
    </row>
    <row r="662" spans="1:10" ht="21">
      <c r="A662" s="14">
        <v>657</v>
      </c>
      <c r="C662" s="16"/>
      <c r="D662" s="14" t="str">
        <f>IF(Sales[[#This Row],[Product ID]]="","",Sales[[#This Row],[Date]]&amp;Sales[[#This Row],[Invoice no]])</f>
        <v/>
      </c>
      <c r="E6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2" s="19" t="str">
        <f>IF(_xlfn.XLOOKUP(Sales[[#This Row],[Product Name]],Inventory[Product Name],Inventory[Sale Price],"")=0,"",_xlfn.XLOOKUP(Sales[[#This Row],[Product Name]],Inventory[Product Name],Inventory[Sale Price]))</f>
        <v/>
      </c>
      <c r="I662" s="19" t="str">
        <f>IFERROR(G662*H662,"")</f>
        <v/>
      </c>
      <c r="J662" s="19"/>
    </row>
    <row r="663" spans="1:10" ht="21">
      <c r="A663" s="14">
        <v>658</v>
      </c>
      <c r="C663" s="16"/>
      <c r="D663" s="14" t="str">
        <f>IF(Sales[[#This Row],[Product ID]]="","",Sales[[#This Row],[Date]]&amp;Sales[[#This Row],[Invoice no]])</f>
        <v/>
      </c>
      <c r="E6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3" s="19" t="str">
        <f>IF(_xlfn.XLOOKUP(Sales[[#This Row],[Product Name]],Inventory[Product Name],Inventory[Sale Price],"")=0,"",_xlfn.XLOOKUP(Sales[[#This Row],[Product Name]],Inventory[Product Name],Inventory[Sale Price]))</f>
        <v/>
      </c>
      <c r="I663" s="19" t="str">
        <f>IFERROR(G663*H663,"")</f>
        <v/>
      </c>
      <c r="J663" s="19"/>
    </row>
    <row r="664" spans="1:10" ht="21">
      <c r="A664" s="14">
        <v>659</v>
      </c>
      <c r="C664" s="16"/>
      <c r="D664" s="14" t="str">
        <f>IF(Sales[[#This Row],[Product ID]]="","",Sales[[#This Row],[Date]]&amp;Sales[[#This Row],[Invoice no]])</f>
        <v/>
      </c>
      <c r="E6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4" s="19" t="str">
        <f>IF(_xlfn.XLOOKUP(Sales[[#This Row],[Product Name]],Inventory[Product Name],Inventory[Sale Price],"")=0,"",_xlfn.XLOOKUP(Sales[[#This Row],[Product Name]],Inventory[Product Name],Inventory[Sale Price]))</f>
        <v/>
      </c>
      <c r="I664" s="19" t="str">
        <f>IFERROR(G664*H664,"")</f>
        <v/>
      </c>
      <c r="J664" s="19"/>
    </row>
    <row r="665" spans="1:10" ht="21">
      <c r="A665" s="14">
        <v>660</v>
      </c>
      <c r="C665" s="16"/>
      <c r="D665" s="14" t="str">
        <f>IF(Sales[[#This Row],[Product ID]]="","",Sales[[#This Row],[Date]]&amp;Sales[[#This Row],[Invoice no]])</f>
        <v/>
      </c>
      <c r="E6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5" s="19" t="str">
        <f>IF(_xlfn.XLOOKUP(Sales[[#This Row],[Product Name]],Inventory[Product Name],Inventory[Sale Price],"")=0,"",_xlfn.XLOOKUP(Sales[[#This Row],[Product Name]],Inventory[Product Name],Inventory[Sale Price]))</f>
        <v/>
      </c>
      <c r="I665" s="19" t="str">
        <f>IFERROR(G665*H665,"")</f>
        <v/>
      </c>
      <c r="J665" s="19"/>
    </row>
    <row r="666" spans="1:10" ht="21">
      <c r="A666" s="14">
        <v>661</v>
      </c>
      <c r="C666" s="16"/>
      <c r="D666" s="14" t="str">
        <f>IF(Sales[[#This Row],[Product ID]]="","",Sales[[#This Row],[Date]]&amp;Sales[[#This Row],[Invoice no]])</f>
        <v/>
      </c>
      <c r="E6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6" s="19" t="str">
        <f>IF(_xlfn.XLOOKUP(Sales[[#This Row],[Product Name]],Inventory[Product Name],Inventory[Sale Price],"")=0,"",_xlfn.XLOOKUP(Sales[[#This Row],[Product Name]],Inventory[Product Name],Inventory[Sale Price]))</f>
        <v/>
      </c>
      <c r="I666" s="19" t="str">
        <f>IFERROR(G666*H666,"")</f>
        <v/>
      </c>
      <c r="J666" s="19"/>
    </row>
    <row r="667" spans="1:10" ht="21">
      <c r="A667" s="14">
        <v>662</v>
      </c>
      <c r="C667" s="16"/>
      <c r="D667" s="14" t="str">
        <f>IF(Sales[[#This Row],[Product ID]]="","",Sales[[#This Row],[Date]]&amp;Sales[[#This Row],[Invoice no]])</f>
        <v/>
      </c>
      <c r="E6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7" s="19" t="str">
        <f>IF(_xlfn.XLOOKUP(Sales[[#This Row],[Product Name]],Inventory[Product Name],Inventory[Sale Price],"")=0,"",_xlfn.XLOOKUP(Sales[[#This Row],[Product Name]],Inventory[Product Name],Inventory[Sale Price]))</f>
        <v/>
      </c>
      <c r="I667" s="19" t="str">
        <f>IFERROR(G667*H667,"")</f>
        <v/>
      </c>
      <c r="J667" s="19"/>
    </row>
    <row r="668" spans="1:10" ht="21">
      <c r="A668" s="14">
        <v>663</v>
      </c>
      <c r="C668" s="16"/>
      <c r="D668" s="14" t="str">
        <f>IF(Sales[[#This Row],[Product ID]]="","",Sales[[#This Row],[Date]]&amp;Sales[[#This Row],[Invoice no]])</f>
        <v/>
      </c>
      <c r="E6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8" s="19" t="str">
        <f>IF(_xlfn.XLOOKUP(Sales[[#This Row],[Product Name]],Inventory[Product Name],Inventory[Sale Price],"")=0,"",_xlfn.XLOOKUP(Sales[[#This Row],[Product Name]],Inventory[Product Name],Inventory[Sale Price]))</f>
        <v/>
      </c>
      <c r="I668" s="19" t="str">
        <f>IFERROR(G668*H668,"")</f>
        <v/>
      </c>
      <c r="J668" s="19"/>
    </row>
    <row r="669" spans="1:10" ht="21">
      <c r="A669" s="14">
        <v>664</v>
      </c>
      <c r="C669" s="16"/>
      <c r="D669" s="14" t="str">
        <f>IF(Sales[[#This Row],[Product ID]]="","",Sales[[#This Row],[Date]]&amp;Sales[[#This Row],[Invoice no]])</f>
        <v/>
      </c>
      <c r="E6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69" s="19" t="str">
        <f>IF(_xlfn.XLOOKUP(Sales[[#This Row],[Product Name]],Inventory[Product Name],Inventory[Sale Price],"")=0,"",_xlfn.XLOOKUP(Sales[[#This Row],[Product Name]],Inventory[Product Name],Inventory[Sale Price]))</f>
        <v/>
      </c>
      <c r="I669" s="19" t="str">
        <f>IFERROR(G669*H669,"")</f>
        <v/>
      </c>
      <c r="J669" s="19"/>
    </row>
    <row r="670" spans="1:10" ht="21">
      <c r="A670" s="14">
        <v>665</v>
      </c>
      <c r="C670" s="16"/>
      <c r="D670" s="14" t="str">
        <f>IF(Sales[[#This Row],[Product ID]]="","",Sales[[#This Row],[Date]]&amp;Sales[[#This Row],[Invoice no]])</f>
        <v/>
      </c>
      <c r="E6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0" s="19" t="str">
        <f>IF(_xlfn.XLOOKUP(Sales[[#This Row],[Product Name]],Inventory[Product Name],Inventory[Sale Price],"")=0,"",_xlfn.XLOOKUP(Sales[[#This Row],[Product Name]],Inventory[Product Name],Inventory[Sale Price]))</f>
        <v/>
      </c>
      <c r="I670" s="19" t="str">
        <f>IFERROR(G670*H670,"")</f>
        <v/>
      </c>
      <c r="J670" s="19"/>
    </row>
    <row r="671" spans="1:10" ht="21">
      <c r="A671" s="14">
        <v>666</v>
      </c>
      <c r="C671" s="16"/>
      <c r="D671" s="14" t="str">
        <f>IF(Sales[[#This Row],[Product ID]]="","",Sales[[#This Row],[Date]]&amp;Sales[[#This Row],[Invoice no]])</f>
        <v/>
      </c>
      <c r="E6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1" s="19" t="str">
        <f>IF(_xlfn.XLOOKUP(Sales[[#This Row],[Product Name]],Inventory[Product Name],Inventory[Sale Price],"")=0,"",_xlfn.XLOOKUP(Sales[[#This Row],[Product Name]],Inventory[Product Name],Inventory[Sale Price]))</f>
        <v/>
      </c>
      <c r="I671" s="19" t="str">
        <f>IFERROR(G671*H671,"")</f>
        <v/>
      </c>
      <c r="J671" s="19"/>
    </row>
    <row r="672" spans="1:10" ht="21">
      <c r="A672" s="14">
        <v>667</v>
      </c>
      <c r="C672" s="16"/>
      <c r="D672" s="14" t="str">
        <f>IF(Sales[[#This Row],[Product ID]]="","",Sales[[#This Row],[Date]]&amp;Sales[[#This Row],[Invoice no]])</f>
        <v/>
      </c>
      <c r="E6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2" s="19" t="str">
        <f>IF(_xlfn.XLOOKUP(Sales[[#This Row],[Product Name]],Inventory[Product Name],Inventory[Sale Price],"")=0,"",_xlfn.XLOOKUP(Sales[[#This Row],[Product Name]],Inventory[Product Name],Inventory[Sale Price]))</f>
        <v/>
      </c>
      <c r="I672" s="19" t="str">
        <f>IFERROR(G672*H672,"")</f>
        <v/>
      </c>
      <c r="J672" s="19"/>
    </row>
    <row r="673" spans="1:10" ht="21">
      <c r="A673" s="14">
        <v>668</v>
      </c>
      <c r="C673" s="16"/>
      <c r="D673" s="14" t="str">
        <f>IF(Sales[[#This Row],[Product ID]]="","",Sales[[#This Row],[Date]]&amp;Sales[[#This Row],[Invoice no]])</f>
        <v/>
      </c>
      <c r="E6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3" s="19" t="str">
        <f>IF(_xlfn.XLOOKUP(Sales[[#This Row],[Product Name]],Inventory[Product Name],Inventory[Sale Price],"")=0,"",_xlfn.XLOOKUP(Sales[[#This Row],[Product Name]],Inventory[Product Name],Inventory[Sale Price]))</f>
        <v/>
      </c>
      <c r="I673" s="19" t="str">
        <f>IFERROR(G673*H673,"")</f>
        <v/>
      </c>
      <c r="J673" s="19"/>
    </row>
    <row r="674" spans="1:10" ht="21">
      <c r="A674" s="14">
        <v>669</v>
      </c>
      <c r="C674" s="16"/>
      <c r="D674" s="14" t="str">
        <f>IF(Sales[[#This Row],[Product ID]]="","",Sales[[#This Row],[Date]]&amp;Sales[[#This Row],[Invoice no]])</f>
        <v/>
      </c>
      <c r="E6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4" s="19" t="str">
        <f>IF(_xlfn.XLOOKUP(Sales[[#This Row],[Product Name]],Inventory[Product Name],Inventory[Sale Price],"")=0,"",_xlfn.XLOOKUP(Sales[[#This Row],[Product Name]],Inventory[Product Name],Inventory[Sale Price]))</f>
        <v/>
      </c>
      <c r="I674" s="19" t="str">
        <f>IFERROR(G674*H674,"")</f>
        <v/>
      </c>
      <c r="J674" s="19"/>
    </row>
    <row r="675" spans="1:10" ht="21">
      <c r="A675" s="14">
        <v>670</v>
      </c>
      <c r="C675" s="16"/>
      <c r="D675" s="14" t="str">
        <f>IF(Sales[[#This Row],[Product ID]]="","",Sales[[#This Row],[Date]]&amp;Sales[[#This Row],[Invoice no]])</f>
        <v/>
      </c>
      <c r="E6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5" s="19" t="str">
        <f>IF(_xlfn.XLOOKUP(Sales[[#This Row],[Product Name]],Inventory[Product Name],Inventory[Sale Price],"")=0,"",_xlfn.XLOOKUP(Sales[[#This Row],[Product Name]],Inventory[Product Name],Inventory[Sale Price]))</f>
        <v/>
      </c>
      <c r="I675" s="19" t="str">
        <f>IFERROR(G675*H675,"")</f>
        <v/>
      </c>
      <c r="J675" s="19"/>
    </row>
    <row r="676" spans="1:10" ht="21">
      <c r="A676" s="14">
        <v>671</v>
      </c>
      <c r="C676" s="16"/>
      <c r="D676" s="14" t="str">
        <f>IF(Sales[[#This Row],[Product ID]]="","",Sales[[#This Row],[Date]]&amp;Sales[[#This Row],[Invoice no]])</f>
        <v/>
      </c>
      <c r="E6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6" s="19" t="str">
        <f>IF(_xlfn.XLOOKUP(Sales[[#This Row],[Product Name]],Inventory[Product Name],Inventory[Sale Price],"")=0,"",_xlfn.XLOOKUP(Sales[[#This Row],[Product Name]],Inventory[Product Name],Inventory[Sale Price]))</f>
        <v/>
      </c>
      <c r="I676" s="19" t="str">
        <f>IFERROR(G676*H676,"")</f>
        <v/>
      </c>
      <c r="J676" s="19"/>
    </row>
    <row r="677" spans="1:10" ht="21">
      <c r="A677" s="14">
        <v>672</v>
      </c>
      <c r="C677" s="16"/>
      <c r="D677" s="14" t="str">
        <f>IF(Sales[[#This Row],[Product ID]]="","",Sales[[#This Row],[Date]]&amp;Sales[[#This Row],[Invoice no]])</f>
        <v/>
      </c>
      <c r="E6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7" s="19" t="str">
        <f>IF(_xlfn.XLOOKUP(Sales[[#This Row],[Product Name]],Inventory[Product Name],Inventory[Sale Price],"")=0,"",_xlfn.XLOOKUP(Sales[[#This Row],[Product Name]],Inventory[Product Name],Inventory[Sale Price]))</f>
        <v/>
      </c>
      <c r="I677" s="19" t="str">
        <f>IFERROR(G677*H677,"")</f>
        <v/>
      </c>
      <c r="J677" s="19"/>
    </row>
    <row r="678" spans="1:10" ht="21">
      <c r="A678" s="14">
        <v>673</v>
      </c>
      <c r="C678" s="16"/>
      <c r="D678" s="14" t="str">
        <f>IF(Sales[[#This Row],[Product ID]]="","",Sales[[#This Row],[Date]]&amp;Sales[[#This Row],[Invoice no]])</f>
        <v/>
      </c>
      <c r="E6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8" s="19" t="str">
        <f>IF(_xlfn.XLOOKUP(Sales[[#This Row],[Product Name]],Inventory[Product Name],Inventory[Sale Price],"")=0,"",_xlfn.XLOOKUP(Sales[[#This Row],[Product Name]],Inventory[Product Name],Inventory[Sale Price]))</f>
        <v/>
      </c>
      <c r="I678" s="19" t="str">
        <f>IFERROR(G678*H678,"")</f>
        <v/>
      </c>
      <c r="J678" s="19"/>
    </row>
    <row r="679" spans="1:10" ht="21">
      <c r="A679" s="14">
        <v>674</v>
      </c>
      <c r="C679" s="16"/>
      <c r="D679" s="14" t="str">
        <f>IF(Sales[[#This Row],[Product ID]]="","",Sales[[#This Row],[Date]]&amp;Sales[[#This Row],[Invoice no]])</f>
        <v/>
      </c>
      <c r="E6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79" s="19" t="str">
        <f>IF(_xlfn.XLOOKUP(Sales[[#This Row],[Product Name]],Inventory[Product Name],Inventory[Sale Price],"")=0,"",_xlfn.XLOOKUP(Sales[[#This Row],[Product Name]],Inventory[Product Name],Inventory[Sale Price]))</f>
        <v/>
      </c>
      <c r="I679" s="19" t="str">
        <f>IFERROR(G679*H679,"")</f>
        <v/>
      </c>
      <c r="J679" s="19"/>
    </row>
    <row r="680" spans="1:10" ht="21">
      <c r="A680" s="14">
        <v>675</v>
      </c>
      <c r="C680" s="16"/>
      <c r="D680" s="14" t="str">
        <f>IF(Sales[[#This Row],[Product ID]]="","",Sales[[#This Row],[Date]]&amp;Sales[[#This Row],[Invoice no]])</f>
        <v/>
      </c>
      <c r="E6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0" s="19" t="str">
        <f>IF(_xlfn.XLOOKUP(Sales[[#This Row],[Product Name]],Inventory[Product Name],Inventory[Sale Price],"")=0,"",_xlfn.XLOOKUP(Sales[[#This Row],[Product Name]],Inventory[Product Name],Inventory[Sale Price]))</f>
        <v/>
      </c>
      <c r="I680" s="19" t="str">
        <f>IFERROR(G680*H680,"")</f>
        <v/>
      </c>
      <c r="J680" s="19"/>
    </row>
    <row r="681" spans="1:10" ht="21">
      <c r="A681" s="14">
        <v>676</v>
      </c>
      <c r="C681" s="16"/>
      <c r="D681" s="14" t="str">
        <f>IF(Sales[[#This Row],[Product ID]]="","",Sales[[#This Row],[Date]]&amp;Sales[[#This Row],[Invoice no]])</f>
        <v/>
      </c>
      <c r="E6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1" s="19" t="str">
        <f>IF(_xlfn.XLOOKUP(Sales[[#This Row],[Product Name]],Inventory[Product Name],Inventory[Sale Price],"")=0,"",_xlfn.XLOOKUP(Sales[[#This Row],[Product Name]],Inventory[Product Name],Inventory[Sale Price]))</f>
        <v/>
      </c>
      <c r="I681" s="19" t="str">
        <f>IFERROR(G681*H681,"")</f>
        <v/>
      </c>
      <c r="J681" s="19"/>
    </row>
    <row r="682" spans="1:10" ht="21">
      <c r="A682" s="14">
        <v>677</v>
      </c>
      <c r="C682" s="16"/>
      <c r="D682" s="14" t="str">
        <f>IF(Sales[[#This Row],[Product ID]]="","",Sales[[#This Row],[Date]]&amp;Sales[[#This Row],[Invoice no]])</f>
        <v/>
      </c>
      <c r="E6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2" s="19" t="str">
        <f>IF(_xlfn.XLOOKUP(Sales[[#This Row],[Product Name]],Inventory[Product Name],Inventory[Sale Price],"")=0,"",_xlfn.XLOOKUP(Sales[[#This Row],[Product Name]],Inventory[Product Name],Inventory[Sale Price]))</f>
        <v/>
      </c>
      <c r="I682" s="19" t="str">
        <f>IFERROR(G682*H682,"")</f>
        <v/>
      </c>
      <c r="J682" s="19"/>
    </row>
    <row r="683" spans="1:10" ht="21">
      <c r="A683" s="14">
        <v>678</v>
      </c>
      <c r="C683" s="16"/>
      <c r="D683" s="14" t="str">
        <f>IF(Sales[[#This Row],[Product ID]]="","",Sales[[#This Row],[Date]]&amp;Sales[[#This Row],[Invoice no]])</f>
        <v/>
      </c>
      <c r="E6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3" s="19" t="str">
        <f>IF(_xlfn.XLOOKUP(Sales[[#This Row],[Product Name]],Inventory[Product Name],Inventory[Sale Price],"")=0,"",_xlfn.XLOOKUP(Sales[[#This Row],[Product Name]],Inventory[Product Name],Inventory[Sale Price]))</f>
        <v/>
      </c>
      <c r="I683" s="19" t="str">
        <f>IFERROR(G683*H683,"")</f>
        <v/>
      </c>
      <c r="J683" s="19"/>
    </row>
    <row r="684" spans="1:10" ht="21">
      <c r="A684" s="14">
        <v>679</v>
      </c>
      <c r="C684" s="16"/>
      <c r="D684" s="14" t="str">
        <f>IF(Sales[[#This Row],[Product ID]]="","",Sales[[#This Row],[Date]]&amp;Sales[[#This Row],[Invoice no]])</f>
        <v/>
      </c>
      <c r="E6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4" s="19" t="str">
        <f>IF(_xlfn.XLOOKUP(Sales[[#This Row],[Product Name]],Inventory[Product Name],Inventory[Sale Price],"")=0,"",_xlfn.XLOOKUP(Sales[[#This Row],[Product Name]],Inventory[Product Name],Inventory[Sale Price]))</f>
        <v/>
      </c>
      <c r="I684" s="19" t="str">
        <f>IFERROR(G684*H684,"")</f>
        <v/>
      </c>
      <c r="J684" s="19"/>
    </row>
    <row r="685" spans="1:10" ht="21">
      <c r="A685" s="14">
        <v>680</v>
      </c>
      <c r="C685" s="16"/>
      <c r="D685" s="14" t="str">
        <f>IF(Sales[[#This Row],[Product ID]]="","",Sales[[#This Row],[Date]]&amp;Sales[[#This Row],[Invoice no]])</f>
        <v/>
      </c>
      <c r="E6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5" s="19" t="str">
        <f>IF(_xlfn.XLOOKUP(Sales[[#This Row],[Product Name]],Inventory[Product Name],Inventory[Sale Price],"")=0,"",_xlfn.XLOOKUP(Sales[[#This Row],[Product Name]],Inventory[Product Name],Inventory[Sale Price]))</f>
        <v/>
      </c>
      <c r="I685" s="19" t="str">
        <f>IFERROR(G685*H685,"")</f>
        <v/>
      </c>
      <c r="J685" s="19"/>
    </row>
    <row r="686" spans="1:10" ht="21">
      <c r="A686" s="14">
        <v>681</v>
      </c>
      <c r="C686" s="16"/>
      <c r="D686" s="14" t="str">
        <f>IF(Sales[[#This Row],[Product ID]]="","",Sales[[#This Row],[Date]]&amp;Sales[[#This Row],[Invoice no]])</f>
        <v/>
      </c>
      <c r="E6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6" s="19" t="str">
        <f>IF(_xlfn.XLOOKUP(Sales[[#This Row],[Product Name]],Inventory[Product Name],Inventory[Sale Price],"")=0,"",_xlfn.XLOOKUP(Sales[[#This Row],[Product Name]],Inventory[Product Name],Inventory[Sale Price]))</f>
        <v/>
      </c>
      <c r="I686" s="19" t="str">
        <f>IFERROR(G686*H686,"")</f>
        <v/>
      </c>
      <c r="J686" s="19"/>
    </row>
    <row r="687" spans="1:10" ht="21">
      <c r="A687" s="14">
        <v>682</v>
      </c>
      <c r="C687" s="16"/>
      <c r="D687" s="14" t="str">
        <f>IF(Sales[[#This Row],[Product ID]]="","",Sales[[#This Row],[Date]]&amp;Sales[[#This Row],[Invoice no]])</f>
        <v/>
      </c>
      <c r="E6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7" s="19" t="str">
        <f>IF(_xlfn.XLOOKUP(Sales[[#This Row],[Product Name]],Inventory[Product Name],Inventory[Sale Price],"")=0,"",_xlfn.XLOOKUP(Sales[[#This Row],[Product Name]],Inventory[Product Name],Inventory[Sale Price]))</f>
        <v/>
      </c>
      <c r="I687" s="19" t="str">
        <f>IFERROR(G687*H687,"")</f>
        <v/>
      </c>
      <c r="J687" s="19"/>
    </row>
    <row r="688" spans="1:10" ht="21">
      <c r="A688" s="14">
        <v>683</v>
      </c>
      <c r="C688" s="16"/>
      <c r="D688" s="14" t="str">
        <f>IF(Sales[[#This Row],[Product ID]]="","",Sales[[#This Row],[Date]]&amp;Sales[[#This Row],[Invoice no]])</f>
        <v/>
      </c>
      <c r="E6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8" s="19" t="str">
        <f>IF(_xlfn.XLOOKUP(Sales[[#This Row],[Product Name]],Inventory[Product Name],Inventory[Sale Price],"")=0,"",_xlfn.XLOOKUP(Sales[[#This Row],[Product Name]],Inventory[Product Name],Inventory[Sale Price]))</f>
        <v/>
      </c>
      <c r="I688" s="19" t="str">
        <f>IFERROR(G688*H688,"")</f>
        <v/>
      </c>
      <c r="J688" s="19"/>
    </row>
    <row r="689" spans="1:10" ht="21">
      <c r="A689" s="14">
        <v>684</v>
      </c>
      <c r="C689" s="16"/>
      <c r="D689" s="14" t="str">
        <f>IF(Sales[[#This Row],[Product ID]]="","",Sales[[#This Row],[Date]]&amp;Sales[[#This Row],[Invoice no]])</f>
        <v/>
      </c>
      <c r="E6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89" s="19" t="str">
        <f>IF(_xlfn.XLOOKUP(Sales[[#This Row],[Product Name]],Inventory[Product Name],Inventory[Sale Price],"")=0,"",_xlfn.XLOOKUP(Sales[[#This Row],[Product Name]],Inventory[Product Name],Inventory[Sale Price]))</f>
        <v/>
      </c>
      <c r="I689" s="19" t="str">
        <f>IFERROR(G689*H689,"")</f>
        <v/>
      </c>
      <c r="J689" s="19"/>
    </row>
    <row r="690" spans="1:10" ht="21">
      <c r="A690" s="14">
        <v>685</v>
      </c>
      <c r="C690" s="16"/>
      <c r="D690" s="14" t="str">
        <f>IF(Sales[[#This Row],[Product ID]]="","",Sales[[#This Row],[Date]]&amp;Sales[[#This Row],[Invoice no]])</f>
        <v/>
      </c>
      <c r="E6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0" s="19" t="str">
        <f>IF(_xlfn.XLOOKUP(Sales[[#This Row],[Product Name]],Inventory[Product Name],Inventory[Sale Price],"")=0,"",_xlfn.XLOOKUP(Sales[[#This Row],[Product Name]],Inventory[Product Name],Inventory[Sale Price]))</f>
        <v/>
      </c>
      <c r="I690" s="19" t="str">
        <f>IFERROR(G690*H690,"")</f>
        <v/>
      </c>
      <c r="J690" s="19"/>
    </row>
    <row r="691" spans="1:10" ht="21">
      <c r="A691" s="14">
        <v>686</v>
      </c>
      <c r="C691" s="16"/>
      <c r="D691" s="14" t="str">
        <f>IF(Sales[[#This Row],[Product ID]]="","",Sales[[#This Row],[Date]]&amp;Sales[[#This Row],[Invoice no]])</f>
        <v/>
      </c>
      <c r="E6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1" s="19" t="str">
        <f>IF(_xlfn.XLOOKUP(Sales[[#This Row],[Product Name]],Inventory[Product Name],Inventory[Sale Price],"")=0,"",_xlfn.XLOOKUP(Sales[[#This Row],[Product Name]],Inventory[Product Name],Inventory[Sale Price]))</f>
        <v/>
      </c>
      <c r="I691" s="19" t="str">
        <f>IFERROR(G691*H691,"")</f>
        <v/>
      </c>
      <c r="J691" s="19"/>
    </row>
    <row r="692" spans="1:10" ht="21">
      <c r="A692" s="14">
        <v>687</v>
      </c>
      <c r="C692" s="16"/>
      <c r="D692" s="14" t="str">
        <f>IF(Sales[[#This Row],[Product ID]]="","",Sales[[#This Row],[Date]]&amp;Sales[[#This Row],[Invoice no]])</f>
        <v/>
      </c>
      <c r="E6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2" s="19" t="str">
        <f>IF(_xlfn.XLOOKUP(Sales[[#This Row],[Product Name]],Inventory[Product Name],Inventory[Sale Price],"")=0,"",_xlfn.XLOOKUP(Sales[[#This Row],[Product Name]],Inventory[Product Name],Inventory[Sale Price]))</f>
        <v/>
      </c>
      <c r="I692" s="19" t="str">
        <f>IFERROR(G692*H692,"")</f>
        <v/>
      </c>
      <c r="J692" s="19"/>
    </row>
    <row r="693" spans="1:10" ht="21">
      <c r="A693" s="14">
        <v>688</v>
      </c>
      <c r="C693" s="16"/>
      <c r="D693" s="14" t="str">
        <f>IF(Sales[[#This Row],[Product ID]]="","",Sales[[#This Row],[Date]]&amp;Sales[[#This Row],[Invoice no]])</f>
        <v/>
      </c>
      <c r="E6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3" s="19" t="str">
        <f>IF(_xlfn.XLOOKUP(Sales[[#This Row],[Product Name]],Inventory[Product Name],Inventory[Sale Price],"")=0,"",_xlfn.XLOOKUP(Sales[[#This Row],[Product Name]],Inventory[Product Name],Inventory[Sale Price]))</f>
        <v/>
      </c>
      <c r="I693" s="19" t="str">
        <f>IFERROR(G693*H693,"")</f>
        <v/>
      </c>
      <c r="J693" s="19"/>
    </row>
    <row r="694" spans="1:10" ht="21">
      <c r="A694" s="14">
        <v>689</v>
      </c>
      <c r="C694" s="16"/>
      <c r="D694" s="14" t="str">
        <f>IF(Sales[[#This Row],[Product ID]]="","",Sales[[#This Row],[Date]]&amp;Sales[[#This Row],[Invoice no]])</f>
        <v/>
      </c>
      <c r="E6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4" s="19" t="str">
        <f>IF(_xlfn.XLOOKUP(Sales[[#This Row],[Product Name]],Inventory[Product Name],Inventory[Sale Price],"")=0,"",_xlfn.XLOOKUP(Sales[[#This Row],[Product Name]],Inventory[Product Name],Inventory[Sale Price]))</f>
        <v/>
      </c>
      <c r="I694" s="19" t="str">
        <f>IFERROR(G694*H694,"")</f>
        <v/>
      </c>
      <c r="J694" s="19"/>
    </row>
    <row r="695" spans="1:10" ht="21">
      <c r="A695" s="14">
        <v>690</v>
      </c>
      <c r="C695" s="16"/>
      <c r="D695" s="14" t="str">
        <f>IF(Sales[[#This Row],[Product ID]]="","",Sales[[#This Row],[Date]]&amp;Sales[[#This Row],[Invoice no]])</f>
        <v/>
      </c>
      <c r="E6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5" s="19" t="str">
        <f>IF(_xlfn.XLOOKUP(Sales[[#This Row],[Product Name]],Inventory[Product Name],Inventory[Sale Price],"")=0,"",_xlfn.XLOOKUP(Sales[[#This Row],[Product Name]],Inventory[Product Name],Inventory[Sale Price]))</f>
        <v/>
      </c>
      <c r="I695" s="19" t="str">
        <f>IFERROR(G695*H695,"")</f>
        <v/>
      </c>
      <c r="J695" s="19"/>
    </row>
    <row r="696" spans="1:10" ht="21">
      <c r="A696" s="14">
        <v>691</v>
      </c>
      <c r="C696" s="16"/>
      <c r="D696" s="14" t="str">
        <f>IF(Sales[[#This Row],[Product ID]]="","",Sales[[#This Row],[Date]]&amp;Sales[[#This Row],[Invoice no]])</f>
        <v/>
      </c>
      <c r="E6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6" s="19" t="str">
        <f>IF(_xlfn.XLOOKUP(Sales[[#This Row],[Product Name]],Inventory[Product Name],Inventory[Sale Price],"")=0,"",_xlfn.XLOOKUP(Sales[[#This Row],[Product Name]],Inventory[Product Name],Inventory[Sale Price]))</f>
        <v/>
      </c>
      <c r="I696" s="19" t="str">
        <f>IFERROR(G696*H696,"")</f>
        <v/>
      </c>
      <c r="J696" s="19"/>
    </row>
    <row r="697" spans="1:10" ht="21">
      <c r="A697" s="14">
        <v>692</v>
      </c>
      <c r="C697" s="16"/>
      <c r="D697" s="14" t="str">
        <f>IF(Sales[[#This Row],[Product ID]]="","",Sales[[#This Row],[Date]]&amp;Sales[[#This Row],[Invoice no]])</f>
        <v/>
      </c>
      <c r="E6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7" s="19" t="str">
        <f>IF(_xlfn.XLOOKUP(Sales[[#This Row],[Product Name]],Inventory[Product Name],Inventory[Sale Price],"")=0,"",_xlfn.XLOOKUP(Sales[[#This Row],[Product Name]],Inventory[Product Name],Inventory[Sale Price]))</f>
        <v/>
      </c>
      <c r="I697" s="19" t="str">
        <f>IFERROR(G697*H697,"")</f>
        <v/>
      </c>
      <c r="J697" s="19"/>
    </row>
    <row r="698" spans="1:10" ht="21">
      <c r="A698" s="14">
        <v>693</v>
      </c>
      <c r="C698" s="16"/>
      <c r="D698" s="14" t="str">
        <f>IF(Sales[[#This Row],[Product ID]]="","",Sales[[#This Row],[Date]]&amp;Sales[[#This Row],[Invoice no]])</f>
        <v/>
      </c>
      <c r="E6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8" s="19" t="str">
        <f>IF(_xlfn.XLOOKUP(Sales[[#This Row],[Product Name]],Inventory[Product Name],Inventory[Sale Price],"")=0,"",_xlfn.XLOOKUP(Sales[[#This Row],[Product Name]],Inventory[Product Name],Inventory[Sale Price]))</f>
        <v/>
      </c>
      <c r="I698" s="19" t="str">
        <f>IFERROR(G698*H698,"")</f>
        <v/>
      </c>
      <c r="J698" s="19"/>
    </row>
    <row r="699" spans="1:10" ht="21">
      <c r="A699" s="14">
        <v>694</v>
      </c>
      <c r="C699" s="16"/>
      <c r="D699" s="14" t="str">
        <f>IF(Sales[[#This Row],[Product ID]]="","",Sales[[#This Row],[Date]]&amp;Sales[[#This Row],[Invoice no]])</f>
        <v/>
      </c>
      <c r="E6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699" s="19" t="str">
        <f>IF(_xlfn.XLOOKUP(Sales[[#This Row],[Product Name]],Inventory[Product Name],Inventory[Sale Price],"")=0,"",_xlfn.XLOOKUP(Sales[[#This Row],[Product Name]],Inventory[Product Name],Inventory[Sale Price]))</f>
        <v/>
      </c>
      <c r="I699" s="19" t="str">
        <f>IFERROR(G699*H699,"")</f>
        <v/>
      </c>
      <c r="J699" s="19"/>
    </row>
    <row r="700" spans="1:10" ht="21">
      <c r="A700" s="14">
        <v>695</v>
      </c>
      <c r="C700" s="16"/>
      <c r="D700" s="14" t="str">
        <f>IF(Sales[[#This Row],[Product ID]]="","",Sales[[#This Row],[Date]]&amp;Sales[[#This Row],[Invoice no]])</f>
        <v/>
      </c>
      <c r="E7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0" s="19" t="str">
        <f>IF(_xlfn.XLOOKUP(Sales[[#This Row],[Product Name]],Inventory[Product Name],Inventory[Sale Price],"")=0,"",_xlfn.XLOOKUP(Sales[[#This Row],[Product Name]],Inventory[Product Name],Inventory[Sale Price]))</f>
        <v/>
      </c>
      <c r="I700" s="19" t="str">
        <f>IFERROR(G700*H700,"")</f>
        <v/>
      </c>
      <c r="J700" s="19"/>
    </row>
    <row r="701" spans="1:10" ht="21">
      <c r="A701" s="14">
        <v>696</v>
      </c>
      <c r="C701" s="16"/>
      <c r="D701" s="14" t="str">
        <f>IF(Sales[[#This Row],[Product ID]]="","",Sales[[#This Row],[Date]]&amp;Sales[[#This Row],[Invoice no]])</f>
        <v/>
      </c>
      <c r="E7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1" s="19" t="str">
        <f>IF(_xlfn.XLOOKUP(Sales[[#This Row],[Product Name]],Inventory[Product Name],Inventory[Sale Price],"")=0,"",_xlfn.XLOOKUP(Sales[[#This Row],[Product Name]],Inventory[Product Name],Inventory[Sale Price]))</f>
        <v/>
      </c>
      <c r="I701" s="19" t="str">
        <f>IFERROR(G701*H701,"")</f>
        <v/>
      </c>
      <c r="J701" s="19"/>
    </row>
    <row r="702" spans="1:10" ht="21">
      <c r="A702" s="14">
        <v>697</v>
      </c>
      <c r="C702" s="16"/>
      <c r="D702" s="14" t="str">
        <f>IF(Sales[[#This Row],[Product ID]]="","",Sales[[#This Row],[Date]]&amp;Sales[[#This Row],[Invoice no]])</f>
        <v/>
      </c>
      <c r="E7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2" s="19" t="str">
        <f>IF(_xlfn.XLOOKUP(Sales[[#This Row],[Product Name]],Inventory[Product Name],Inventory[Sale Price],"")=0,"",_xlfn.XLOOKUP(Sales[[#This Row],[Product Name]],Inventory[Product Name],Inventory[Sale Price]))</f>
        <v/>
      </c>
      <c r="I702" s="19" t="str">
        <f>IFERROR(G702*H702,"")</f>
        <v/>
      </c>
      <c r="J702" s="19"/>
    </row>
    <row r="703" spans="1:10" ht="21">
      <c r="A703" s="14">
        <v>698</v>
      </c>
      <c r="C703" s="16"/>
      <c r="D703" s="14" t="str">
        <f>IF(Sales[[#This Row],[Product ID]]="","",Sales[[#This Row],[Date]]&amp;Sales[[#This Row],[Invoice no]])</f>
        <v/>
      </c>
      <c r="E7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3" s="19" t="str">
        <f>IF(_xlfn.XLOOKUP(Sales[[#This Row],[Product Name]],Inventory[Product Name],Inventory[Sale Price],"")=0,"",_xlfn.XLOOKUP(Sales[[#This Row],[Product Name]],Inventory[Product Name],Inventory[Sale Price]))</f>
        <v/>
      </c>
      <c r="I703" s="19" t="str">
        <f>IFERROR(G703*H703,"")</f>
        <v/>
      </c>
      <c r="J703" s="19"/>
    </row>
    <row r="704" spans="1:10" ht="21">
      <c r="A704" s="14">
        <v>699</v>
      </c>
      <c r="C704" s="16"/>
      <c r="D704" s="14" t="str">
        <f>IF(Sales[[#This Row],[Product ID]]="","",Sales[[#This Row],[Date]]&amp;Sales[[#This Row],[Invoice no]])</f>
        <v/>
      </c>
      <c r="E7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4" s="19" t="str">
        <f>IF(_xlfn.XLOOKUP(Sales[[#This Row],[Product Name]],Inventory[Product Name],Inventory[Sale Price],"")=0,"",_xlfn.XLOOKUP(Sales[[#This Row],[Product Name]],Inventory[Product Name],Inventory[Sale Price]))</f>
        <v/>
      </c>
      <c r="I704" s="19" t="str">
        <f>IFERROR(G704*H704,"")</f>
        <v/>
      </c>
      <c r="J704" s="19"/>
    </row>
    <row r="705" spans="1:10" ht="21">
      <c r="A705" s="14">
        <v>700</v>
      </c>
      <c r="C705" s="16"/>
      <c r="D705" s="14" t="str">
        <f>IF(Sales[[#This Row],[Product ID]]="","",Sales[[#This Row],[Date]]&amp;Sales[[#This Row],[Invoice no]])</f>
        <v/>
      </c>
      <c r="E7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5" s="19" t="str">
        <f>IF(_xlfn.XLOOKUP(Sales[[#This Row],[Product Name]],Inventory[Product Name],Inventory[Sale Price],"")=0,"",_xlfn.XLOOKUP(Sales[[#This Row],[Product Name]],Inventory[Product Name],Inventory[Sale Price]))</f>
        <v/>
      </c>
      <c r="I705" s="19" t="str">
        <f>IFERROR(G705*H705,"")</f>
        <v/>
      </c>
      <c r="J705" s="19"/>
    </row>
    <row r="706" spans="1:10" ht="21">
      <c r="A706" s="14">
        <v>701</v>
      </c>
      <c r="C706" s="16"/>
      <c r="D706" s="14" t="str">
        <f>IF(Sales[[#This Row],[Product ID]]="","",Sales[[#This Row],[Date]]&amp;Sales[[#This Row],[Invoice no]])</f>
        <v/>
      </c>
      <c r="E7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6" s="19" t="str">
        <f>IF(_xlfn.XLOOKUP(Sales[[#This Row],[Product Name]],Inventory[Product Name],Inventory[Sale Price],"")=0,"",_xlfn.XLOOKUP(Sales[[#This Row],[Product Name]],Inventory[Product Name],Inventory[Sale Price]))</f>
        <v/>
      </c>
      <c r="I706" s="19" t="str">
        <f>IFERROR(G706*H706,"")</f>
        <v/>
      </c>
      <c r="J706" s="19"/>
    </row>
    <row r="707" spans="1:10" ht="21">
      <c r="A707" s="14">
        <v>702</v>
      </c>
      <c r="C707" s="16"/>
      <c r="D707" s="14" t="str">
        <f>IF(Sales[[#This Row],[Product ID]]="","",Sales[[#This Row],[Date]]&amp;Sales[[#This Row],[Invoice no]])</f>
        <v/>
      </c>
      <c r="E7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7" s="19" t="str">
        <f>IF(_xlfn.XLOOKUP(Sales[[#This Row],[Product Name]],Inventory[Product Name],Inventory[Sale Price],"")=0,"",_xlfn.XLOOKUP(Sales[[#This Row],[Product Name]],Inventory[Product Name],Inventory[Sale Price]))</f>
        <v/>
      </c>
      <c r="I707" s="19" t="str">
        <f>IFERROR(G707*H707,"")</f>
        <v/>
      </c>
      <c r="J707" s="19"/>
    </row>
    <row r="708" spans="1:10" ht="21">
      <c r="A708" s="14">
        <v>703</v>
      </c>
      <c r="C708" s="16"/>
      <c r="D708" s="14" t="str">
        <f>IF(Sales[[#This Row],[Product ID]]="","",Sales[[#This Row],[Date]]&amp;Sales[[#This Row],[Invoice no]])</f>
        <v/>
      </c>
      <c r="E7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8" s="19" t="str">
        <f>IF(_xlfn.XLOOKUP(Sales[[#This Row],[Product Name]],Inventory[Product Name],Inventory[Sale Price],"")=0,"",_xlfn.XLOOKUP(Sales[[#This Row],[Product Name]],Inventory[Product Name],Inventory[Sale Price]))</f>
        <v/>
      </c>
      <c r="I708" s="19" t="str">
        <f>IFERROR(G708*H708,"")</f>
        <v/>
      </c>
      <c r="J708" s="19"/>
    </row>
    <row r="709" spans="1:10" ht="21">
      <c r="A709" s="14">
        <v>704</v>
      </c>
      <c r="C709" s="16"/>
      <c r="D709" s="14" t="str">
        <f>IF(Sales[[#This Row],[Product ID]]="","",Sales[[#This Row],[Date]]&amp;Sales[[#This Row],[Invoice no]])</f>
        <v/>
      </c>
      <c r="E7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09" s="19" t="str">
        <f>IF(_xlfn.XLOOKUP(Sales[[#This Row],[Product Name]],Inventory[Product Name],Inventory[Sale Price],"")=0,"",_xlfn.XLOOKUP(Sales[[#This Row],[Product Name]],Inventory[Product Name],Inventory[Sale Price]))</f>
        <v/>
      </c>
      <c r="I709" s="19" t="str">
        <f>IFERROR(G709*H709,"")</f>
        <v/>
      </c>
      <c r="J709" s="19"/>
    </row>
    <row r="710" spans="1:10" ht="21">
      <c r="A710" s="14">
        <v>705</v>
      </c>
      <c r="C710" s="16"/>
      <c r="D710" s="14" t="str">
        <f>IF(Sales[[#This Row],[Product ID]]="","",Sales[[#This Row],[Date]]&amp;Sales[[#This Row],[Invoice no]])</f>
        <v/>
      </c>
      <c r="E7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0" s="19" t="str">
        <f>IF(_xlfn.XLOOKUP(Sales[[#This Row],[Product Name]],Inventory[Product Name],Inventory[Sale Price],"")=0,"",_xlfn.XLOOKUP(Sales[[#This Row],[Product Name]],Inventory[Product Name],Inventory[Sale Price]))</f>
        <v/>
      </c>
      <c r="I710" s="19" t="str">
        <f>IFERROR(G710*H710,"")</f>
        <v/>
      </c>
      <c r="J710" s="19"/>
    </row>
    <row r="711" spans="1:10" ht="21">
      <c r="A711" s="14">
        <v>706</v>
      </c>
      <c r="C711" s="16"/>
      <c r="D711" s="14" t="str">
        <f>IF(Sales[[#This Row],[Product ID]]="","",Sales[[#This Row],[Date]]&amp;Sales[[#This Row],[Invoice no]])</f>
        <v/>
      </c>
      <c r="E7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1" s="19" t="str">
        <f>IF(_xlfn.XLOOKUP(Sales[[#This Row],[Product Name]],Inventory[Product Name],Inventory[Sale Price],"")=0,"",_xlfn.XLOOKUP(Sales[[#This Row],[Product Name]],Inventory[Product Name],Inventory[Sale Price]))</f>
        <v/>
      </c>
      <c r="I711" s="19" t="str">
        <f>IFERROR(G711*H711,"")</f>
        <v/>
      </c>
      <c r="J711" s="19"/>
    </row>
    <row r="712" spans="1:10" ht="21">
      <c r="A712" s="14">
        <v>707</v>
      </c>
      <c r="C712" s="16"/>
      <c r="D712" s="14" t="str">
        <f>IF(Sales[[#This Row],[Product ID]]="","",Sales[[#This Row],[Date]]&amp;Sales[[#This Row],[Invoice no]])</f>
        <v/>
      </c>
      <c r="E7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2" s="19" t="str">
        <f>IF(_xlfn.XLOOKUP(Sales[[#This Row],[Product Name]],Inventory[Product Name],Inventory[Sale Price],"")=0,"",_xlfn.XLOOKUP(Sales[[#This Row],[Product Name]],Inventory[Product Name],Inventory[Sale Price]))</f>
        <v/>
      </c>
      <c r="I712" s="19" t="str">
        <f>IFERROR(G712*H712,"")</f>
        <v/>
      </c>
      <c r="J712" s="19"/>
    </row>
    <row r="713" spans="1:10" ht="21">
      <c r="A713" s="14">
        <v>708</v>
      </c>
      <c r="C713" s="16"/>
      <c r="D713" s="14" t="str">
        <f>IF(Sales[[#This Row],[Product ID]]="","",Sales[[#This Row],[Date]]&amp;Sales[[#This Row],[Invoice no]])</f>
        <v/>
      </c>
      <c r="E7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3" s="19" t="str">
        <f>IF(_xlfn.XLOOKUP(Sales[[#This Row],[Product Name]],Inventory[Product Name],Inventory[Sale Price],"")=0,"",_xlfn.XLOOKUP(Sales[[#This Row],[Product Name]],Inventory[Product Name],Inventory[Sale Price]))</f>
        <v/>
      </c>
      <c r="I713" s="19" t="str">
        <f>IFERROR(G713*H713,"")</f>
        <v/>
      </c>
      <c r="J713" s="19"/>
    </row>
    <row r="714" spans="1:10" ht="21">
      <c r="A714" s="14">
        <v>709</v>
      </c>
      <c r="C714" s="16"/>
      <c r="D714" s="14" t="str">
        <f>IF(Sales[[#This Row],[Product ID]]="","",Sales[[#This Row],[Date]]&amp;Sales[[#This Row],[Invoice no]])</f>
        <v/>
      </c>
      <c r="E7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4" s="19" t="str">
        <f>IF(_xlfn.XLOOKUP(Sales[[#This Row],[Product Name]],Inventory[Product Name],Inventory[Sale Price],"")=0,"",_xlfn.XLOOKUP(Sales[[#This Row],[Product Name]],Inventory[Product Name],Inventory[Sale Price]))</f>
        <v/>
      </c>
      <c r="I714" s="19" t="str">
        <f>IFERROR(G714*H714,"")</f>
        <v/>
      </c>
      <c r="J714" s="19"/>
    </row>
    <row r="715" spans="1:10" ht="21">
      <c r="A715" s="14">
        <v>710</v>
      </c>
      <c r="C715" s="16"/>
      <c r="D715" s="14" t="str">
        <f>IF(Sales[[#This Row],[Product ID]]="","",Sales[[#This Row],[Date]]&amp;Sales[[#This Row],[Invoice no]])</f>
        <v/>
      </c>
      <c r="E7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5" s="19" t="str">
        <f>IF(_xlfn.XLOOKUP(Sales[[#This Row],[Product Name]],Inventory[Product Name],Inventory[Sale Price],"")=0,"",_xlfn.XLOOKUP(Sales[[#This Row],[Product Name]],Inventory[Product Name],Inventory[Sale Price]))</f>
        <v/>
      </c>
      <c r="I715" s="19" t="str">
        <f>IFERROR(G715*H715,"")</f>
        <v/>
      </c>
      <c r="J715" s="19"/>
    </row>
    <row r="716" spans="1:10" ht="21">
      <c r="A716" s="14">
        <v>711</v>
      </c>
      <c r="C716" s="16"/>
      <c r="D716" s="14" t="str">
        <f>IF(Sales[[#This Row],[Product ID]]="","",Sales[[#This Row],[Date]]&amp;Sales[[#This Row],[Invoice no]])</f>
        <v/>
      </c>
      <c r="E7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6" s="19" t="str">
        <f>IF(_xlfn.XLOOKUP(Sales[[#This Row],[Product Name]],Inventory[Product Name],Inventory[Sale Price],"")=0,"",_xlfn.XLOOKUP(Sales[[#This Row],[Product Name]],Inventory[Product Name],Inventory[Sale Price]))</f>
        <v/>
      </c>
      <c r="I716" s="19" t="str">
        <f>IFERROR(G716*H716,"")</f>
        <v/>
      </c>
      <c r="J716" s="19"/>
    </row>
    <row r="717" spans="1:10" ht="21">
      <c r="A717" s="14">
        <v>712</v>
      </c>
      <c r="C717" s="16"/>
      <c r="D717" s="14" t="str">
        <f>IF(Sales[[#This Row],[Product ID]]="","",Sales[[#This Row],[Date]]&amp;Sales[[#This Row],[Invoice no]])</f>
        <v/>
      </c>
      <c r="E7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7" s="19" t="str">
        <f>IF(_xlfn.XLOOKUP(Sales[[#This Row],[Product Name]],Inventory[Product Name],Inventory[Sale Price],"")=0,"",_xlfn.XLOOKUP(Sales[[#This Row],[Product Name]],Inventory[Product Name],Inventory[Sale Price]))</f>
        <v/>
      </c>
      <c r="I717" s="19" t="str">
        <f>IFERROR(G717*H717,"")</f>
        <v/>
      </c>
      <c r="J717" s="19"/>
    </row>
    <row r="718" spans="1:10" ht="21">
      <c r="A718" s="14">
        <v>713</v>
      </c>
      <c r="C718" s="16"/>
      <c r="D718" s="14" t="str">
        <f>IF(Sales[[#This Row],[Product ID]]="","",Sales[[#This Row],[Date]]&amp;Sales[[#This Row],[Invoice no]])</f>
        <v/>
      </c>
      <c r="E7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8" s="19" t="str">
        <f>IF(_xlfn.XLOOKUP(Sales[[#This Row],[Product Name]],Inventory[Product Name],Inventory[Sale Price],"")=0,"",_xlfn.XLOOKUP(Sales[[#This Row],[Product Name]],Inventory[Product Name],Inventory[Sale Price]))</f>
        <v/>
      </c>
      <c r="I718" s="19" t="str">
        <f>IFERROR(G718*H718,"")</f>
        <v/>
      </c>
      <c r="J718" s="19"/>
    </row>
    <row r="719" spans="1:10" ht="21">
      <c r="A719" s="14">
        <v>714</v>
      </c>
      <c r="C719" s="16"/>
      <c r="D719" s="14" t="str">
        <f>IF(Sales[[#This Row],[Product ID]]="","",Sales[[#This Row],[Date]]&amp;Sales[[#This Row],[Invoice no]])</f>
        <v/>
      </c>
      <c r="E7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19" s="19" t="str">
        <f>IF(_xlfn.XLOOKUP(Sales[[#This Row],[Product Name]],Inventory[Product Name],Inventory[Sale Price],"")=0,"",_xlfn.XLOOKUP(Sales[[#This Row],[Product Name]],Inventory[Product Name],Inventory[Sale Price]))</f>
        <v/>
      </c>
      <c r="I719" s="19" t="str">
        <f>IFERROR(G719*H719,"")</f>
        <v/>
      </c>
      <c r="J719" s="19"/>
    </row>
    <row r="720" spans="1:10" ht="21">
      <c r="A720" s="14">
        <v>715</v>
      </c>
      <c r="C720" s="16"/>
      <c r="D720" s="14" t="str">
        <f>IF(Sales[[#This Row],[Product ID]]="","",Sales[[#This Row],[Date]]&amp;Sales[[#This Row],[Invoice no]])</f>
        <v/>
      </c>
      <c r="E7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0" s="19" t="str">
        <f>IF(_xlfn.XLOOKUP(Sales[[#This Row],[Product Name]],Inventory[Product Name],Inventory[Sale Price],"")=0,"",_xlfn.XLOOKUP(Sales[[#This Row],[Product Name]],Inventory[Product Name],Inventory[Sale Price]))</f>
        <v/>
      </c>
      <c r="I720" s="19" t="str">
        <f>IFERROR(G720*H720,"")</f>
        <v/>
      </c>
      <c r="J720" s="19"/>
    </row>
    <row r="721" spans="1:10" ht="21">
      <c r="A721" s="14">
        <v>716</v>
      </c>
      <c r="C721" s="16"/>
      <c r="D721" s="14" t="str">
        <f>IF(Sales[[#This Row],[Product ID]]="","",Sales[[#This Row],[Date]]&amp;Sales[[#This Row],[Invoice no]])</f>
        <v/>
      </c>
      <c r="E7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1" s="19" t="str">
        <f>IF(_xlfn.XLOOKUP(Sales[[#This Row],[Product Name]],Inventory[Product Name],Inventory[Sale Price],"")=0,"",_xlfn.XLOOKUP(Sales[[#This Row],[Product Name]],Inventory[Product Name],Inventory[Sale Price]))</f>
        <v/>
      </c>
      <c r="I721" s="19" t="str">
        <f>IFERROR(G721*H721,"")</f>
        <v/>
      </c>
      <c r="J721" s="19"/>
    </row>
    <row r="722" spans="1:10" ht="21">
      <c r="A722" s="14">
        <v>717</v>
      </c>
      <c r="C722" s="16"/>
      <c r="D722" s="14" t="str">
        <f>IF(Sales[[#This Row],[Product ID]]="","",Sales[[#This Row],[Date]]&amp;Sales[[#This Row],[Invoice no]])</f>
        <v/>
      </c>
      <c r="E7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2" s="19" t="str">
        <f>IF(_xlfn.XLOOKUP(Sales[[#This Row],[Product Name]],Inventory[Product Name],Inventory[Sale Price],"")=0,"",_xlfn.XLOOKUP(Sales[[#This Row],[Product Name]],Inventory[Product Name],Inventory[Sale Price]))</f>
        <v/>
      </c>
      <c r="I722" s="19" t="str">
        <f>IFERROR(G722*H722,"")</f>
        <v/>
      </c>
      <c r="J722" s="19"/>
    </row>
    <row r="723" spans="1:10" ht="21">
      <c r="A723" s="14">
        <v>718</v>
      </c>
      <c r="C723" s="16"/>
      <c r="D723" s="14" t="str">
        <f>IF(Sales[[#This Row],[Product ID]]="","",Sales[[#This Row],[Date]]&amp;Sales[[#This Row],[Invoice no]])</f>
        <v/>
      </c>
      <c r="E7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3" s="19" t="str">
        <f>IF(_xlfn.XLOOKUP(Sales[[#This Row],[Product Name]],Inventory[Product Name],Inventory[Sale Price],"")=0,"",_xlfn.XLOOKUP(Sales[[#This Row],[Product Name]],Inventory[Product Name],Inventory[Sale Price]))</f>
        <v/>
      </c>
      <c r="I723" s="19" t="str">
        <f>IFERROR(G723*H723,"")</f>
        <v/>
      </c>
      <c r="J723" s="19"/>
    </row>
    <row r="724" spans="1:10" ht="21">
      <c r="A724" s="14">
        <v>719</v>
      </c>
      <c r="C724" s="16"/>
      <c r="D724" s="14" t="str">
        <f>IF(Sales[[#This Row],[Product ID]]="","",Sales[[#This Row],[Date]]&amp;Sales[[#This Row],[Invoice no]])</f>
        <v/>
      </c>
      <c r="E7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4" s="19" t="str">
        <f>IF(_xlfn.XLOOKUP(Sales[[#This Row],[Product Name]],Inventory[Product Name],Inventory[Sale Price],"")=0,"",_xlfn.XLOOKUP(Sales[[#This Row],[Product Name]],Inventory[Product Name],Inventory[Sale Price]))</f>
        <v/>
      </c>
      <c r="I724" s="19" t="str">
        <f>IFERROR(G724*H724,"")</f>
        <v/>
      </c>
      <c r="J724" s="19"/>
    </row>
    <row r="725" spans="1:10" ht="21">
      <c r="A725" s="14">
        <v>720</v>
      </c>
      <c r="C725" s="16"/>
      <c r="D725" s="14" t="str">
        <f>IF(Sales[[#This Row],[Product ID]]="","",Sales[[#This Row],[Date]]&amp;Sales[[#This Row],[Invoice no]])</f>
        <v/>
      </c>
      <c r="E7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5" s="19" t="str">
        <f>IF(_xlfn.XLOOKUP(Sales[[#This Row],[Product Name]],Inventory[Product Name],Inventory[Sale Price],"")=0,"",_xlfn.XLOOKUP(Sales[[#This Row],[Product Name]],Inventory[Product Name],Inventory[Sale Price]))</f>
        <v/>
      </c>
      <c r="I725" s="19" t="str">
        <f>IFERROR(G725*H725,"")</f>
        <v/>
      </c>
      <c r="J725" s="19"/>
    </row>
    <row r="726" spans="1:10" ht="21">
      <c r="A726" s="14">
        <v>721</v>
      </c>
      <c r="C726" s="16"/>
      <c r="D726" s="14" t="str">
        <f>IF(Sales[[#This Row],[Product ID]]="","",Sales[[#This Row],[Date]]&amp;Sales[[#This Row],[Invoice no]])</f>
        <v/>
      </c>
      <c r="E7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6" s="19" t="str">
        <f>IF(_xlfn.XLOOKUP(Sales[[#This Row],[Product Name]],Inventory[Product Name],Inventory[Sale Price],"")=0,"",_xlfn.XLOOKUP(Sales[[#This Row],[Product Name]],Inventory[Product Name],Inventory[Sale Price]))</f>
        <v/>
      </c>
      <c r="I726" s="19" t="str">
        <f>IFERROR(G726*H726,"")</f>
        <v/>
      </c>
      <c r="J726" s="19"/>
    </row>
    <row r="727" spans="1:10" ht="21">
      <c r="A727" s="14">
        <v>722</v>
      </c>
      <c r="C727" s="16"/>
      <c r="D727" s="14" t="str">
        <f>IF(Sales[[#This Row],[Product ID]]="","",Sales[[#This Row],[Date]]&amp;Sales[[#This Row],[Invoice no]])</f>
        <v/>
      </c>
      <c r="E7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7" s="19" t="str">
        <f>IF(_xlfn.XLOOKUP(Sales[[#This Row],[Product Name]],Inventory[Product Name],Inventory[Sale Price],"")=0,"",_xlfn.XLOOKUP(Sales[[#This Row],[Product Name]],Inventory[Product Name],Inventory[Sale Price]))</f>
        <v/>
      </c>
      <c r="I727" s="19" t="str">
        <f>IFERROR(G727*H727,"")</f>
        <v/>
      </c>
      <c r="J727" s="19"/>
    </row>
    <row r="728" spans="1:10" ht="21">
      <c r="A728" s="14">
        <v>723</v>
      </c>
      <c r="C728" s="16"/>
      <c r="D728" s="14" t="str">
        <f>IF(Sales[[#This Row],[Product ID]]="","",Sales[[#This Row],[Date]]&amp;Sales[[#This Row],[Invoice no]])</f>
        <v/>
      </c>
      <c r="E7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8" s="19" t="str">
        <f>IF(_xlfn.XLOOKUP(Sales[[#This Row],[Product Name]],Inventory[Product Name],Inventory[Sale Price],"")=0,"",_xlfn.XLOOKUP(Sales[[#This Row],[Product Name]],Inventory[Product Name],Inventory[Sale Price]))</f>
        <v/>
      </c>
      <c r="I728" s="19" t="str">
        <f>IFERROR(G728*H728,"")</f>
        <v/>
      </c>
      <c r="J728" s="19"/>
    </row>
    <row r="729" spans="1:10" ht="21">
      <c r="A729" s="14">
        <v>724</v>
      </c>
      <c r="C729" s="16"/>
      <c r="D729" s="14" t="str">
        <f>IF(Sales[[#This Row],[Product ID]]="","",Sales[[#This Row],[Date]]&amp;Sales[[#This Row],[Invoice no]])</f>
        <v/>
      </c>
      <c r="E7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29" s="19" t="str">
        <f>IF(_xlfn.XLOOKUP(Sales[[#This Row],[Product Name]],Inventory[Product Name],Inventory[Sale Price],"")=0,"",_xlfn.XLOOKUP(Sales[[#This Row],[Product Name]],Inventory[Product Name],Inventory[Sale Price]))</f>
        <v/>
      </c>
      <c r="I729" s="19" t="str">
        <f>IFERROR(G729*H729,"")</f>
        <v/>
      </c>
      <c r="J729" s="19"/>
    </row>
    <row r="730" spans="1:10" ht="21">
      <c r="A730" s="14">
        <v>725</v>
      </c>
      <c r="C730" s="16"/>
      <c r="D730" s="14" t="str">
        <f>IF(Sales[[#This Row],[Product ID]]="","",Sales[[#This Row],[Date]]&amp;Sales[[#This Row],[Invoice no]])</f>
        <v/>
      </c>
      <c r="E7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0" s="19" t="str">
        <f>IF(_xlfn.XLOOKUP(Sales[[#This Row],[Product Name]],Inventory[Product Name],Inventory[Sale Price],"")=0,"",_xlfn.XLOOKUP(Sales[[#This Row],[Product Name]],Inventory[Product Name],Inventory[Sale Price]))</f>
        <v/>
      </c>
      <c r="I730" s="19" t="str">
        <f>IFERROR(G730*H730,"")</f>
        <v/>
      </c>
      <c r="J730" s="19"/>
    </row>
    <row r="731" spans="1:10" ht="21">
      <c r="A731" s="14">
        <v>726</v>
      </c>
      <c r="C731" s="16"/>
      <c r="D731" s="14" t="str">
        <f>IF(Sales[[#This Row],[Product ID]]="","",Sales[[#This Row],[Date]]&amp;Sales[[#This Row],[Invoice no]])</f>
        <v/>
      </c>
      <c r="E7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1" s="19" t="str">
        <f>IF(_xlfn.XLOOKUP(Sales[[#This Row],[Product Name]],Inventory[Product Name],Inventory[Sale Price],"")=0,"",_xlfn.XLOOKUP(Sales[[#This Row],[Product Name]],Inventory[Product Name],Inventory[Sale Price]))</f>
        <v/>
      </c>
      <c r="I731" s="19" t="str">
        <f>IFERROR(G731*H731,"")</f>
        <v/>
      </c>
      <c r="J731" s="19"/>
    </row>
    <row r="732" spans="1:10" ht="21">
      <c r="A732" s="14">
        <v>727</v>
      </c>
      <c r="C732" s="16"/>
      <c r="D732" s="14" t="str">
        <f>IF(Sales[[#This Row],[Product ID]]="","",Sales[[#This Row],[Date]]&amp;Sales[[#This Row],[Invoice no]])</f>
        <v/>
      </c>
      <c r="E7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2" s="19" t="str">
        <f>IF(_xlfn.XLOOKUP(Sales[[#This Row],[Product Name]],Inventory[Product Name],Inventory[Sale Price],"")=0,"",_xlfn.XLOOKUP(Sales[[#This Row],[Product Name]],Inventory[Product Name],Inventory[Sale Price]))</f>
        <v/>
      </c>
      <c r="I732" s="19" t="str">
        <f>IFERROR(G732*H732,"")</f>
        <v/>
      </c>
      <c r="J732" s="19"/>
    </row>
    <row r="733" spans="1:10" ht="21">
      <c r="A733" s="14">
        <v>728</v>
      </c>
      <c r="C733" s="16"/>
      <c r="D733" s="14" t="str">
        <f>IF(Sales[[#This Row],[Product ID]]="","",Sales[[#This Row],[Date]]&amp;Sales[[#This Row],[Invoice no]])</f>
        <v/>
      </c>
      <c r="E7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3" s="19" t="str">
        <f>IF(_xlfn.XLOOKUP(Sales[[#This Row],[Product Name]],Inventory[Product Name],Inventory[Sale Price],"")=0,"",_xlfn.XLOOKUP(Sales[[#This Row],[Product Name]],Inventory[Product Name],Inventory[Sale Price]))</f>
        <v/>
      </c>
      <c r="I733" s="19" t="str">
        <f>IFERROR(G733*H733,"")</f>
        <v/>
      </c>
      <c r="J733" s="19"/>
    </row>
    <row r="734" spans="1:10" ht="21">
      <c r="A734" s="14">
        <v>729</v>
      </c>
      <c r="C734" s="16"/>
      <c r="D734" s="14" t="str">
        <f>IF(Sales[[#This Row],[Product ID]]="","",Sales[[#This Row],[Date]]&amp;Sales[[#This Row],[Invoice no]])</f>
        <v/>
      </c>
      <c r="E7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4" s="19" t="str">
        <f>IF(_xlfn.XLOOKUP(Sales[[#This Row],[Product Name]],Inventory[Product Name],Inventory[Sale Price],"")=0,"",_xlfn.XLOOKUP(Sales[[#This Row],[Product Name]],Inventory[Product Name],Inventory[Sale Price]))</f>
        <v/>
      </c>
      <c r="I734" s="19" t="str">
        <f>IFERROR(G734*H734,"")</f>
        <v/>
      </c>
      <c r="J734" s="19"/>
    </row>
    <row r="735" spans="1:10" ht="21">
      <c r="A735" s="14">
        <v>730</v>
      </c>
      <c r="C735" s="16"/>
      <c r="D735" s="14" t="str">
        <f>IF(Sales[[#This Row],[Product ID]]="","",Sales[[#This Row],[Date]]&amp;Sales[[#This Row],[Invoice no]])</f>
        <v/>
      </c>
      <c r="E7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5" s="19" t="str">
        <f>IF(_xlfn.XLOOKUP(Sales[[#This Row],[Product Name]],Inventory[Product Name],Inventory[Sale Price],"")=0,"",_xlfn.XLOOKUP(Sales[[#This Row],[Product Name]],Inventory[Product Name],Inventory[Sale Price]))</f>
        <v/>
      </c>
      <c r="I735" s="19" t="str">
        <f>IFERROR(G735*H735,"")</f>
        <v/>
      </c>
      <c r="J735" s="19"/>
    </row>
    <row r="736" spans="1:10" ht="21">
      <c r="A736" s="14">
        <v>731</v>
      </c>
      <c r="C736" s="16"/>
      <c r="D736" s="14" t="str">
        <f>IF(Sales[[#This Row],[Product ID]]="","",Sales[[#This Row],[Date]]&amp;Sales[[#This Row],[Invoice no]])</f>
        <v/>
      </c>
      <c r="E7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6" s="19" t="str">
        <f>IF(_xlfn.XLOOKUP(Sales[[#This Row],[Product Name]],Inventory[Product Name],Inventory[Sale Price],"")=0,"",_xlfn.XLOOKUP(Sales[[#This Row],[Product Name]],Inventory[Product Name],Inventory[Sale Price]))</f>
        <v/>
      </c>
      <c r="I736" s="19" t="str">
        <f>IFERROR(G736*H736,"")</f>
        <v/>
      </c>
      <c r="J736" s="19"/>
    </row>
    <row r="737" spans="1:10" ht="21">
      <c r="A737" s="14">
        <v>732</v>
      </c>
      <c r="C737" s="16"/>
      <c r="D737" s="14" t="str">
        <f>IF(Sales[[#This Row],[Product ID]]="","",Sales[[#This Row],[Date]]&amp;Sales[[#This Row],[Invoice no]])</f>
        <v/>
      </c>
      <c r="E7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7" s="19" t="str">
        <f>IF(_xlfn.XLOOKUP(Sales[[#This Row],[Product Name]],Inventory[Product Name],Inventory[Sale Price],"")=0,"",_xlfn.XLOOKUP(Sales[[#This Row],[Product Name]],Inventory[Product Name],Inventory[Sale Price]))</f>
        <v/>
      </c>
      <c r="I737" s="19" t="str">
        <f>IFERROR(G737*H737,"")</f>
        <v/>
      </c>
      <c r="J737" s="19"/>
    </row>
    <row r="738" spans="1:10" ht="21">
      <c r="A738" s="14">
        <v>733</v>
      </c>
      <c r="C738" s="16"/>
      <c r="D738" s="14" t="str">
        <f>IF(Sales[[#This Row],[Product ID]]="","",Sales[[#This Row],[Date]]&amp;Sales[[#This Row],[Invoice no]])</f>
        <v/>
      </c>
      <c r="E7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8" s="19" t="str">
        <f>IF(_xlfn.XLOOKUP(Sales[[#This Row],[Product Name]],Inventory[Product Name],Inventory[Sale Price],"")=0,"",_xlfn.XLOOKUP(Sales[[#This Row],[Product Name]],Inventory[Product Name],Inventory[Sale Price]))</f>
        <v/>
      </c>
      <c r="I738" s="19" t="str">
        <f>IFERROR(G738*H738,"")</f>
        <v/>
      </c>
      <c r="J738" s="19"/>
    </row>
    <row r="739" spans="1:10" ht="21">
      <c r="A739" s="14">
        <v>734</v>
      </c>
      <c r="C739" s="16"/>
      <c r="D739" s="14" t="str">
        <f>IF(Sales[[#This Row],[Product ID]]="","",Sales[[#This Row],[Date]]&amp;Sales[[#This Row],[Invoice no]])</f>
        <v/>
      </c>
      <c r="E7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39" s="19" t="str">
        <f>IF(_xlfn.XLOOKUP(Sales[[#This Row],[Product Name]],Inventory[Product Name],Inventory[Sale Price],"")=0,"",_xlfn.XLOOKUP(Sales[[#This Row],[Product Name]],Inventory[Product Name],Inventory[Sale Price]))</f>
        <v/>
      </c>
      <c r="I739" s="19" t="str">
        <f>IFERROR(G739*H739,"")</f>
        <v/>
      </c>
      <c r="J739" s="19"/>
    </row>
    <row r="740" spans="1:10" ht="21">
      <c r="A740" s="14">
        <v>735</v>
      </c>
      <c r="C740" s="16"/>
      <c r="D740" s="14" t="str">
        <f>IF(Sales[[#This Row],[Product ID]]="","",Sales[[#This Row],[Date]]&amp;Sales[[#This Row],[Invoice no]])</f>
        <v/>
      </c>
      <c r="E7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0" s="19" t="str">
        <f>IF(_xlfn.XLOOKUP(Sales[[#This Row],[Product Name]],Inventory[Product Name],Inventory[Sale Price],"")=0,"",_xlfn.XLOOKUP(Sales[[#This Row],[Product Name]],Inventory[Product Name],Inventory[Sale Price]))</f>
        <v/>
      </c>
      <c r="I740" s="19" t="str">
        <f>IFERROR(G740*H740,"")</f>
        <v/>
      </c>
      <c r="J740" s="19"/>
    </row>
    <row r="741" spans="1:10" ht="21">
      <c r="A741" s="14">
        <v>736</v>
      </c>
      <c r="C741" s="16"/>
      <c r="D741" s="14" t="str">
        <f>IF(Sales[[#This Row],[Product ID]]="","",Sales[[#This Row],[Date]]&amp;Sales[[#This Row],[Invoice no]])</f>
        <v/>
      </c>
      <c r="E7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1" s="19" t="str">
        <f>IF(_xlfn.XLOOKUP(Sales[[#This Row],[Product Name]],Inventory[Product Name],Inventory[Sale Price],"")=0,"",_xlfn.XLOOKUP(Sales[[#This Row],[Product Name]],Inventory[Product Name],Inventory[Sale Price]))</f>
        <v/>
      </c>
      <c r="I741" s="19" t="str">
        <f>IFERROR(G741*H741,"")</f>
        <v/>
      </c>
      <c r="J741" s="19"/>
    </row>
    <row r="742" spans="1:10" ht="21">
      <c r="A742" s="14">
        <v>737</v>
      </c>
      <c r="C742" s="16"/>
      <c r="D742" s="14" t="str">
        <f>IF(Sales[[#This Row],[Product ID]]="","",Sales[[#This Row],[Date]]&amp;Sales[[#This Row],[Invoice no]])</f>
        <v/>
      </c>
      <c r="E7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2" s="19" t="str">
        <f>IF(_xlfn.XLOOKUP(Sales[[#This Row],[Product Name]],Inventory[Product Name],Inventory[Sale Price],"")=0,"",_xlfn.XLOOKUP(Sales[[#This Row],[Product Name]],Inventory[Product Name],Inventory[Sale Price]))</f>
        <v/>
      </c>
      <c r="I742" s="19" t="str">
        <f>IFERROR(G742*H742,"")</f>
        <v/>
      </c>
      <c r="J742" s="19"/>
    </row>
    <row r="743" spans="1:10" ht="21">
      <c r="A743" s="14">
        <v>738</v>
      </c>
      <c r="C743" s="16"/>
      <c r="D743" s="14" t="str">
        <f>IF(Sales[[#This Row],[Product ID]]="","",Sales[[#This Row],[Date]]&amp;Sales[[#This Row],[Invoice no]])</f>
        <v/>
      </c>
      <c r="E7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3" s="19" t="str">
        <f>IF(_xlfn.XLOOKUP(Sales[[#This Row],[Product Name]],Inventory[Product Name],Inventory[Sale Price],"")=0,"",_xlfn.XLOOKUP(Sales[[#This Row],[Product Name]],Inventory[Product Name],Inventory[Sale Price]))</f>
        <v/>
      </c>
      <c r="I743" s="19" t="str">
        <f>IFERROR(G743*H743,"")</f>
        <v/>
      </c>
      <c r="J743" s="19"/>
    </row>
    <row r="744" spans="1:10" ht="21">
      <c r="A744" s="14">
        <v>739</v>
      </c>
      <c r="C744" s="16"/>
      <c r="D744" s="14" t="str">
        <f>IF(Sales[[#This Row],[Product ID]]="","",Sales[[#This Row],[Date]]&amp;Sales[[#This Row],[Invoice no]])</f>
        <v/>
      </c>
      <c r="E7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4" s="19" t="str">
        <f>IF(_xlfn.XLOOKUP(Sales[[#This Row],[Product Name]],Inventory[Product Name],Inventory[Sale Price],"")=0,"",_xlfn.XLOOKUP(Sales[[#This Row],[Product Name]],Inventory[Product Name],Inventory[Sale Price]))</f>
        <v/>
      </c>
      <c r="I744" s="19" t="str">
        <f>IFERROR(G744*H744,"")</f>
        <v/>
      </c>
      <c r="J744" s="19"/>
    </row>
    <row r="745" spans="1:10" ht="21">
      <c r="A745" s="14">
        <v>740</v>
      </c>
      <c r="C745" s="16"/>
      <c r="D745" s="14" t="str">
        <f>IF(Sales[[#This Row],[Product ID]]="","",Sales[[#This Row],[Date]]&amp;Sales[[#This Row],[Invoice no]])</f>
        <v/>
      </c>
      <c r="E7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5" s="19" t="str">
        <f>IF(_xlfn.XLOOKUP(Sales[[#This Row],[Product Name]],Inventory[Product Name],Inventory[Sale Price],"")=0,"",_xlfn.XLOOKUP(Sales[[#This Row],[Product Name]],Inventory[Product Name],Inventory[Sale Price]))</f>
        <v/>
      </c>
      <c r="I745" s="19" t="str">
        <f>IFERROR(G745*H745,"")</f>
        <v/>
      </c>
      <c r="J745" s="19"/>
    </row>
    <row r="746" spans="1:10" ht="21">
      <c r="A746" s="14">
        <v>741</v>
      </c>
      <c r="C746" s="16"/>
      <c r="D746" s="14" t="str">
        <f>IF(Sales[[#This Row],[Product ID]]="","",Sales[[#This Row],[Date]]&amp;Sales[[#This Row],[Invoice no]])</f>
        <v/>
      </c>
      <c r="E7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6" s="19" t="str">
        <f>IF(_xlfn.XLOOKUP(Sales[[#This Row],[Product Name]],Inventory[Product Name],Inventory[Sale Price],"")=0,"",_xlfn.XLOOKUP(Sales[[#This Row],[Product Name]],Inventory[Product Name],Inventory[Sale Price]))</f>
        <v/>
      </c>
      <c r="I746" s="19" t="str">
        <f>IFERROR(G746*H746,"")</f>
        <v/>
      </c>
      <c r="J746" s="19"/>
    </row>
    <row r="747" spans="1:10" ht="21">
      <c r="A747" s="14">
        <v>742</v>
      </c>
      <c r="C747" s="16"/>
      <c r="D747" s="14" t="str">
        <f>IF(Sales[[#This Row],[Product ID]]="","",Sales[[#This Row],[Date]]&amp;Sales[[#This Row],[Invoice no]])</f>
        <v/>
      </c>
      <c r="E7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7" s="19" t="str">
        <f>IF(_xlfn.XLOOKUP(Sales[[#This Row],[Product Name]],Inventory[Product Name],Inventory[Sale Price],"")=0,"",_xlfn.XLOOKUP(Sales[[#This Row],[Product Name]],Inventory[Product Name],Inventory[Sale Price]))</f>
        <v/>
      </c>
      <c r="I747" s="19" t="str">
        <f>IFERROR(G747*H747,"")</f>
        <v/>
      </c>
      <c r="J747" s="19"/>
    </row>
    <row r="748" spans="1:10" ht="21">
      <c r="A748" s="14">
        <v>743</v>
      </c>
      <c r="C748" s="16"/>
      <c r="D748" s="14" t="str">
        <f>IF(Sales[[#This Row],[Product ID]]="","",Sales[[#This Row],[Date]]&amp;Sales[[#This Row],[Invoice no]])</f>
        <v/>
      </c>
      <c r="E7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8" s="19" t="str">
        <f>IF(_xlfn.XLOOKUP(Sales[[#This Row],[Product Name]],Inventory[Product Name],Inventory[Sale Price],"")=0,"",_xlfn.XLOOKUP(Sales[[#This Row],[Product Name]],Inventory[Product Name],Inventory[Sale Price]))</f>
        <v/>
      </c>
      <c r="I748" s="19" t="str">
        <f>IFERROR(G748*H748,"")</f>
        <v/>
      </c>
      <c r="J748" s="19"/>
    </row>
    <row r="749" spans="1:10" ht="21">
      <c r="A749" s="14">
        <v>744</v>
      </c>
      <c r="C749" s="16"/>
      <c r="D749" s="14" t="str">
        <f>IF(Sales[[#This Row],[Product ID]]="","",Sales[[#This Row],[Date]]&amp;Sales[[#This Row],[Invoice no]])</f>
        <v/>
      </c>
      <c r="E7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49" s="19" t="str">
        <f>IF(_xlfn.XLOOKUP(Sales[[#This Row],[Product Name]],Inventory[Product Name],Inventory[Sale Price],"")=0,"",_xlfn.XLOOKUP(Sales[[#This Row],[Product Name]],Inventory[Product Name],Inventory[Sale Price]))</f>
        <v/>
      </c>
      <c r="I749" s="19" t="str">
        <f>IFERROR(G749*H749,"")</f>
        <v/>
      </c>
      <c r="J749" s="19"/>
    </row>
    <row r="750" spans="1:10" ht="21">
      <c r="A750" s="14">
        <v>745</v>
      </c>
      <c r="C750" s="16"/>
      <c r="D750" s="14" t="str">
        <f>IF(Sales[[#This Row],[Product ID]]="","",Sales[[#This Row],[Date]]&amp;Sales[[#This Row],[Invoice no]])</f>
        <v/>
      </c>
      <c r="E7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0" s="19" t="str">
        <f>IF(_xlfn.XLOOKUP(Sales[[#This Row],[Product Name]],Inventory[Product Name],Inventory[Sale Price],"")=0,"",_xlfn.XLOOKUP(Sales[[#This Row],[Product Name]],Inventory[Product Name],Inventory[Sale Price]))</f>
        <v/>
      </c>
      <c r="I750" s="19" t="str">
        <f>IFERROR(G750*H750,"")</f>
        <v/>
      </c>
      <c r="J750" s="19"/>
    </row>
    <row r="751" spans="1:10" ht="21">
      <c r="A751" s="14">
        <v>746</v>
      </c>
      <c r="C751" s="16"/>
      <c r="D751" s="14" t="str">
        <f>IF(Sales[[#This Row],[Product ID]]="","",Sales[[#This Row],[Date]]&amp;Sales[[#This Row],[Invoice no]])</f>
        <v/>
      </c>
      <c r="E7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1" s="19" t="str">
        <f>IF(_xlfn.XLOOKUP(Sales[[#This Row],[Product Name]],Inventory[Product Name],Inventory[Sale Price],"")=0,"",_xlfn.XLOOKUP(Sales[[#This Row],[Product Name]],Inventory[Product Name],Inventory[Sale Price]))</f>
        <v/>
      </c>
      <c r="I751" s="19" t="str">
        <f>IFERROR(G751*H751,"")</f>
        <v/>
      </c>
      <c r="J751" s="19"/>
    </row>
    <row r="752" spans="1:10" ht="21">
      <c r="A752" s="14">
        <v>747</v>
      </c>
      <c r="C752" s="16"/>
      <c r="D752" s="14" t="str">
        <f>IF(Sales[[#This Row],[Product ID]]="","",Sales[[#This Row],[Date]]&amp;Sales[[#This Row],[Invoice no]])</f>
        <v/>
      </c>
      <c r="E7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2" s="19" t="str">
        <f>IF(_xlfn.XLOOKUP(Sales[[#This Row],[Product Name]],Inventory[Product Name],Inventory[Sale Price],"")=0,"",_xlfn.XLOOKUP(Sales[[#This Row],[Product Name]],Inventory[Product Name],Inventory[Sale Price]))</f>
        <v/>
      </c>
      <c r="I752" s="19" t="str">
        <f>IFERROR(G752*H752,"")</f>
        <v/>
      </c>
      <c r="J752" s="19"/>
    </row>
    <row r="753" spans="1:10" ht="21">
      <c r="A753" s="14">
        <v>748</v>
      </c>
      <c r="C753" s="16"/>
      <c r="D753" s="14" t="str">
        <f>IF(Sales[[#This Row],[Product ID]]="","",Sales[[#This Row],[Date]]&amp;Sales[[#This Row],[Invoice no]])</f>
        <v/>
      </c>
      <c r="E7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3" s="19" t="str">
        <f>IF(_xlfn.XLOOKUP(Sales[[#This Row],[Product Name]],Inventory[Product Name],Inventory[Sale Price],"")=0,"",_xlfn.XLOOKUP(Sales[[#This Row],[Product Name]],Inventory[Product Name],Inventory[Sale Price]))</f>
        <v/>
      </c>
      <c r="I753" s="19" t="str">
        <f>IFERROR(G753*H753,"")</f>
        <v/>
      </c>
      <c r="J753" s="19"/>
    </row>
    <row r="754" spans="1:10" ht="21">
      <c r="A754" s="14">
        <v>749</v>
      </c>
      <c r="C754" s="16"/>
      <c r="D754" s="14" t="str">
        <f>IF(Sales[[#This Row],[Product ID]]="","",Sales[[#This Row],[Date]]&amp;Sales[[#This Row],[Invoice no]])</f>
        <v/>
      </c>
      <c r="E7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4" s="19" t="str">
        <f>IF(_xlfn.XLOOKUP(Sales[[#This Row],[Product Name]],Inventory[Product Name],Inventory[Sale Price],"")=0,"",_xlfn.XLOOKUP(Sales[[#This Row],[Product Name]],Inventory[Product Name],Inventory[Sale Price]))</f>
        <v/>
      </c>
      <c r="I754" s="19" t="str">
        <f>IFERROR(G754*H754,"")</f>
        <v/>
      </c>
      <c r="J754" s="19"/>
    </row>
    <row r="755" spans="1:10" ht="21">
      <c r="A755" s="14">
        <v>750</v>
      </c>
      <c r="C755" s="16"/>
      <c r="D755" s="14" t="str">
        <f>IF(Sales[[#This Row],[Product ID]]="","",Sales[[#This Row],[Date]]&amp;Sales[[#This Row],[Invoice no]])</f>
        <v/>
      </c>
      <c r="E7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5" s="19" t="str">
        <f>IF(_xlfn.XLOOKUP(Sales[[#This Row],[Product Name]],Inventory[Product Name],Inventory[Sale Price],"")=0,"",_xlfn.XLOOKUP(Sales[[#This Row],[Product Name]],Inventory[Product Name],Inventory[Sale Price]))</f>
        <v/>
      </c>
      <c r="I755" s="19" t="str">
        <f>IFERROR(G755*H755,"")</f>
        <v/>
      </c>
      <c r="J755" s="19"/>
    </row>
    <row r="756" spans="1:10" ht="21">
      <c r="A756" s="14">
        <v>751</v>
      </c>
      <c r="C756" s="16"/>
      <c r="D756" s="14" t="str">
        <f>IF(Sales[[#This Row],[Product ID]]="","",Sales[[#This Row],[Date]]&amp;Sales[[#This Row],[Invoice no]])</f>
        <v/>
      </c>
      <c r="E7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6" s="19" t="str">
        <f>IF(_xlfn.XLOOKUP(Sales[[#This Row],[Product Name]],Inventory[Product Name],Inventory[Sale Price],"")=0,"",_xlfn.XLOOKUP(Sales[[#This Row],[Product Name]],Inventory[Product Name],Inventory[Sale Price]))</f>
        <v/>
      </c>
      <c r="I756" s="19" t="str">
        <f>IFERROR(G756*H756,"")</f>
        <v/>
      </c>
      <c r="J756" s="19"/>
    </row>
    <row r="757" spans="1:10" ht="21">
      <c r="A757" s="14">
        <v>752</v>
      </c>
      <c r="C757" s="16"/>
      <c r="D757" s="14" t="str">
        <f>IF(Sales[[#This Row],[Product ID]]="","",Sales[[#This Row],[Date]]&amp;Sales[[#This Row],[Invoice no]])</f>
        <v/>
      </c>
      <c r="E7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7" s="19" t="str">
        <f>IF(_xlfn.XLOOKUP(Sales[[#This Row],[Product Name]],Inventory[Product Name],Inventory[Sale Price],"")=0,"",_xlfn.XLOOKUP(Sales[[#This Row],[Product Name]],Inventory[Product Name],Inventory[Sale Price]))</f>
        <v/>
      </c>
      <c r="I757" s="19" t="str">
        <f>IFERROR(G757*H757,"")</f>
        <v/>
      </c>
      <c r="J757" s="19"/>
    </row>
    <row r="758" spans="1:10" ht="21">
      <c r="A758" s="14">
        <v>753</v>
      </c>
      <c r="C758" s="16"/>
      <c r="D758" s="14" t="str">
        <f>IF(Sales[[#This Row],[Product ID]]="","",Sales[[#This Row],[Date]]&amp;Sales[[#This Row],[Invoice no]])</f>
        <v/>
      </c>
      <c r="E7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8" s="19" t="str">
        <f>IF(_xlfn.XLOOKUP(Sales[[#This Row],[Product Name]],Inventory[Product Name],Inventory[Sale Price],"")=0,"",_xlfn.XLOOKUP(Sales[[#This Row],[Product Name]],Inventory[Product Name],Inventory[Sale Price]))</f>
        <v/>
      </c>
      <c r="I758" s="19" t="str">
        <f>IFERROR(G758*H758,"")</f>
        <v/>
      </c>
      <c r="J758" s="19"/>
    </row>
    <row r="759" spans="1:10" ht="21">
      <c r="A759" s="14">
        <v>754</v>
      </c>
      <c r="C759" s="16"/>
      <c r="D759" s="14" t="str">
        <f>IF(Sales[[#This Row],[Product ID]]="","",Sales[[#This Row],[Date]]&amp;Sales[[#This Row],[Invoice no]])</f>
        <v/>
      </c>
      <c r="E7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59" s="19" t="str">
        <f>IF(_xlfn.XLOOKUP(Sales[[#This Row],[Product Name]],Inventory[Product Name],Inventory[Sale Price],"")=0,"",_xlfn.XLOOKUP(Sales[[#This Row],[Product Name]],Inventory[Product Name],Inventory[Sale Price]))</f>
        <v/>
      </c>
      <c r="I759" s="19" t="str">
        <f>IFERROR(G759*H759,"")</f>
        <v/>
      </c>
      <c r="J759" s="19"/>
    </row>
    <row r="760" spans="1:10" ht="21">
      <c r="A760" s="14">
        <v>755</v>
      </c>
      <c r="C760" s="16"/>
      <c r="D760" s="14" t="str">
        <f>IF(Sales[[#This Row],[Product ID]]="","",Sales[[#This Row],[Date]]&amp;Sales[[#This Row],[Invoice no]])</f>
        <v/>
      </c>
      <c r="E7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0" s="19" t="str">
        <f>IF(_xlfn.XLOOKUP(Sales[[#This Row],[Product Name]],Inventory[Product Name],Inventory[Sale Price],"")=0,"",_xlfn.XLOOKUP(Sales[[#This Row],[Product Name]],Inventory[Product Name],Inventory[Sale Price]))</f>
        <v/>
      </c>
      <c r="I760" s="19" t="str">
        <f>IFERROR(G760*H760,"")</f>
        <v/>
      </c>
      <c r="J760" s="19"/>
    </row>
    <row r="761" spans="1:10" ht="21">
      <c r="A761" s="14">
        <v>756</v>
      </c>
      <c r="C761" s="16"/>
      <c r="D761" s="14" t="str">
        <f>IF(Sales[[#This Row],[Product ID]]="","",Sales[[#This Row],[Date]]&amp;Sales[[#This Row],[Invoice no]])</f>
        <v/>
      </c>
      <c r="E7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1" s="19" t="str">
        <f>IF(_xlfn.XLOOKUP(Sales[[#This Row],[Product Name]],Inventory[Product Name],Inventory[Sale Price],"")=0,"",_xlfn.XLOOKUP(Sales[[#This Row],[Product Name]],Inventory[Product Name],Inventory[Sale Price]))</f>
        <v/>
      </c>
      <c r="I761" s="19" t="str">
        <f>IFERROR(G761*H761,"")</f>
        <v/>
      </c>
      <c r="J761" s="19"/>
    </row>
    <row r="762" spans="1:10" ht="21">
      <c r="A762" s="14">
        <v>757</v>
      </c>
      <c r="C762" s="16"/>
      <c r="D762" s="14" t="str">
        <f>IF(Sales[[#This Row],[Product ID]]="","",Sales[[#This Row],[Date]]&amp;Sales[[#This Row],[Invoice no]])</f>
        <v/>
      </c>
      <c r="E7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2" s="19" t="str">
        <f>IF(_xlfn.XLOOKUP(Sales[[#This Row],[Product Name]],Inventory[Product Name],Inventory[Sale Price],"")=0,"",_xlfn.XLOOKUP(Sales[[#This Row],[Product Name]],Inventory[Product Name],Inventory[Sale Price]))</f>
        <v/>
      </c>
      <c r="I762" s="19" t="str">
        <f>IFERROR(G762*H762,"")</f>
        <v/>
      </c>
      <c r="J762" s="19"/>
    </row>
    <row r="763" spans="1:10" ht="21">
      <c r="A763" s="14">
        <v>758</v>
      </c>
      <c r="C763" s="16"/>
      <c r="D763" s="14" t="str">
        <f>IF(Sales[[#This Row],[Product ID]]="","",Sales[[#This Row],[Date]]&amp;Sales[[#This Row],[Invoice no]])</f>
        <v/>
      </c>
      <c r="E7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3" s="19" t="str">
        <f>IF(_xlfn.XLOOKUP(Sales[[#This Row],[Product Name]],Inventory[Product Name],Inventory[Sale Price],"")=0,"",_xlfn.XLOOKUP(Sales[[#This Row],[Product Name]],Inventory[Product Name],Inventory[Sale Price]))</f>
        <v/>
      </c>
      <c r="I763" s="19" t="str">
        <f>IFERROR(G763*H763,"")</f>
        <v/>
      </c>
      <c r="J763" s="19"/>
    </row>
    <row r="764" spans="1:10" ht="21">
      <c r="A764" s="14">
        <v>759</v>
      </c>
      <c r="C764" s="16"/>
      <c r="D764" s="14" t="str">
        <f>IF(Sales[[#This Row],[Product ID]]="","",Sales[[#This Row],[Date]]&amp;Sales[[#This Row],[Invoice no]])</f>
        <v/>
      </c>
      <c r="E7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4" s="19" t="str">
        <f>IF(_xlfn.XLOOKUP(Sales[[#This Row],[Product Name]],Inventory[Product Name],Inventory[Sale Price],"")=0,"",_xlfn.XLOOKUP(Sales[[#This Row],[Product Name]],Inventory[Product Name],Inventory[Sale Price]))</f>
        <v/>
      </c>
      <c r="I764" s="19" t="str">
        <f>IFERROR(G764*H764,"")</f>
        <v/>
      </c>
      <c r="J764" s="19"/>
    </row>
    <row r="765" spans="1:10" ht="21">
      <c r="A765" s="14">
        <v>760</v>
      </c>
      <c r="C765" s="16"/>
      <c r="D765" s="14" t="str">
        <f>IF(Sales[[#This Row],[Product ID]]="","",Sales[[#This Row],[Date]]&amp;Sales[[#This Row],[Invoice no]])</f>
        <v/>
      </c>
      <c r="E7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5" s="19" t="str">
        <f>IF(_xlfn.XLOOKUP(Sales[[#This Row],[Product Name]],Inventory[Product Name],Inventory[Sale Price],"")=0,"",_xlfn.XLOOKUP(Sales[[#This Row],[Product Name]],Inventory[Product Name],Inventory[Sale Price]))</f>
        <v/>
      </c>
      <c r="I765" s="19" t="str">
        <f>IFERROR(G765*H765,"")</f>
        <v/>
      </c>
      <c r="J765" s="19"/>
    </row>
    <row r="766" spans="1:10" ht="21">
      <c r="A766" s="14">
        <v>761</v>
      </c>
      <c r="C766" s="16"/>
      <c r="D766" s="14" t="str">
        <f>IF(Sales[[#This Row],[Product ID]]="","",Sales[[#This Row],[Date]]&amp;Sales[[#This Row],[Invoice no]])</f>
        <v/>
      </c>
      <c r="E7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6" s="19" t="str">
        <f>IF(_xlfn.XLOOKUP(Sales[[#This Row],[Product Name]],Inventory[Product Name],Inventory[Sale Price],"")=0,"",_xlfn.XLOOKUP(Sales[[#This Row],[Product Name]],Inventory[Product Name],Inventory[Sale Price]))</f>
        <v/>
      </c>
      <c r="I766" s="19" t="str">
        <f>IFERROR(G766*H766,"")</f>
        <v/>
      </c>
      <c r="J766" s="19"/>
    </row>
    <row r="767" spans="1:10" ht="21">
      <c r="A767" s="14">
        <v>762</v>
      </c>
      <c r="C767" s="16"/>
      <c r="D767" s="14" t="str">
        <f>IF(Sales[[#This Row],[Product ID]]="","",Sales[[#This Row],[Date]]&amp;Sales[[#This Row],[Invoice no]])</f>
        <v/>
      </c>
      <c r="E7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7" s="19" t="str">
        <f>IF(_xlfn.XLOOKUP(Sales[[#This Row],[Product Name]],Inventory[Product Name],Inventory[Sale Price],"")=0,"",_xlfn.XLOOKUP(Sales[[#This Row],[Product Name]],Inventory[Product Name],Inventory[Sale Price]))</f>
        <v/>
      </c>
      <c r="I767" s="19" t="str">
        <f>IFERROR(G767*H767,"")</f>
        <v/>
      </c>
      <c r="J767" s="19"/>
    </row>
    <row r="768" spans="1:10" ht="21">
      <c r="A768" s="14">
        <v>763</v>
      </c>
      <c r="C768" s="16"/>
      <c r="D768" s="14" t="str">
        <f>IF(Sales[[#This Row],[Product ID]]="","",Sales[[#This Row],[Date]]&amp;Sales[[#This Row],[Invoice no]])</f>
        <v/>
      </c>
      <c r="E7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8" s="19" t="str">
        <f>IF(_xlfn.XLOOKUP(Sales[[#This Row],[Product Name]],Inventory[Product Name],Inventory[Sale Price],"")=0,"",_xlfn.XLOOKUP(Sales[[#This Row],[Product Name]],Inventory[Product Name],Inventory[Sale Price]))</f>
        <v/>
      </c>
      <c r="I768" s="19" t="str">
        <f>IFERROR(G768*H768,"")</f>
        <v/>
      </c>
      <c r="J768" s="19"/>
    </row>
    <row r="769" spans="1:10" ht="21">
      <c r="A769" s="14">
        <v>764</v>
      </c>
      <c r="C769" s="16"/>
      <c r="D769" s="14" t="str">
        <f>IF(Sales[[#This Row],[Product ID]]="","",Sales[[#This Row],[Date]]&amp;Sales[[#This Row],[Invoice no]])</f>
        <v/>
      </c>
      <c r="E7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69" s="19" t="str">
        <f>IF(_xlfn.XLOOKUP(Sales[[#This Row],[Product Name]],Inventory[Product Name],Inventory[Sale Price],"")=0,"",_xlfn.XLOOKUP(Sales[[#This Row],[Product Name]],Inventory[Product Name],Inventory[Sale Price]))</f>
        <v/>
      </c>
      <c r="I769" s="19" t="str">
        <f>IFERROR(G769*H769,"")</f>
        <v/>
      </c>
      <c r="J769" s="19"/>
    </row>
    <row r="770" spans="1:10" ht="21">
      <c r="A770" s="14">
        <v>765</v>
      </c>
      <c r="C770" s="16"/>
      <c r="D770" s="14" t="str">
        <f>IF(Sales[[#This Row],[Product ID]]="","",Sales[[#This Row],[Date]]&amp;Sales[[#This Row],[Invoice no]])</f>
        <v/>
      </c>
      <c r="E7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0" s="19" t="str">
        <f>IF(_xlfn.XLOOKUP(Sales[[#This Row],[Product Name]],Inventory[Product Name],Inventory[Sale Price],"")=0,"",_xlfn.XLOOKUP(Sales[[#This Row],[Product Name]],Inventory[Product Name],Inventory[Sale Price]))</f>
        <v/>
      </c>
      <c r="I770" s="19" t="str">
        <f>IFERROR(G770*H770,"")</f>
        <v/>
      </c>
      <c r="J770" s="19"/>
    </row>
    <row r="771" spans="1:10" ht="21">
      <c r="A771" s="14">
        <v>766</v>
      </c>
      <c r="C771" s="16"/>
      <c r="D771" s="14" t="str">
        <f>IF(Sales[[#This Row],[Product ID]]="","",Sales[[#This Row],[Date]]&amp;Sales[[#This Row],[Invoice no]])</f>
        <v/>
      </c>
      <c r="E7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1" s="19" t="str">
        <f>IF(_xlfn.XLOOKUP(Sales[[#This Row],[Product Name]],Inventory[Product Name],Inventory[Sale Price],"")=0,"",_xlfn.XLOOKUP(Sales[[#This Row],[Product Name]],Inventory[Product Name],Inventory[Sale Price]))</f>
        <v/>
      </c>
      <c r="I771" s="19" t="str">
        <f>IFERROR(G771*H771,"")</f>
        <v/>
      </c>
      <c r="J771" s="19"/>
    </row>
    <row r="772" spans="1:10" ht="21">
      <c r="A772" s="14">
        <v>767</v>
      </c>
      <c r="C772" s="16"/>
      <c r="D772" s="14" t="str">
        <f>IF(Sales[[#This Row],[Product ID]]="","",Sales[[#This Row],[Date]]&amp;Sales[[#This Row],[Invoice no]])</f>
        <v/>
      </c>
      <c r="E7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2" s="19" t="str">
        <f>IF(_xlfn.XLOOKUP(Sales[[#This Row],[Product Name]],Inventory[Product Name],Inventory[Sale Price],"")=0,"",_xlfn.XLOOKUP(Sales[[#This Row],[Product Name]],Inventory[Product Name],Inventory[Sale Price]))</f>
        <v/>
      </c>
      <c r="I772" s="19" t="str">
        <f>IFERROR(G772*H772,"")</f>
        <v/>
      </c>
      <c r="J772" s="19"/>
    </row>
    <row r="773" spans="1:10" ht="21">
      <c r="A773" s="14">
        <v>768</v>
      </c>
      <c r="C773" s="16"/>
      <c r="D773" s="14" t="str">
        <f>IF(Sales[[#This Row],[Product ID]]="","",Sales[[#This Row],[Date]]&amp;Sales[[#This Row],[Invoice no]])</f>
        <v/>
      </c>
      <c r="E7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3" s="19" t="str">
        <f>IF(_xlfn.XLOOKUP(Sales[[#This Row],[Product Name]],Inventory[Product Name],Inventory[Sale Price],"")=0,"",_xlfn.XLOOKUP(Sales[[#This Row],[Product Name]],Inventory[Product Name],Inventory[Sale Price]))</f>
        <v/>
      </c>
      <c r="I773" s="19" t="str">
        <f>IFERROR(G773*H773,"")</f>
        <v/>
      </c>
      <c r="J773" s="19"/>
    </row>
    <row r="774" spans="1:10" ht="21">
      <c r="A774" s="14">
        <v>769</v>
      </c>
      <c r="C774" s="16"/>
      <c r="D774" s="14" t="str">
        <f>IF(Sales[[#This Row],[Product ID]]="","",Sales[[#This Row],[Date]]&amp;Sales[[#This Row],[Invoice no]])</f>
        <v/>
      </c>
      <c r="E7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4" s="19" t="str">
        <f>IF(_xlfn.XLOOKUP(Sales[[#This Row],[Product Name]],Inventory[Product Name],Inventory[Sale Price],"")=0,"",_xlfn.XLOOKUP(Sales[[#This Row],[Product Name]],Inventory[Product Name],Inventory[Sale Price]))</f>
        <v/>
      </c>
      <c r="I774" s="19" t="str">
        <f>IFERROR(G774*H774,"")</f>
        <v/>
      </c>
      <c r="J774" s="19"/>
    </row>
    <row r="775" spans="1:10" ht="21">
      <c r="A775" s="14">
        <v>770</v>
      </c>
      <c r="C775" s="16"/>
      <c r="D775" s="14" t="str">
        <f>IF(Sales[[#This Row],[Product ID]]="","",Sales[[#This Row],[Date]]&amp;Sales[[#This Row],[Invoice no]])</f>
        <v/>
      </c>
      <c r="E7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5" s="19" t="str">
        <f>IF(_xlfn.XLOOKUP(Sales[[#This Row],[Product Name]],Inventory[Product Name],Inventory[Sale Price],"")=0,"",_xlfn.XLOOKUP(Sales[[#This Row],[Product Name]],Inventory[Product Name],Inventory[Sale Price]))</f>
        <v/>
      </c>
      <c r="I775" s="19" t="str">
        <f>IFERROR(G775*H775,"")</f>
        <v/>
      </c>
      <c r="J775" s="19"/>
    </row>
    <row r="776" spans="1:10" ht="21">
      <c r="A776" s="14">
        <v>771</v>
      </c>
      <c r="C776" s="16"/>
      <c r="D776" s="14" t="str">
        <f>IF(Sales[[#This Row],[Product ID]]="","",Sales[[#This Row],[Date]]&amp;Sales[[#This Row],[Invoice no]])</f>
        <v/>
      </c>
      <c r="E7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6" s="19" t="str">
        <f>IF(_xlfn.XLOOKUP(Sales[[#This Row],[Product Name]],Inventory[Product Name],Inventory[Sale Price],"")=0,"",_xlfn.XLOOKUP(Sales[[#This Row],[Product Name]],Inventory[Product Name],Inventory[Sale Price]))</f>
        <v/>
      </c>
      <c r="I776" s="19" t="str">
        <f>IFERROR(G776*H776,"")</f>
        <v/>
      </c>
      <c r="J776" s="19"/>
    </row>
    <row r="777" spans="1:10" ht="21">
      <c r="A777" s="14">
        <v>772</v>
      </c>
      <c r="C777" s="16"/>
      <c r="D777" s="14" t="str">
        <f>IF(Sales[[#This Row],[Product ID]]="","",Sales[[#This Row],[Date]]&amp;Sales[[#This Row],[Invoice no]])</f>
        <v/>
      </c>
      <c r="E7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7" s="19" t="str">
        <f>IF(_xlfn.XLOOKUP(Sales[[#This Row],[Product Name]],Inventory[Product Name],Inventory[Sale Price],"")=0,"",_xlfn.XLOOKUP(Sales[[#This Row],[Product Name]],Inventory[Product Name],Inventory[Sale Price]))</f>
        <v/>
      </c>
      <c r="I777" s="19" t="str">
        <f>IFERROR(G777*H777,"")</f>
        <v/>
      </c>
      <c r="J777" s="19"/>
    </row>
    <row r="778" spans="1:10" ht="21">
      <c r="A778" s="14">
        <v>773</v>
      </c>
      <c r="C778" s="16"/>
      <c r="D778" s="14" t="str">
        <f>IF(Sales[[#This Row],[Product ID]]="","",Sales[[#This Row],[Date]]&amp;Sales[[#This Row],[Invoice no]])</f>
        <v/>
      </c>
      <c r="E7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8" s="19" t="str">
        <f>IF(_xlfn.XLOOKUP(Sales[[#This Row],[Product Name]],Inventory[Product Name],Inventory[Sale Price],"")=0,"",_xlfn.XLOOKUP(Sales[[#This Row],[Product Name]],Inventory[Product Name],Inventory[Sale Price]))</f>
        <v/>
      </c>
      <c r="I778" s="19" t="str">
        <f>IFERROR(G778*H778,"")</f>
        <v/>
      </c>
      <c r="J778" s="19"/>
    </row>
    <row r="779" spans="1:10" ht="21">
      <c r="A779" s="14">
        <v>774</v>
      </c>
      <c r="C779" s="16"/>
      <c r="D779" s="14" t="str">
        <f>IF(Sales[[#This Row],[Product ID]]="","",Sales[[#This Row],[Date]]&amp;Sales[[#This Row],[Invoice no]])</f>
        <v/>
      </c>
      <c r="E7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79" s="19" t="str">
        <f>IF(_xlfn.XLOOKUP(Sales[[#This Row],[Product Name]],Inventory[Product Name],Inventory[Sale Price],"")=0,"",_xlfn.XLOOKUP(Sales[[#This Row],[Product Name]],Inventory[Product Name],Inventory[Sale Price]))</f>
        <v/>
      </c>
      <c r="I779" s="19" t="str">
        <f>IFERROR(G779*H779,"")</f>
        <v/>
      </c>
      <c r="J779" s="19"/>
    </row>
    <row r="780" spans="1:10" ht="21">
      <c r="A780" s="14">
        <v>775</v>
      </c>
      <c r="C780" s="16"/>
      <c r="D780" s="14" t="str">
        <f>IF(Sales[[#This Row],[Product ID]]="","",Sales[[#This Row],[Date]]&amp;Sales[[#This Row],[Invoice no]])</f>
        <v/>
      </c>
      <c r="E7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0" s="19" t="str">
        <f>IF(_xlfn.XLOOKUP(Sales[[#This Row],[Product Name]],Inventory[Product Name],Inventory[Sale Price],"")=0,"",_xlfn.XLOOKUP(Sales[[#This Row],[Product Name]],Inventory[Product Name],Inventory[Sale Price]))</f>
        <v/>
      </c>
      <c r="I780" s="19" t="str">
        <f>IFERROR(G780*H780,"")</f>
        <v/>
      </c>
      <c r="J780" s="19"/>
    </row>
    <row r="781" spans="1:10" ht="21">
      <c r="A781" s="14">
        <v>776</v>
      </c>
      <c r="C781" s="16"/>
      <c r="D781" s="14" t="str">
        <f>IF(Sales[[#This Row],[Product ID]]="","",Sales[[#This Row],[Date]]&amp;Sales[[#This Row],[Invoice no]])</f>
        <v/>
      </c>
      <c r="E7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1" s="19" t="str">
        <f>IF(_xlfn.XLOOKUP(Sales[[#This Row],[Product Name]],Inventory[Product Name],Inventory[Sale Price],"")=0,"",_xlfn.XLOOKUP(Sales[[#This Row],[Product Name]],Inventory[Product Name],Inventory[Sale Price]))</f>
        <v/>
      </c>
      <c r="I781" s="19" t="str">
        <f>IFERROR(G781*H781,"")</f>
        <v/>
      </c>
      <c r="J781" s="19"/>
    </row>
    <row r="782" spans="1:10" ht="21">
      <c r="A782" s="14">
        <v>777</v>
      </c>
      <c r="C782" s="16"/>
      <c r="D782" s="14" t="str">
        <f>IF(Sales[[#This Row],[Product ID]]="","",Sales[[#This Row],[Date]]&amp;Sales[[#This Row],[Invoice no]])</f>
        <v/>
      </c>
      <c r="E7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2" s="19" t="str">
        <f>IF(_xlfn.XLOOKUP(Sales[[#This Row],[Product Name]],Inventory[Product Name],Inventory[Sale Price],"")=0,"",_xlfn.XLOOKUP(Sales[[#This Row],[Product Name]],Inventory[Product Name],Inventory[Sale Price]))</f>
        <v/>
      </c>
      <c r="I782" s="19" t="str">
        <f>IFERROR(G782*H782,"")</f>
        <v/>
      </c>
      <c r="J782" s="19"/>
    </row>
    <row r="783" spans="1:10" ht="21">
      <c r="A783" s="14">
        <v>778</v>
      </c>
      <c r="C783" s="16"/>
      <c r="D783" s="14" t="str">
        <f>IF(Sales[[#This Row],[Product ID]]="","",Sales[[#This Row],[Date]]&amp;Sales[[#This Row],[Invoice no]])</f>
        <v/>
      </c>
      <c r="E7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3" s="19" t="str">
        <f>IF(_xlfn.XLOOKUP(Sales[[#This Row],[Product Name]],Inventory[Product Name],Inventory[Sale Price],"")=0,"",_xlfn.XLOOKUP(Sales[[#This Row],[Product Name]],Inventory[Product Name],Inventory[Sale Price]))</f>
        <v/>
      </c>
      <c r="I783" s="19" t="str">
        <f>IFERROR(G783*H783,"")</f>
        <v/>
      </c>
      <c r="J783" s="19"/>
    </row>
    <row r="784" spans="1:10" ht="21">
      <c r="A784" s="14">
        <v>779</v>
      </c>
      <c r="C784" s="16"/>
      <c r="D784" s="14" t="str">
        <f>IF(Sales[[#This Row],[Product ID]]="","",Sales[[#This Row],[Date]]&amp;Sales[[#This Row],[Invoice no]])</f>
        <v/>
      </c>
      <c r="E7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4" s="19" t="str">
        <f>IF(_xlfn.XLOOKUP(Sales[[#This Row],[Product Name]],Inventory[Product Name],Inventory[Sale Price],"")=0,"",_xlfn.XLOOKUP(Sales[[#This Row],[Product Name]],Inventory[Product Name],Inventory[Sale Price]))</f>
        <v/>
      </c>
      <c r="I784" s="19" t="str">
        <f>IFERROR(G784*H784,"")</f>
        <v/>
      </c>
      <c r="J784" s="19"/>
    </row>
    <row r="785" spans="1:10" ht="21">
      <c r="A785" s="14">
        <v>780</v>
      </c>
      <c r="C785" s="16"/>
      <c r="D785" s="14" t="str">
        <f>IF(Sales[[#This Row],[Product ID]]="","",Sales[[#This Row],[Date]]&amp;Sales[[#This Row],[Invoice no]])</f>
        <v/>
      </c>
      <c r="E7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5" s="19" t="str">
        <f>IF(_xlfn.XLOOKUP(Sales[[#This Row],[Product Name]],Inventory[Product Name],Inventory[Sale Price],"")=0,"",_xlfn.XLOOKUP(Sales[[#This Row],[Product Name]],Inventory[Product Name],Inventory[Sale Price]))</f>
        <v/>
      </c>
      <c r="I785" s="19" t="str">
        <f>IFERROR(G785*H785,"")</f>
        <v/>
      </c>
      <c r="J785" s="19"/>
    </row>
    <row r="786" spans="1:10" ht="21">
      <c r="A786" s="14">
        <v>781</v>
      </c>
      <c r="C786" s="16"/>
      <c r="D786" s="14" t="str">
        <f>IF(Sales[[#This Row],[Product ID]]="","",Sales[[#This Row],[Date]]&amp;Sales[[#This Row],[Invoice no]])</f>
        <v/>
      </c>
      <c r="E7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6" s="19" t="str">
        <f>IF(_xlfn.XLOOKUP(Sales[[#This Row],[Product Name]],Inventory[Product Name],Inventory[Sale Price],"")=0,"",_xlfn.XLOOKUP(Sales[[#This Row],[Product Name]],Inventory[Product Name],Inventory[Sale Price]))</f>
        <v/>
      </c>
      <c r="I786" s="19" t="str">
        <f>IFERROR(G786*H786,"")</f>
        <v/>
      </c>
      <c r="J786" s="19"/>
    </row>
    <row r="787" spans="1:10" ht="21">
      <c r="A787" s="14">
        <v>782</v>
      </c>
      <c r="C787" s="16"/>
      <c r="D787" s="14" t="str">
        <f>IF(Sales[[#This Row],[Product ID]]="","",Sales[[#This Row],[Date]]&amp;Sales[[#This Row],[Invoice no]])</f>
        <v/>
      </c>
      <c r="E7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7" s="19" t="str">
        <f>IF(_xlfn.XLOOKUP(Sales[[#This Row],[Product Name]],Inventory[Product Name],Inventory[Sale Price],"")=0,"",_xlfn.XLOOKUP(Sales[[#This Row],[Product Name]],Inventory[Product Name],Inventory[Sale Price]))</f>
        <v/>
      </c>
      <c r="I787" s="19" t="str">
        <f>IFERROR(G787*H787,"")</f>
        <v/>
      </c>
      <c r="J787" s="19"/>
    </row>
    <row r="788" spans="1:10" ht="21">
      <c r="A788" s="14">
        <v>783</v>
      </c>
      <c r="C788" s="16"/>
      <c r="D788" s="14" t="str">
        <f>IF(Sales[[#This Row],[Product ID]]="","",Sales[[#This Row],[Date]]&amp;Sales[[#This Row],[Invoice no]])</f>
        <v/>
      </c>
      <c r="E7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8" s="19" t="str">
        <f>IF(_xlfn.XLOOKUP(Sales[[#This Row],[Product Name]],Inventory[Product Name],Inventory[Sale Price],"")=0,"",_xlfn.XLOOKUP(Sales[[#This Row],[Product Name]],Inventory[Product Name],Inventory[Sale Price]))</f>
        <v/>
      </c>
      <c r="I788" s="19" t="str">
        <f>IFERROR(G788*H788,"")</f>
        <v/>
      </c>
      <c r="J788" s="19"/>
    </row>
    <row r="789" spans="1:10" ht="21">
      <c r="A789" s="14">
        <v>784</v>
      </c>
      <c r="C789" s="16"/>
      <c r="D789" s="14" t="str">
        <f>IF(Sales[[#This Row],[Product ID]]="","",Sales[[#This Row],[Date]]&amp;Sales[[#This Row],[Invoice no]])</f>
        <v/>
      </c>
      <c r="E7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89" s="19" t="str">
        <f>IF(_xlfn.XLOOKUP(Sales[[#This Row],[Product Name]],Inventory[Product Name],Inventory[Sale Price],"")=0,"",_xlfn.XLOOKUP(Sales[[#This Row],[Product Name]],Inventory[Product Name],Inventory[Sale Price]))</f>
        <v/>
      </c>
      <c r="I789" s="19" t="str">
        <f>IFERROR(G789*H789,"")</f>
        <v/>
      </c>
      <c r="J789" s="19"/>
    </row>
    <row r="790" spans="1:10" ht="21">
      <c r="A790" s="14">
        <v>785</v>
      </c>
      <c r="C790" s="16"/>
      <c r="D790" s="14" t="str">
        <f>IF(Sales[[#This Row],[Product ID]]="","",Sales[[#This Row],[Date]]&amp;Sales[[#This Row],[Invoice no]])</f>
        <v/>
      </c>
      <c r="E7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0" s="19" t="str">
        <f>IF(_xlfn.XLOOKUP(Sales[[#This Row],[Product Name]],Inventory[Product Name],Inventory[Sale Price],"")=0,"",_xlfn.XLOOKUP(Sales[[#This Row],[Product Name]],Inventory[Product Name],Inventory[Sale Price]))</f>
        <v/>
      </c>
      <c r="I790" s="19" t="str">
        <f>IFERROR(G790*H790,"")</f>
        <v/>
      </c>
      <c r="J790" s="19"/>
    </row>
    <row r="791" spans="1:10" ht="21">
      <c r="A791" s="14">
        <v>786</v>
      </c>
      <c r="C791" s="16"/>
      <c r="D791" s="14" t="str">
        <f>IF(Sales[[#This Row],[Product ID]]="","",Sales[[#This Row],[Date]]&amp;Sales[[#This Row],[Invoice no]])</f>
        <v/>
      </c>
      <c r="E7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1" s="19" t="str">
        <f>IF(_xlfn.XLOOKUP(Sales[[#This Row],[Product Name]],Inventory[Product Name],Inventory[Sale Price],"")=0,"",_xlfn.XLOOKUP(Sales[[#This Row],[Product Name]],Inventory[Product Name],Inventory[Sale Price]))</f>
        <v/>
      </c>
      <c r="I791" s="19" t="str">
        <f>IFERROR(G791*H791,"")</f>
        <v/>
      </c>
      <c r="J791" s="19"/>
    </row>
    <row r="792" spans="1:10" ht="21">
      <c r="A792" s="14">
        <v>787</v>
      </c>
      <c r="C792" s="16"/>
      <c r="D792" s="14" t="str">
        <f>IF(Sales[[#This Row],[Product ID]]="","",Sales[[#This Row],[Date]]&amp;Sales[[#This Row],[Invoice no]])</f>
        <v/>
      </c>
      <c r="E7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2" s="19" t="str">
        <f>IF(_xlfn.XLOOKUP(Sales[[#This Row],[Product Name]],Inventory[Product Name],Inventory[Sale Price],"")=0,"",_xlfn.XLOOKUP(Sales[[#This Row],[Product Name]],Inventory[Product Name],Inventory[Sale Price]))</f>
        <v/>
      </c>
      <c r="I792" s="19" t="str">
        <f>IFERROR(G792*H792,"")</f>
        <v/>
      </c>
      <c r="J792" s="19"/>
    </row>
    <row r="793" spans="1:10" ht="21">
      <c r="A793" s="14">
        <v>788</v>
      </c>
      <c r="C793" s="16"/>
      <c r="D793" s="14" t="str">
        <f>IF(Sales[[#This Row],[Product ID]]="","",Sales[[#This Row],[Date]]&amp;Sales[[#This Row],[Invoice no]])</f>
        <v/>
      </c>
      <c r="E7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3" s="19" t="str">
        <f>IF(_xlfn.XLOOKUP(Sales[[#This Row],[Product Name]],Inventory[Product Name],Inventory[Sale Price],"")=0,"",_xlfn.XLOOKUP(Sales[[#This Row],[Product Name]],Inventory[Product Name],Inventory[Sale Price]))</f>
        <v/>
      </c>
      <c r="I793" s="19" t="str">
        <f>IFERROR(G793*H793,"")</f>
        <v/>
      </c>
      <c r="J793" s="19"/>
    </row>
    <row r="794" spans="1:10" ht="21">
      <c r="A794" s="14">
        <v>789</v>
      </c>
      <c r="C794" s="16"/>
      <c r="D794" s="14" t="str">
        <f>IF(Sales[[#This Row],[Product ID]]="","",Sales[[#This Row],[Date]]&amp;Sales[[#This Row],[Invoice no]])</f>
        <v/>
      </c>
      <c r="E7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4" s="19" t="str">
        <f>IF(_xlfn.XLOOKUP(Sales[[#This Row],[Product Name]],Inventory[Product Name],Inventory[Sale Price],"")=0,"",_xlfn.XLOOKUP(Sales[[#This Row],[Product Name]],Inventory[Product Name],Inventory[Sale Price]))</f>
        <v/>
      </c>
      <c r="I794" s="19" t="str">
        <f>IFERROR(G794*H794,"")</f>
        <v/>
      </c>
      <c r="J794" s="19"/>
    </row>
    <row r="795" spans="1:10" ht="21">
      <c r="A795" s="14">
        <v>790</v>
      </c>
      <c r="C795" s="16"/>
      <c r="D795" s="14" t="str">
        <f>IF(Sales[[#This Row],[Product ID]]="","",Sales[[#This Row],[Date]]&amp;Sales[[#This Row],[Invoice no]])</f>
        <v/>
      </c>
      <c r="E7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5" s="19" t="str">
        <f>IF(_xlfn.XLOOKUP(Sales[[#This Row],[Product Name]],Inventory[Product Name],Inventory[Sale Price],"")=0,"",_xlfn.XLOOKUP(Sales[[#This Row],[Product Name]],Inventory[Product Name],Inventory[Sale Price]))</f>
        <v/>
      </c>
      <c r="I795" s="19" t="str">
        <f>IFERROR(G795*H795,"")</f>
        <v/>
      </c>
      <c r="J795" s="19"/>
    </row>
    <row r="796" spans="1:10" ht="21">
      <c r="A796" s="14">
        <v>791</v>
      </c>
      <c r="C796" s="16"/>
      <c r="D796" s="14" t="str">
        <f>IF(Sales[[#This Row],[Product ID]]="","",Sales[[#This Row],[Date]]&amp;Sales[[#This Row],[Invoice no]])</f>
        <v/>
      </c>
      <c r="E7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6" s="19" t="str">
        <f>IF(_xlfn.XLOOKUP(Sales[[#This Row],[Product Name]],Inventory[Product Name],Inventory[Sale Price],"")=0,"",_xlfn.XLOOKUP(Sales[[#This Row],[Product Name]],Inventory[Product Name],Inventory[Sale Price]))</f>
        <v/>
      </c>
      <c r="I796" s="19" t="str">
        <f>IFERROR(G796*H796,"")</f>
        <v/>
      </c>
      <c r="J796" s="19"/>
    </row>
    <row r="797" spans="1:10" ht="21">
      <c r="A797" s="14">
        <v>792</v>
      </c>
      <c r="C797" s="16"/>
      <c r="D797" s="14" t="str">
        <f>IF(Sales[[#This Row],[Product ID]]="","",Sales[[#This Row],[Date]]&amp;Sales[[#This Row],[Invoice no]])</f>
        <v/>
      </c>
      <c r="E7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7" s="19" t="str">
        <f>IF(_xlfn.XLOOKUP(Sales[[#This Row],[Product Name]],Inventory[Product Name],Inventory[Sale Price],"")=0,"",_xlfn.XLOOKUP(Sales[[#This Row],[Product Name]],Inventory[Product Name],Inventory[Sale Price]))</f>
        <v/>
      </c>
      <c r="I797" s="19" t="str">
        <f>IFERROR(G797*H797,"")</f>
        <v/>
      </c>
      <c r="J797" s="19"/>
    </row>
    <row r="798" spans="1:10" ht="21">
      <c r="A798" s="14">
        <v>793</v>
      </c>
      <c r="C798" s="16"/>
      <c r="D798" s="14" t="str">
        <f>IF(Sales[[#This Row],[Product ID]]="","",Sales[[#This Row],[Date]]&amp;Sales[[#This Row],[Invoice no]])</f>
        <v/>
      </c>
      <c r="E7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8" s="19" t="str">
        <f>IF(_xlfn.XLOOKUP(Sales[[#This Row],[Product Name]],Inventory[Product Name],Inventory[Sale Price],"")=0,"",_xlfn.XLOOKUP(Sales[[#This Row],[Product Name]],Inventory[Product Name],Inventory[Sale Price]))</f>
        <v/>
      </c>
      <c r="I798" s="19" t="str">
        <f>IFERROR(G798*H798,"")</f>
        <v/>
      </c>
      <c r="J798" s="19"/>
    </row>
    <row r="799" spans="1:10" ht="21">
      <c r="A799" s="14">
        <v>794</v>
      </c>
      <c r="C799" s="16"/>
      <c r="D799" s="14" t="str">
        <f>IF(Sales[[#This Row],[Product ID]]="","",Sales[[#This Row],[Date]]&amp;Sales[[#This Row],[Invoice no]])</f>
        <v/>
      </c>
      <c r="E7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799" s="19" t="str">
        <f>IF(_xlfn.XLOOKUP(Sales[[#This Row],[Product Name]],Inventory[Product Name],Inventory[Sale Price],"")=0,"",_xlfn.XLOOKUP(Sales[[#This Row],[Product Name]],Inventory[Product Name],Inventory[Sale Price]))</f>
        <v/>
      </c>
      <c r="I799" s="19" t="str">
        <f>IFERROR(G799*H799,"")</f>
        <v/>
      </c>
      <c r="J799" s="19"/>
    </row>
    <row r="800" spans="1:10" ht="21">
      <c r="A800" s="14">
        <v>795</v>
      </c>
      <c r="C800" s="16"/>
      <c r="D800" s="14" t="str">
        <f>IF(Sales[[#This Row],[Product ID]]="","",Sales[[#This Row],[Date]]&amp;Sales[[#This Row],[Invoice no]])</f>
        <v/>
      </c>
      <c r="E8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0" s="19" t="str">
        <f>IF(_xlfn.XLOOKUP(Sales[[#This Row],[Product Name]],Inventory[Product Name],Inventory[Sale Price],"")=0,"",_xlfn.XLOOKUP(Sales[[#This Row],[Product Name]],Inventory[Product Name],Inventory[Sale Price]))</f>
        <v/>
      </c>
      <c r="I800" s="19" t="str">
        <f>IFERROR(G800*H800,"")</f>
        <v/>
      </c>
      <c r="J800" s="19"/>
    </row>
    <row r="801" spans="1:10" ht="21">
      <c r="A801" s="14">
        <v>796</v>
      </c>
      <c r="C801" s="16"/>
      <c r="D801" s="14" t="str">
        <f>IF(Sales[[#This Row],[Product ID]]="","",Sales[[#This Row],[Date]]&amp;Sales[[#This Row],[Invoice no]])</f>
        <v/>
      </c>
      <c r="E8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1" s="19" t="str">
        <f>IF(_xlfn.XLOOKUP(Sales[[#This Row],[Product Name]],Inventory[Product Name],Inventory[Sale Price],"")=0,"",_xlfn.XLOOKUP(Sales[[#This Row],[Product Name]],Inventory[Product Name],Inventory[Sale Price]))</f>
        <v/>
      </c>
      <c r="I801" s="19" t="str">
        <f>IFERROR(G801*H801,"")</f>
        <v/>
      </c>
      <c r="J801" s="19"/>
    </row>
    <row r="802" spans="1:10" ht="21">
      <c r="A802" s="14">
        <v>797</v>
      </c>
      <c r="C802" s="16"/>
      <c r="D802" s="14" t="str">
        <f>IF(Sales[[#This Row],[Product ID]]="","",Sales[[#This Row],[Date]]&amp;Sales[[#This Row],[Invoice no]])</f>
        <v/>
      </c>
      <c r="E8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2" s="19" t="str">
        <f>IF(_xlfn.XLOOKUP(Sales[[#This Row],[Product Name]],Inventory[Product Name],Inventory[Sale Price],"")=0,"",_xlfn.XLOOKUP(Sales[[#This Row],[Product Name]],Inventory[Product Name],Inventory[Sale Price]))</f>
        <v/>
      </c>
      <c r="I802" s="19" t="str">
        <f>IFERROR(G802*H802,"")</f>
        <v/>
      </c>
      <c r="J802" s="19"/>
    </row>
    <row r="803" spans="1:10" ht="21">
      <c r="A803" s="14">
        <v>798</v>
      </c>
      <c r="C803" s="16"/>
      <c r="D803" s="14" t="str">
        <f>IF(Sales[[#This Row],[Product ID]]="","",Sales[[#This Row],[Date]]&amp;Sales[[#This Row],[Invoice no]])</f>
        <v/>
      </c>
      <c r="E8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3" s="19" t="str">
        <f>IF(_xlfn.XLOOKUP(Sales[[#This Row],[Product Name]],Inventory[Product Name],Inventory[Sale Price],"")=0,"",_xlfn.XLOOKUP(Sales[[#This Row],[Product Name]],Inventory[Product Name],Inventory[Sale Price]))</f>
        <v/>
      </c>
      <c r="I803" s="19" t="str">
        <f>IFERROR(G803*H803,"")</f>
        <v/>
      </c>
      <c r="J803" s="19"/>
    </row>
    <row r="804" spans="1:10" ht="21">
      <c r="A804" s="14">
        <v>799</v>
      </c>
      <c r="C804" s="16"/>
      <c r="D804" s="14" t="str">
        <f>IF(Sales[[#This Row],[Product ID]]="","",Sales[[#This Row],[Date]]&amp;Sales[[#This Row],[Invoice no]])</f>
        <v/>
      </c>
      <c r="E8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4" s="19" t="str">
        <f>IF(_xlfn.XLOOKUP(Sales[[#This Row],[Product Name]],Inventory[Product Name],Inventory[Sale Price],"")=0,"",_xlfn.XLOOKUP(Sales[[#This Row],[Product Name]],Inventory[Product Name],Inventory[Sale Price]))</f>
        <v/>
      </c>
      <c r="I804" s="19" t="str">
        <f>IFERROR(G804*H804,"")</f>
        <v/>
      </c>
      <c r="J804" s="19"/>
    </row>
    <row r="805" spans="1:10" ht="21">
      <c r="A805" s="14">
        <v>800</v>
      </c>
      <c r="C805" s="16"/>
      <c r="D805" s="14" t="str">
        <f>IF(Sales[[#This Row],[Product ID]]="","",Sales[[#This Row],[Date]]&amp;Sales[[#This Row],[Invoice no]])</f>
        <v/>
      </c>
      <c r="E8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5" s="19" t="str">
        <f>IF(_xlfn.XLOOKUP(Sales[[#This Row],[Product Name]],Inventory[Product Name],Inventory[Sale Price],"")=0,"",_xlfn.XLOOKUP(Sales[[#This Row],[Product Name]],Inventory[Product Name],Inventory[Sale Price]))</f>
        <v/>
      </c>
      <c r="I805" s="19" t="str">
        <f>IFERROR(G805*H805,"")</f>
        <v/>
      </c>
      <c r="J805" s="19"/>
    </row>
    <row r="806" spans="1:10" ht="21">
      <c r="A806" s="14">
        <v>801</v>
      </c>
      <c r="C806" s="16"/>
      <c r="D806" s="14" t="str">
        <f>IF(Sales[[#This Row],[Product ID]]="","",Sales[[#This Row],[Date]]&amp;Sales[[#This Row],[Invoice no]])</f>
        <v/>
      </c>
      <c r="E8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6" s="19" t="str">
        <f>IF(_xlfn.XLOOKUP(Sales[[#This Row],[Product Name]],Inventory[Product Name],Inventory[Sale Price],"")=0,"",_xlfn.XLOOKUP(Sales[[#This Row],[Product Name]],Inventory[Product Name],Inventory[Sale Price]))</f>
        <v/>
      </c>
      <c r="I806" s="19" t="str">
        <f>IFERROR(G806*H806,"")</f>
        <v/>
      </c>
      <c r="J806" s="19"/>
    </row>
    <row r="807" spans="1:10" ht="21">
      <c r="A807" s="14">
        <v>802</v>
      </c>
      <c r="C807" s="16"/>
      <c r="D807" s="14" t="str">
        <f>IF(Sales[[#This Row],[Product ID]]="","",Sales[[#This Row],[Date]]&amp;Sales[[#This Row],[Invoice no]])</f>
        <v/>
      </c>
      <c r="E8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7" s="19" t="str">
        <f>IF(_xlfn.XLOOKUP(Sales[[#This Row],[Product Name]],Inventory[Product Name],Inventory[Sale Price],"")=0,"",_xlfn.XLOOKUP(Sales[[#This Row],[Product Name]],Inventory[Product Name],Inventory[Sale Price]))</f>
        <v/>
      </c>
      <c r="I807" s="19" t="str">
        <f>IFERROR(G807*H807,"")</f>
        <v/>
      </c>
      <c r="J807" s="19"/>
    </row>
    <row r="808" spans="1:10" ht="21">
      <c r="A808" s="14">
        <v>803</v>
      </c>
      <c r="C808" s="16"/>
      <c r="D808" s="14" t="str">
        <f>IF(Sales[[#This Row],[Product ID]]="","",Sales[[#This Row],[Date]]&amp;Sales[[#This Row],[Invoice no]])</f>
        <v/>
      </c>
      <c r="E8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8" s="19" t="str">
        <f>IF(_xlfn.XLOOKUP(Sales[[#This Row],[Product Name]],Inventory[Product Name],Inventory[Sale Price],"")=0,"",_xlfn.XLOOKUP(Sales[[#This Row],[Product Name]],Inventory[Product Name],Inventory[Sale Price]))</f>
        <v/>
      </c>
      <c r="I808" s="19" t="str">
        <f>IFERROR(G808*H808,"")</f>
        <v/>
      </c>
      <c r="J808" s="19"/>
    </row>
    <row r="809" spans="1:10" ht="21">
      <c r="A809" s="14">
        <v>804</v>
      </c>
      <c r="C809" s="16"/>
      <c r="D809" s="14" t="str">
        <f>IF(Sales[[#This Row],[Product ID]]="","",Sales[[#This Row],[Date]]&amp;Sales[[#This Row],[Invoice no]])</f>
        <v/>
      </c>
      <c r="E8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09" s="19" t="str">
        <f>IF(_xlfn.XLOOKUP(Sales[[#This Row],[Product Name]],Inventory[Product Name],Inventory[Sale Price],"")=0,"",_xlfn.XLOOKUP(Sales[[#This Row],[Product Name]],Inventory[Product Name],Inventory[Sale Price]))</f>
        <v/>
      </c>
      <c r="I809" s="19" t="str">
        <f>IFERROR(G809*H809,"")</f>
        <v/>
      </c>
      <c r="J809" s="19"/>
    </row>
    <row r="810" spans="1:10" ht="21">
      <c r="A810" s="14">
        <v>805</v>
      </c>
      <c r="C810" s="16"/>
      <c r="D810" s="14" t="str">
        <f>IF(Sales[[#This Row],[Product ID]]="","",Sales[[#This Row],[Date]]&amp;Sales[[#This Row],[Invoice no]])</f>
        <v/>
      </c>
      <c r="E8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0" s="19" t="str">
        <f>IF(_xlfn.XLOOKUP(Sales[[#This Row],[Product Name]],Inventory[Product Name],Inventory[Sale Price],"")=0,"",_xlfn.XLOOKUP(Sales[[#This Row],[Product Name]],Inventory[Product Name],Inventory[Sale Price]))</f>
        <v/>
      </c>
      <c r="I810" s="19" t="str">
        <f>IFERROR(G810*H810,"")</f>
        <v/>
      </c>
      <c r="J810" s="19"/>
    </row>
    <row r="811" spans="1:10" ht="21">
      <c r="A811" s="14">
        <v>806</v>
      </c>
      <c r="C811" s="16"/>
      <c r="D811" s="14" t="str">
        <f>IF(Sales[[#This Row],[Product ID]]="","",Sales[[#This Row],[Date]]&amp;Sales[[#This Row],[Invoice no]])</f>
        <v/>
      </c>
      <c r="E8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1" s="19" t="str">
        <f>IF(_xlfn.XLOOKUP(Sales[[#This Row],[Product Name]],Inventory[Product Name],Inventory[Sale Price],"")=0,"",_xlfn.XLOOKUP(Sales[[#This Row],[Product Name]],Inventory[Product Name],Inventory[Sale Price]))</f>
        <v/>
      </c>
      <c r="I811" s="19" t="str">
        <f>IFERROR(G811*H811,"")</f>
        <v/>
      </c>
      <c r="J811" s="19"/>
    </row>
    <row r="812" spans="1:10" ht="21">
      <c r="A812" s="14">
        <v>807</v>
      </c>
      <c r="C812" s="16"/>
      <c r="D812" s="14" t="str">
        <f>IF(Sales[[#This Row],[Product ID]]="","",Sales[[#This Row],[Date]]&amp;Sales[[#This Row],[Invoice no]])</f>
        <v/>
      </c>
      <c r="E8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2" s="19" t="str">
        <f>IF(_xlfn.XLOOKUP(Sales[[#This Row],[Product Name]],Inventory[Product Name],Inventory[Sale Price],"")=0,"",_xlfn.XLOOKUP(Sales[[#This Row],[Product Name]],Inventory[Product Name],Inventory[Sale Price]))</f>
        <v/>
      </c>
      <c r="I812" s="19" t="str">
        <f>IFERROR(G812*H812,"")</f>
        <v/>
      </c>
      <c r="J812" s="19"/>
    </row>
    <row r="813" spans="1:10" ht="21">
      <c r="A813" s="14">
        <v>808</v>
      </c>
      <c r="C813" s="16"/>
      <c r="D813" s="14" t="str">
        <f>IF(Sales[[#This Row],[Product ID]]="","",Sales[[#This Row],[Date]]&amp;Sales[[#This Row],[Invoice no]])</f>
        <v/>
      </c>
      <c r="E8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3" s="19" t="str">
        <f>IF(_xlfn.XLOOKUP(Sales[[#This Row],[Product Name]],Inventory[Product Name],Inventory[Sale Price],"")=0,"",_xlfn.XLOOKUP(Sales[[#This Row],[Product Name]],Inventory[Product Name],Inventory[Sale Price]))</f>
        <v/>
      </c>
      <c r="I813" s="19" t="str">
        <f>IFERROR(G813*H813,"")</f>
        <v/>
      </c>
      <c r="J813" s="19"/>
    </row>
    <row r="814" spans="1:10" ht="21">
      <c r="A814" s="14">
        <v>809</v>
      </c>
      <c r="C814" s="16"/>
      <c r="D814" s="14" t="str">
        <f>IF(Sales[[#This Row],[Product ID]]="","",Sales[[#This Row],[Date]]&amp;Sales[[#This Row],[Invoice no]])</f>
        <v/>
      </c>
      <c r="E8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4" s="19" t="str">
        <f>IF(_xlfn.XLOOKUP(Sales[[#This Row],[Product Name]],Inventory[Product Name],Inventory[Sale Price],"")=0,"",_xlfn.XLOOKUP(Sales[[#This Row],[Product Name]],Inventory[Product Name],Inventory[Sale Price]))</f>
        <v/>
      </c>
      <c r="I814" s="19" t="str">
        <f>IFERROR(G814*H814,"")</f>
        <v/>
      </c>
      <c r="J814" s="19"/>
    </row>
    <row r="815" spans="1:10" ht="21">
      <c r="A815" s="14">
        <v>810</v>
      </c>
      <c r="C815" s="16"/>
      <c r="D815" s="14" t="str">
        <f>IF(Sales[[#This Row],[Product ID]]="","",Sales[[#This Row],[Date]]&amp;Sales[[#This Row],[Invoice no]])</f>
        <v/>
      </c>
      <c r="E8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5" s="19" t="str">
        <f>IF(_xlfn.XLOOKUP(Sales[[#This Row],[Product Name]],Inventory[Product Name],Inventory[Sale Price],"")=0,"",_xlfn.XLOOKUP(Sales[[#This Row],[Product Name]],Inventory[Product Name],Inventory[Sale Price]))</f>
        <v/>
      </c>
      <c r="I815" s="19" t="str">
        <f>IFERROR(G815*H815,"")</f>
        <v/>
      </c>
      <c r="J815" s="19"/>
    </row>
    <row r="816" spans="1:10" ht="21">
      <c r="A816" s="14">
        <v>811</v>
      </c>
      <c r="C816" s="16"/>
      <c r="D816" s="14" t="str">
        <f>IF(Sales[[#This Row],[Product ID]]="","",Sales[[#This Row],[Date]]&amp;Sales[[#This Row],[Invoice no]])</f>
        <v/>
      </c>
      <c r="E8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6" s="19" t="str">
        <f>IF(_xlfn.XLOOKUP(Sales[[#This Row],[Product Name]],Inventory[Product Name],Inventory[Sale Price],"")=0,"",_xlfn.XLOOKUP(Sales[[#This Row],[Product Name]],Inventory[Product Name],Inventory[Sale Price]))</f>
        <v/>
      </c>
      <c r="I816" s="19" t="str">
        <f>IFERROR(G816*H816,"")</f>
        <v/>
      </c>
      <c r="J816" s="19"/>
    </row>
    <row r="817" spans="1:10" ht="21">
      <c r="A817" s="14">
        <v>812</v>
      </c>
      <c r="C817" s="16"/>
      <c r="D817" s="14" t="str">
        <f>IF(Sales[[#This Row],[Product ID]]="","",Sales[[#This Row],[Date]]&amp;Sales[[#This Row],[Invoice no]])</f>
        <v/>
      </c>
      <c r="E8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7" s="19" t="str">
        <f>IF(_xlfn.XLOOKUP(Sales[[#This Row],[Product Name]],Inventory[Product Name],Inventory[Sale Price],"")=0,"",_xlfn.XLOOKUP(Sales[[#This Row],[Product Name]],Inventory[Product Name],Inventory[Sale Price]))</f>
        <v/>
      </c>
      <c r="I817" s="19" t="str">
        <f>IFERROR(G817*H817,"")</f>
        <v/>
      </c>
      <c r="J817" s="19"/>
    </row>
    <row r="818" spans="1:10" ht="21">
      <c r="A818" s="14">
        <v>813</v>
      </c>
      <c r="C818" s="16"/>
      <c r="D818" s="14" t="str">
        <f>IF(Sales[[#This Row],[Product ID]]="","",Sales[[#This Row],[Date]]&amp;Sales[[#This Row],[Invoice no]])</f>
        <v/>
      </c>
      <c r="E8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8" s="19" t="str">
        <f>IF(_xlfn.XLOOKUP(Sales[[#This Row],[Product Name]],Inventory[Product Name],Inventory[Sale Price],"")=0,"",_xlfn.XLOOKUP(Sales[[#This Row],[Product Name]],Inventory[Product Name],Inventory[Sale Price]))</f>
        <v/>
      </c>
      <c r="I818" s="19" t="str">
        <f>IFERROR(G818*H818,"")</f>
        <v/>
      </c>
      <c r="J818" s="19"/>
    </row>
    <row r="819" spans="1:10" ht="21">
      <c r="A819" s="14">
        <v>814</v>
      </c>
      <c r="C819" s="16"/>
      <c r="D819" s="14" t="str">
        <f>IF(Sales[[#This Row],[Product ID]]="","",Sales[[#This Row],[Date]]&amp;Sales[[#This Row],[Invoice no]])</f>
        <v/>
      </c>
      <c r="E8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19" s="19" t="str">
        <f>IF(_xlfn.XLOOKUP(Sales[[#This Row],[Product Name]],Inventory[Product Name],Inventory[Sale Price],"")=0,"",_xlfn.XLOOKUP(Sales[[#This Row],[Product Name]],Inventory[Product Name],Inventory[Sale Price]))</f>
        <v/>
      </c>
      <c r="I819" s="19" t="str">
        <f>IFERROR(G819*H819,"")</f>
        <v/>
      </c>
      <c r="J819" s="19"/>
    </row>
    <row r="820" spans="1:10" ht="21">
      <c r="A820" s="14">
        <v>815</v>
      </c>
      <c r="C820" s="16"/>
      <c r="D820" s="14" t="str">
        <f>IF(Sales[[#This Row],[Product ID]]="","",Sales[[#This Row],[Date]]&amp;Sales[[#This Row],[Invoice no]])</f>
        <v/>
      </c>
      <c r="E8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0" s="19" t="str">
        <f>IF(_xlfn.XLOOKUP(Sales[[#This Row],[Product Name]],Inventory[Product Name],Inventory[Sale Price],"")=0,"",_xlfn.XLOOKUP(Sales[[#This Row],[Product Name]],Inventory[Product Name],Inventory[Sale Price]))</f>
        <v/>
      </c>
      <c r="I820" s="19" t="str">
        <f>IFERROR(G820*H820,"")</f>
        <v/>
      </c>
      <c r="J820" s="19"/>
    </row>
    <row r="821" spans="1:10" ht="21">
      <c r="A821" s="14">
        <v>816</v>
      </c>
      <c r="C821" s="16"/>
      <c r="D821" s="14" t="str">
        <f>IF(Sales[[#This Row],[Product ID]]="","",Sales[[#This Row],[Date]]&amp;Sales[[#This Row],[Invoice no]])</f>
        <v/>
      </c>
      <c r="E8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1" s="19" t="str">
        <f>IF(_xlfn.XLOOKUP(Sales[[#This Row],[Product Name]],Inventory[Product Name],Inventory[Sale Price],"")=0,"",_xlfn.XLOOKUP(Sales[[#This Row],[Product Name]],Inventory[Product Name],Inventory[Sale Price]))</f>
        <v/>
      </c>
      <c r="I821" s="19" t="str">
        <f>IFERROR(G821*H821,"")</f>
        <v/>
      </c>
      <c r="J821" s="19"/>
    </row>
    <row r="822" spans="1:10" ht="21">
      <c r="A822" s="14">
        <v>817</v>
      </c>
      <c r="C822" s="16"/>
      <c r="D822" s="14" t="str">
        <f>IF(Sales[[#This Row],[Product ID]]="","",Sales[[#This Row],[Date]]&amp;Sales[[#This Row],[Invoice no]])</f>
        <v/>
      </c>
      <c r="E8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2" s="19" t="str">
        <f>IF(_xlfn.XLOOKUP(Sales[[#This Row],[Product Name]],Inventory[Product Name],Inventory[Sale Price],"")=0,"",_xlfn.XLOOKUP(Sales[[#This Row],[Product Name]],Inventory[Product Name],Inventory[Sale Price]))</f>
        <v/>
      </c>
      <c r="I822" s="19" t="str">
        <f>IFERROR(G822*H822,"")</f>
        <v/>
      </c>
      <c r="J822" s="19"/>
    </row>
    <row r="823" spans="1:10" ht="21">
      <c r="A823" s="14">
        <v>818</v>
      </c>
      <c r="C823" s="16"/>
      <c r="D823" s="14" t="str">
        <f>IF(Sales[[#This Row],[Product ID]]="","",Sales[[#This Row],[Date]]&amp;Sales[[#This Row],[Invoice no]])</f>
        <v/>
      </c>
      <c r="E8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3" s="19" t="str">
        <f>IF(_xlfn.XLOOKUP(Sales[[#This Row],[Product Name]],Inventory[Product Name],Inventory[Sale Price],"")=0,"",_xlfn.XLOOKUP(Sales[[#This Row],[Product Name]],Inventory[Product Name],Inventory[Sale Price]))</f>
        <v/>
      </c>
      <c r="I823" s="19" t="str">
        <f>IFERROR(G823*H823,"")</f>
        <v/>
      </c>
      <c r="J823" s="19"/>
    </row>
    <row r="824" spans="1:10" ht="21">
      <c r="A824" s="14">
        <v>819</v>
      </c>
      <c r="C824" s="16"/>
      <c r="D824" s="14" t="str">
        <f>IF(Sales[[#This Row],[Product ID]]="","",Sales[[#This Row],[Date]]&amp;Sales[[#This Row],[Invoice no]])</f>
        <v/>
      </c>
      <c r="E8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4" s="19" t="str">
        <f>IF(_xlfn.XLOOKUP(Sales[[#This Row],[Product Name]],Inventory[Product Name],Inventory[Sale Price],"")=0,"",_xlfn.XLOOKUP(Sales[[#This Row],[Product Name]],Inventory[Product Name],Inventory[Sale Price]))</f>
        <v/>
      </c>
      <c r="I824" s="19" t="str">
        <f>IFERROR(G824*H824,"")</f>
        <v/>
      </c>
      <c r="J824" s="19"/>
    </row>
    <row r="825" spans="1:10" ht="21">
      <c r="A825" s="14">
        <v>820</v>
      </c>
      <c r="C825" s="16"/>
      <c r="D825" s="14" t="str">
        <f>IF(Sales[[#This Row],[Product ID]]="","",Sales[[#This Row],[Date]]&amp;Sales[[#This Row],[Invoice no]])</f>
        <v/>
      </c>
      <c r="E8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5" s="19" t="str">
        <f>IF(_xlfn.XLOOKUP(Sales[[#This Row],[Product Name]],Inventory[Product Name],Inventory[Sale Price],"")=0,"",_xlfn.XLOOKUP(Sales[[#This Row],[Product Name]],Inventory[Product Name],Inventory[Sale Price]))</f>
        <v/>
      </c>
      <c r="I825" s="19" t="str">
        <f>IFERROR(G825*H825,"")</f>
        <v/>
      </c>
      <c r="J825" s="19"/>
    </row>
    <row r="826" spans="1:10" ht="21">
      <c r="A826" s="14">
        <v>821</v>
      </c>
      <c r="C826" s="16"/>
      <c r="D826" s="14" t="str">
        <f>IF(Sales[[#This Row],[Product ID]]="","",Sales[[#This Row],[Date]]&amp;Sales[[#This Row],[Invoice no]])</f>
        <v/>
      </c>
      <c r="E8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6" s="19" t="str">
        <f>IF(_xlfn.XLOOKUP(Sales[[#This Row],[Product Name]],Inventory[Product Name],Inventory[Sale Price],"")=0,"",_xlfn.XLOOKUP(Sales[[#This Row],[Product Name]],Inventory[Product Name],Inventory[Sale Price]))</f>
        <v/>
      </c>
      <c r="I826" s="19" t="str">
        <f>IFERROR(G826*H826,"")</f>
        <v/>
      </c>
      <c r="J826" s="19"/>
    </row>
    <row r="827" spans="1:10" ht="21">
      <c r="A827" s="14">
        <v>822</v>
      </c>
      <c r="C827" s="16"/>
      <c r="D827" s="14" t="str">
        <f>IF(Sales[[#This Row],[Product ID]]="","",Sales[[#This Row],[Date]]&amp;Sales[[#This Row],[Invoice no]])</f>
        <v/>
      </c>
      <c r="E8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7" s="19" t="str">
        <f>IF(_xlfn.XLOOKUP(Sales[[#This Row],[Product Name]],Inventory[Product Name],Inventory[Sale Price],"")=0,"",_xlfn.XLOOKUP(Sales[[#This Row],[Product Name]],Inventory[Product Name],Inventory[Sale Price]))</f>
        <v/>
      </c>
      <c r="I827" s="19" t="str">
        <f>IFERROR(G827*H827,"")</f>
        <v/>
      </c>
      <c r="J827" s="19"/>
    </row>
    <row r="828" spans="1:10" ht="21">
      <c r="A828" s="14">
        <v>823</v>
      </c>
      <c r="C828" s="16"/>
      <c r="D828" s="14" t="str">
        <f>IF(Sales[[#This Row],[Product ID]]="","",Sales[[#This Row],[Date]]&amp;Sales[[#This Row],[Invoice no]])</f>
        <v/>
      </c>
      <c r="E8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8" s="19" t="str">
        <f>IF(_xlfn.XLOOKUP(Sales[[#This Row],[Product Name]],Inventory[Product Name],Inventory[Sale Price],"")=0,"",_xlfn.XLOOKUP(Sales[[#This Row],[Product Name]],Inventory[Product Name],Inventory[Sale Price]))</f>
        <v/>
      </c>
      <c r="I828" s="19" t="str">
        <f>IFERROR(G828*H828,"")</f>
        <v/>
      </c>
      <c r="J828" s="19"/>
    </row>
    <row r="829" spans="1:10" ht="21">
      <c r="A829" s="14">
        <v>824</v>
      </c>
      <c r="C829" s="16"/>
      <c r="D829" s="14" t="str">
        <f>IF(Sales[[#This Row],[Product ID]]="","",Sales[[#This Row],[Date]]&amp;Sales[[#This Row],[Invoice no]])</f>
        <v/>
      </c>
      <c r="E8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29" s="19" t="str">
        <f>IF(_xlfn.XLOOKUP(Sales[[#This Row],[Product Name]],Inventory[Product Name],Inventory[Sale Price],"")=0,"",_xlfn.XLOOKUP(Sales[[#This Row],[Product Name]],Inventory[Product Name],Inventory[Sale Price]))</f>
        <v/>
      </c>
      <c r="I829" s="19" t="str">
        <f>IFERROR(G829*H829,"")</f>
        <v/>
      </c>
      <c r="J829" s="19"/>
    </row>
    <row r="830" spans="1:10" ht="21">
      <c r="A830" s="14">
        <v>825</v>
      </c>
      <c r="C830" s="16"/>
      <c r="D830" s="14" t="str">
        <f>IF(Sales[[#This Row],[Product ID]]="","",Sales[[#This Row],[Date]]&amp;Sales[[#This Row],[Invoice no]])</f>
        <v/>
      </c>
      <c r="E8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0" s="19" t="str">
        <f>IF(_xlfn.XLOOKUP(Sales[[#This Row],[Product Name]],Inventory[Product Name],Inventory[Sale Price],"")=0,"",_xlfn.XLOOKUP(Sales[[#This Row],[Product Name]],Inventory[Product Name],Inventory[Sale Price]))</f>
        <v/>
      </c>
      <c r="I830" s="19" t="str">
        <f>IFERROR(G830*H830,"")</f>
        <v/>
      </c>
      <c r="J830" s="19"/>
    </row>
    <row r="831" spans="1:10" ht="21">
      <c r="A831" s="14">
        <v>826</v>
      </c>
      <c r="C831" s="16"/>
      <c r="D831" s="14" t="str">
        <f>IF(Sales[[#This Row],[Product ID]]="","",Sales[[#This Row],[Date]]&amp;Sales[[#This Row],[Invoice no]])</f>
        <v/>
      </c>
      <c r="E8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1" s="19" t="str">
        <f>IF(_xlfn.XLOOKUP(Sales[[#This Row],[Product Name]],Inventory[Product Name],Inventory[Sale Price],"")=0,"",_xlfn.XLOOKUP(Sales[[#This Row],[Product Name]],Inventory[Product Name],Inventory[Sale Price]))</f>
        <v/>
      </c>
      <c r="I831" s="19" t="str">
        <f>IFERROR(G831*H831,"")</f>
        <v/>
      </c>
      <c r="J831" s="19"/>
    </row>
    <row r="832" spans="1:10" ht="21">
      <c r="A832" s="14">
        <v>827</v>
      </c>
      <c r="C832" s="16"/>
      <c r="D832" s="14" t="str">
        <f>IF(Sales[[#This Row],[Product ID]]="","",Sales[[#This Row],[Date]]&amp;Sales[[#This Row],[Invoice no]])</f>
        <v/>
      </c>
      <c r="E8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2" s="19" t="str">
        <f>IF(_xlfn.XLOOKUP(Sales[[#This Row],[Product Name]],Inventory[Product Name],Inventory[Sale Price],"")=0,"",_xlfn.XLOOKUP(Sales[[#This Row],[Product Name]],Inventory[Product Name],Inventory[Sale Price]))</f>
        <v/>
      </c>
      <c r="I832" s="19" t="str">
        <f>IFERROR(G832*H832,"")</f>
        <v/>
      </c>
      <c r="J832" s="19"/>
    </row>
    <row r="833" spans="1:10" ht="21">
      <c r="A833" s="14">
        <v>828</v>
      </c>
      <c r="C833" s="16"/>
      <c r="D833" s="14" t="str">
        <f>IF(Sales[[#This Row],[Product ID]]="","",Sales[[#This Row],[Date]]&amp;Sales[[#This Row],[Invoice no]])</f>
        <v/>
      </c>
      <c r="E8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3" s="19" t="str">
        <f>IF(_xlfn.XLOOKUP(Sales[[#This Row],[Product Name]],Inventory[Product Name],Inventory[Sale Price],"")=0,"",_xlfn.XLOOKUP(Sales[[#This Row],[Product Name]],Inventory[Product Name],Inventory[Sale Price]))</f>
        <v/>
      </c>
      <c r="I833" s="19" t="str">
        <f>IFERROR(G833*H833,"")</f>
        <v/>
      </c>
      <c r="J833" s="19"/>
    </row>
    <row r="834" spans="1:10" ht="21">
      <c r="A834" s="14">
        <v>829</v>
      </c>
      <c r="C834" s="16"/>
      <c r="D834" s="14" t="str">
        <f>IF(Sales[[#This Row],[Product ID]]="","",Sales[[#This Row],[Date]]&amp;Sales[[#This Row],[Invoice no]])</f>
        <v/>
      </c>
      <c r="E8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4" s="19" t="str">
        <f>IF(_xlfn.XLOOKUP(Sales[[#This Row],[Product Name]],Inventory[Product Name],Inventory[Sale Price],"")=0,"",_xlfn.XLOOKUP(Sales[[#This Row],[Product Name]],Inventory[Product Name],Inventory[Sale Price]))</f>
        <v/>
      </c>
      <c r="I834" s="19" t="str">
        <f>IFERROR(G834*H834,"")</f>
        <v/>
      </c>
      <c r="J834" s="19"/>
    </row>
    <row r="835" spans="1:10" ht="21">
      <c r="A835" s="14">
        <v>830</v>
      </c>
      <c r="C835" s="16"/>
      <c r="D835" s="14" t="str">
        <f>IF(Sales[[#This Row],[Product ID]]="","",Sales[[#This Row],[Date]]&amp;Sales[[#This Row],[Invoice no]])</f>
        <v/>
      </c>
      <c r="E8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5" s="19" t="str">
        <f>IF(_xlfn.XLOOKUP(Sales[[#This Row],[Product Name]],Inventory[Product Name],Inventory[Sale Price],"")=0,"",_xlfn.XLOOKUP(Sales[[#This Row],[Product Name]],Inventory[Product Name],Inventory[Sale Price]))</f>
        <v/>
      </c>
      <c r="I835" s="19" t="str">
        <f>IFERROR(G835*H835,"")</f>
        <v/>
      </c>
      <c r="J835" s="19"/>
    </row>
    <row r="836" spans="1:10" ht="21">
      <c r="A836" s="14">
        <v>831</v>
      </c>
      <c r="C836" s="16"/>
      <c r="D836" s="14" t="str">
        <f>IF(Sales[[#This Row],[Product ID]]="","",Sales[[#This Row],[Date]]&amp;Sales[[#This Row],[Invoice no]])</f>
        <v/>
      </c>
      <c r="E8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6" s="19" t="str">
        <f>IF(_xlfn.XLOOKUP(Sales[[#This Row],[Product Name]],Inventory[Product Name],Inventory[Sale Price],"")=0,"",_xlfn.XLOOKUP(Sales[[#This Row],[Product Name]],Inventory[Product Name],Inventory[Sale Price]))</f>
        <v/>
      </c>
      <c r="I836" s="19" t="str">
        <f>IFERROR(G836*H836,"")</f>
        <v/>
      </c>
      <c r="J836" s="19"/>
    </row>
    <row r="837" spans="1:10" ht="21">
      <c r="A837" s="14">
        <v>832</v>
      </c>
      <c r="C837" s="16"/>
      <c r="D837" s="14" t="str">
        <f>IF(Sales[[#This Row],[Product ID]]="","",Sales[[#This Row],[Date]]&amp;Sales[[#This Row],[Invoice no]])</f>
        <v/>
      </c>
      <c r="E8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7" s="19" t="str">
        <f>IF(_xlfn.XLOOKUP(Sales[[#This Row],[Product Name]],Inventory[Product Name],Inventory[Sale Price],"")=0,"",_xlfn.XLOOKUP(Sales[[#This Row],[Product Name]],Inventory[Product Name],Inventory[Sale Price]))</f>
        <v/>
      </c>
      <c r="I837" s="19" t="str">
        <f>IFERROR(G837*H837,"")</f>
        <v/>
      </c>
      <c r="J837" s="19"/>
    </row>
    <row r="838" spans="1:10" ht="21">
      <c r="A838" s="14">
        <v>833</v>
      </c>
      <c r="C838" s="16"/>
      <c r="D838" s="14" t="str">
        <f>IF(Sales[[#This Row],[Product ID]]="","",Sales[[#This Row],[Date]]&amp;Sales[[#This Row],[Invoice no]])</f>
        <v/>
      </c>
      <c r="E8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8" s="19" t="str">
        <f>IF(_xlfn.XLOOKUP(Sales[[#This Row],[Product Name]],Inventory[Product Name],Inventory[Sale Price],"")=0,"",_xlfn.XLOOKUP(Sales[[#This Row],[Product Name]],Inventory[Product Name],Inventory[Sale Price]))</f>
        <v/>
      </c>
      <c r="I838" s="19" t="str">
        <f>IFERROR(G838*H838,"")</f>
        <v/>
      </c>
      <c r="J838" s="19"/>
    </row>
    <row r="839" spans="1:10" ht="21">
      <c r="A839" s="14">
        <v>834</v>
      </c>
      <c r="C839" s="16"/>
      <c r="D839" s="14" t="str">
        <f>IF(Sales[[#This Row],[Product ID]]="","",Sales[[#This Row],[Date]]&amp;Sales[[#This Row],[Invoice no]])</f>
        <v/>
      </c>
      <c r="E8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39" s="19" t="str">
        <f>IF(_xlfn.XLOOKUP(Sales[[#This Row],[Product Name]],Inventory[Product Name],Inventory[Sale Price],"")=0,"",_xlfn.XLOOKUP(Sales[[#This Row],[Product Name]],Inventory[Product Name],Inventory[Sale Price]))</f>
        <v/>
      </c>
      <c r="I839" s="19" t="str">
        <f>IFERROR(G839*H839,"")</f>
        <v/>
      </c>
      <c r="J839" s="19"/>
    </row>
    <row r="840" spans="1:10" ht="21">
      <c r="A840" s="14">
        <v>835</v>
      </c>
      <c r="C840" s="16"/>
      <c r="D840" s="14" t="str">
        <f>IF(Sales[[#This Row],[Product ID]]="","",Sales[[#This Row],[Date]]&amp;Sales[[#This Row],[Invoice no]])</f>
        <v/>
      </c>
      <c r="E8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0" s="19" t="str">
        <f>IF(_xlfn.XLOOKUP(Sales[[#This Row],[Product Name]],Inventory[Product Name],Inventory[Sale Price],"")=0,"",_xlfn.XLOOKUP(Sales[[#This Row],[Product Name]],Inventory[Product Name],Inventory[Sale Price]))</f>
        <v/>
      </c>
      <c r="I840" s="19" t="str">
        <f>IFERROR(G840*H840,"")</f>
        <v/>
      </c>
      <c r="J840" s="19"/>
    </row>
    <row r="841" spans="1:10" ht="21">
      <c r="A841" s="14">
        <v>836</v>
      </c>
      <c r="C841" s="16"/>
      <c r="D841" s="14" t="str">
        <f>IF(Sales[[#This Row],[Product ID]]="","",Sales[[#This Row],[Date]]&amp;Sales[[#This Row],[Invoice no]])</f>
        <v/>
      </c>
      <c r="E8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1" s="19" t="str">
        <f>IF(_xlfn.XLOOKUP(Sales[[#This Row],[Product Name]],Inventory[Product Name],Inventory[Sale Price],"")=0,"",_xlfn.XLOOKUP(Sales[[#This Row],[Product Name]],Inventory[Product Name],Inventory[Sale Price]))</f>
        <v/>
      </c>
      <c r="I841" s="19" t="str">
        <f>IFERROR(G841*H841,"")</f>
        <v/>
      </c>
      <c r="J841" s="19"/>
    </row>
    <row r="842" spans="1:10" ht="21">
      <c r="A842" s="14">
        <v>837</v>
      </c>
      <c r="C842" s="16"/>
      <c r="D842" s="14" t="str">
        <f>IF(Sales[[#This Row],[Product ID]]="","",Sales[[#This Row],[Date]]&amp;Sales[[#This Row],[Invoice no]])</f>
        <v/>
      </c>
      <c r="E8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2" s="19" t="str">
        <f>IF(_xlfn.XLOOKUP(Sales[[#This Row],[Product Name]],Inventory[Product Name],Inventory[Sale Price],"")=0,"",_xlfn.XLOOKUP(Sales[[#This Row],[Product Name]],Inventory[Product Name],Inventory[Sale Price]))</f>
        <v/>
      </c>
      <c r="I842" s="19" t="str">
        <f>IFERROR(G842*H842,"")</f>
        <v/>
      </c>
      <c r="J842" s="19"/>
    </row>
    <row r="843" spans="1:10" ht="21">
      <c r="A843" s="14">
        <v>838</v>
      </c>
      <c r="C843" s="16"/>
      <c r="D843" s="14" t="str">
        <f>IF(Sales[[#This Row],[Product ID]]="","",Sales[[#This Row],[Date]]&amp;Sales[[#This Row],[Invoice no]])</f>
        <v/>
      </c>
      <c r="E8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3" s="19" t="str">
        <f>IF(_xlfn.XLOOKUP(Sales[[#This Row],[Product Name]],Inventory[Product Name],Inventory[Sale Price],"")=0,"",_xlfn.XLOOKUP(Sales[[#This Row],[Product Name]],Inventory[Product Name],Inventory[Sale Price]))</f>
        <v/>
      </c>
      <c r="I843" s="19" t="str">
        <f>IFERROR(G843*H843,"")</f>
        <v/>
      </c>
      <c r="J843" s="19"/>
    </row>
    <row r="844" spans="1:10" ht="21">
      <c r="A844" s="14">
        <v>839</v>
      </c>
      <c r="C844" s="16"/>
      <c r="D844" s="14" t="str">
        <f>IF(Sales[[#This Row],[Product ID]]="","",Sales[[#This Row],[Date]]&amp;Sales[[#This Row],[Invoice no]])</f>
        <v/>
      </c>
      <c r="E8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4" s="19" t="str">
        <f>IF(_xlfn.XLOOKUP(Sales[[#This Row],[Product Name]],Inventory[Product Name],Inventory[Sale Price],"")=0,"",_xlfn.XLOOKUP(Sales[[#This Row],[Product Name]],Inventory[Product Name],Inventory[Sale Price]))</f>
        <v/>
      </c>
      <c r="I844" s="19" t="str">
        <f>IFERROR(G844*H844,"")</f>
        <v/>
      </c>
      <c r="J844" s="19"/>
    </row>
    <row r="845" spans="1:10" ht="21">
      <c r="A845" s="14">
        <v>840</v>
      </c>
      <c r="C845" s="16"/>
      <c r="D845" s="14" t="str">
        <f>IF(Sales[[#This Row],[Product ID]]="","",Sales[[#This Row],[Date]]&amp;Sales[[#This Row],[Invoice no]])</f>
        <v/>
      </c>
      <c r="E8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5" s="19" t="str">
        <f>IF(_xlfn.XLOOKUP(Sales[[#This Row],[Product Name]],Inventory[Product Name],Inventory[Sale Price],"")=0,"",_xlfn.XLOOKUP(Sales[[#This Row],[Product Name]],Inventory[Product Name],Inventory[Sale Price]))</f>
        <v/>
      </c>
      <c r="I845" s="19" t="str">
        <f>IFERROR(G845*H845,"")</f>
        <v/>
      </c>
      <c r="J845" s="19"/>
    </row>
    <row r="846" spans="1:10" ht="21">
      <c r="A846" s="14">
        <v>841</v>
      </c>
      <c r="C846" s="16"/>
      <c r="D846" s="14" t="str">
        <f>IF(Sales[[#This Row],[Product ID]]="","",Sales[[#This Row],[Date]]&amp;Sales[[#This Row],[Invoice no]])</f>
        <v/>
      </c>
      <c r="E8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6" s="19" t="str">
        <f>IF(_xlfn.XLOOKUP(Sales[[#This Row],[Product Name]],Inventory[Product Name],Inventory[Sale Price],"")=0,"",_xlfn.XLOOKUP(Sales[[#This Row],[Product Name]],Inventory[Product Name],Inventory[Sale Price]))</f>
        <v/>
      </c>
      <c r="I846" s="19" t="str">
        <f>IFERROR(G846*H846,"")</f>
        <v/>
      </c>
      <c r="J846" s="19"/>
    </row>
    <row r="847" spans="1:10" ht="21">
      <c r="A847" s="14">
        <v>842</v>
      </c>
      <c r="C847" s="16"/>
      <c r="D847" s="14" t="str">
        <f>IF(Sales[[#This Row],[Product ID]]="","",Sales[[#This Row],[Date]]&amp;Sales[[#This Row],[Invoice no]])</f>
        <v/>
      </c>
      <c r="E8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7" s="19" t="str">
        <f>IF(_xlfn.XLOOKUP(Sales[[#This Row],[Product Name]],Inventory[Product Name],Inventory[Sale Price],"")=0,"",_xlfn.XLOOKUP(Sales[[#This Row],[Product Name]],Inventory[Product Name],Inventory[Sale Price]))</f>
        <v/>
      </c>
      <c r="I847" s="19" t="str">
        <f>IFERROR(G847*H847,"")</f>
        <v/>
      </c>
      <c r="J847" s="19"/>
    </row>
    <row r="848" spans="1:10" ht="21">
      <c r="A848" s="14">
        <v>843</v>
      </c>
      <c r="C848" s="16"/>
      <c r="D848" s="14" t="str">
        <f>IF(Sales[[#This Row],[Product ID]]="","",Sales[[#This Row],[Date]]&amp;Sales[[#This Row],[Invoice no]])</f>
        <v/>
      </c>
      <c r="E8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8" s="19" t="str">
        <f>IF(_xlfn.XLOOKUP(Sales[[#This Row],[Product Name]],Inventory[Product Name],Inventory[Sale Price],"")=0,"",_xlfn.XLOOKUP(Sales[[#This Row],[Product Name]],Inventory[Product Name],Inventory[Sale Price]))</f>
        <v/>
      </c>
      <c r="I848" s="19" t="str">
        <f>IFERROR(G848*H848,"")</f>
        <v/>
      </c>
      <c r="J848" s="19"/>
    </row>
    <row r="849" spans="1:10" ht="21">
      <c r="A849" s="14">
        <v>844</v>
      </c>
      <c r="C849" s="16"/>
      <c r="D849" s="14" t="str">
        <f>IF(Sales[[#This Row],[Product ID]]="","",Sales[[#This Row],[Date]]&amp;Sales[[#This Row],[Invoice no]])</f>
        <v/>
      </c>
      <c r="E8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49" s="19" t="str">
        <f>IF(_xlfn.XLOOKUP(Sales[[#This Row],[Product Name]],Inventory[Product Name],Inventory[Sale Price],"")=0,"",_xlfn.XLOOKUP(Sales[[#This Row],[Product Name]],Inventory[Product Name],Inventory[Sale Price]))</f>
        <v/>
      </c>
      <c r="I849" s="19" t="str">
        <f>IFERROR(G849*H849,"")</f>
        <v/>
      </c>
      <c r="J849" s="19"/>
    </row>
    <row r="850" spans="1:10" ht="21">
      <c r="A850" s="14">
        <v>845</v>
      </c>
      <c r="C850" s="16"/>
      <c r="D850" s="14" t="str">
        <f>IF(Sales[[#This Row],[Product ID]]="","",Sales[[#This Row],[Date]]&amp;Sales[[#This Row],[Invoice no]])</f>
        <v/>
      </c>
      <c r="E8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0" s="19" t="str">
        <f>IF(_xlfn.XLOOKUP(Sales[[#This Row],[Product Name]],Inventory[Product Name],Inventory[Sale Price],"")=0,"",_xlfn.XLOOKUP(Sales[[#This Row],[Product Name]],Inventory[Product Name],Inventory[Sale Price]))</f>
        <v/>
      </c>
      <c r="I850" s="19" t="str">
        <f>IFERROR(G850*H850,"")</f>
        <v/>
      </c>
      <c r="J850" s="19"/>
    </row>
    <row r="851" spans="1:10" ht="21">
      <c r="A851" s="14">
        <v>846</v>
      </c>
      <c r="C851" s="16"/>
      <c r="D851" s="14" t="str">
        <f>IF(Sales[[#This Row],[Product ID]]="","",Sales[[#This Row],[Date]]&amp;Sales[[#This Row],[Invoice no]])</f>
        <v/>
      </c>
      <c r="E8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1" s="19" t="str">
        <f>IF(_xlfn.XLOOKUP(Sales[[#This Row],[Product Name]],Inventory[Product Name],Inventory[Sale Price],"")=0,"",_xlfn.XLOOKUP(Sales[[#This Row],[Product Name]],Inventory[Product Name],Inventory[Sale Price]))</f>
        <v/>
      </c>
      <c r="I851" s="19" t="str">
        <f>IFERROR(G851*H851,"")</f>
        <v/>
      </c>
      <c r="J851" s="19"/>
    </row>
    <row r="852" spans="1:10" ht="21">
      <c r="A852" s="14">
        <v>847</v>
      </c>
      <c r="C852" s="16"/>
      <c r="D852" s="14" t="str">
        <f>IF(Sales[[#This Row],[Product ID]]="","",Sales[[#This Row],[Date]]&amp;Sales[[#This Row],[Invoice no]])</f>
        <v/>
      </c>
      <c r="E8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2" s="19" t="str">
        <f>IF(_xlfn.XLOOKUP(Sales[[#This Row],[Product Name]],Inventory[Product Name],Inventory[Sale Price],"")=0,"",_xlfn.XLOOKUP(Sales[[#This Row],[Product Name]],Inventory[Product Name],Inventory[Sale Price]))</f>
        <v/>
      </c>
      <c r="I852" s="19" t="str">
        <f>IFERROR(G852*H852,"")</f>
        <v/>
      </c>
      <c r="J852" s="19"/>
    </row>
    <row r="853" spans="1:10" ht="21">
      <c r="A853" s="14">
        <v>848</v>
      </c>
      <c r="C853" s="16"/>
      <c r="D853" s="14" t="str">
        <f>IF(Sales[[#This Row],[Product ID]]="","",Sales[[#This Row],[Date]]&amp;Sales[[#This Row],[Invoice no]])</f>
        <v/>
      </c>
      <c r="E8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3" s="19" t="str">
        <f>IF(_xlfn.XLOOKUP(Sales[[#This Row],[Product Name]],Inventory[Product Name],Inventory[Sale Price],"")=0,"",_xlfn.XLOOKUP(Sales[[#This Row],[Product Name]],Inventory[Product Name],Inventory[Sale Price]))</f>
        <v/>
      </c>
      <c r="I853" s="19" t="str">
        <f>IFERROR(G853*H853,"")</f>
        <v/>
      </c>
      <c r="J853" s="19"/>
    </row>
    <row r="854" spans="1:10" ht="21">
      <c r="A854" s="14">
        <v>849</v>
      </c>
      <c r="C854" s="16"/>
      <c r="D854" s="14" t="str">
        <f>IF(Sales[[#This Row],[Product ID]]="","",Sales[[#This Row],[Date]]&amp;Sales[[#This Row],[Invoice no]])</f>
        <v/>
      </c>
      <c r="E8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4" s="19" t="str">
        <f>IF(_xlfn.XLOOKUP(Sales[[#This Row],[Product Name]],Inventory[Product Name],Inventory[Sale Price],"")=0,"",_xlfn.XLOOKUP(Sales[[#This Row],[Product Name]],Inventory[Product Name],Inventory[Sale Price]))</f>
        <v/>
      </c>
      <c r="I854" s="19" t="str">
        <f>IFERROR(G854*H854,"")</f>
        <v/>
      </c>
      <c r="J854" s="19"/>
    </row>
    <row r="855" spans="1:10" ht="21">
      <c r="A855" s="14">
        <v>850</v>
      </c>
      <c r="C855" s="16"/>
      <c r="D855" s="14" t="str">
        <f>IF(Sales[[#This Row],[Product ID]]="","",Sales[[#This Row],[Date]]&amp;Sales[[#This Row],[Invoice no]])</f>
        <v/>
      </c>
      <c r="E8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5" s="19" t="str">
        <f>IF(_xlfn.XLOOKUP(Sales[[#This Row],[Product Name]],Inventory[Product Name],Inventory[Sale Price],"")=0,"",_xlfn.XLOOKUP(Sales[[#This Row],[Product Name]],Inventory[Product Name],Inventory[Sale Price]))</f>
        <v/>
      </c>
      <c r="I855" s="19" t="str">
        <f>IFERROR(G855*H855,"")</f>
        <v/>
      </c>
      <c r="J855" s="19"/>
    </row>
    <row r="856" spans="1:10" ht="21">
      <c r="A856" s="14">
        <v>851</v>
      </c>
      <c r="C856" s="16"/>
      <c r="D856" s="14" t="str">
        <f>IF(Sales[[#This Row],[Product ID]]="","",Sales[[#This Row],[Date]]&amp;Sales[[#This Row],[Invoice no]])</f>
        <v/>
      </c>
      <c r="E8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6" s="19" t="str">
        <f>IF(_xlfn.XLOOKUP(Sales[[#This Row],[Product Name]],Inventory[Product Name],Inventory[Sale Price],"")=0,"",_xlfn.XLOOKUP(Sales[[#This Row],[Product Name]],Inventory[Product Name],Inventory[Sale Price]))</f>
        <v/>
      </c>
      <c r="I856" s="19" t="str">
        <f>IFERROR(G856*H856,"")</f>
        <v/>
      </c>
      <c r="J856" s="19"/>
    </row>
    <row r="857" spans="1:10" ht="21">
      <c r="A857" s="14">
        <v>852</v>
      </c>
      <c r="C857" s="16"/>
      <c r="D857" s="14" t="str">
        <f>IF(Sales[[#This Row],[Product ID]]="","",Sales[[#This Row],[Date]]&amp;Sales[[#This Row],[Invoice no]])</f>
        <v/>
      </c>
      <c r="E8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7" s="19" t="str">
        <f>IF(_xlfn.XLOOKUP(Sales[[#This Row],[Product Name]],Inventory[Product Name],Inventory[Sale Price],"")=0,"",_xlfn.XLOOKUP(Sales[[#This Row],[Product Name]],Inventory[Product Name],Inventory[Sale Price]))</f>
        <v/>
      </c>
      <c r="I857" s="19" t="str">
        <f>IFERROR(G857*H857,"")</f>
        <v/>
      </c>
      <c r="J857" s="19"/>
    </row>
    <row r="858" spans="1:10" ht="21">
      <c r="A858" s="14">
        <v>853</v>
      </c>
      <c r="C858" s="16"/>
      <c r="D858" s="14" t="str">
        <f>IF(Sales[[#This Row],[Product ID]]="","",Sales[[#This Row],[Date]]&amp;Sales[[#This Row],[Invoice no]])</f>
        <v/>
      </c>
      <c r="E8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8" s="19" t="str">
        <f>IF(_xlfn.XLOOKUP(Sales[[#This Row],[Product Name]],Inventory[Product Name],Inventory[Sale Price],"")=0,"",_xlfn.XLOOKUP(Sales[[#This Row],[Product Name]],Inventory[Product Name],Inventory[Sale Price]))</f>
        <v/>
      </c>
      <c r="I858" s="19" t="str">
        <f>IFERROR(G858*H858,"")</f>
        <v/>
      </c>
      <c r="J858" s="19"/>
    </row>
    <row r="859" spans="1:10" ht="21">
      <c r="A859" s="14">
        <v>854</v>
      </c>
      <c r="C859" s="16"/>
      <c r="D859" s="14" t="str">
        <f>IF(Sales[[#This Row],[Product ID]]="","",Sales[[#This Row],[Date]]&amp;Sales[[#This Row],[Invoice no]])</f>
        <v/>
      </c>
      <c r="E8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59" s="19" t="str">
        <f>IF(_xlfn.XLOOKUP(Sales[[#This Row],[Product Name]],Inventory[Product Name],Inventory[Sale Price],"")=0,"",_xlfn.XLOOKUP(Sales[[#This Row],[Product Name]],Inventory[Product Name],Inventory[Sale Price]))</f>
        <v/>
      </c>
      <c r="I859" s="19" t="str">
        <f>IFERROR(G859*H859,"")</f>
        <v/>
      </c>
      <c r="J859" s="19"/>
    </row>
    <row r="860" spans="1:10" ht="21">
      <c r="A860" s="14">
        <v>855</v>
      </c>
      <c r="C860" s="16"/>
      <c r="D860" s="14" t="str">
        <f>IF(Sales[[#This Row],[Product ID]]="","",Sales[[#This Row],[Date]]&amp;Sales[[#This Row],[Invoice no]])</f>
        <v/>
      </c>
      <c r="E8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0" s="19" t="str">
        <f>IF(_xlfn.XLOOKUP(Sales[[#This Row],[Product Name]],Inventory[Product Name],Inventory[Sale Price],"")=0,"",_xlfn.XLOOKUP(Sales[[#This Row],[Product Name]],Inventory[Product Name],Inventory[Sale Price]))</f>
        <v/>
      </c>
      <c r="I860" s="19" t="str">
        <f>IFERROR(G860*H860,"")</f>
        <v/>
      </c>
      <c r="J860" s="19"/>
    </row>
    <row r="861" spans="1:10" ht="21">
      <c r="A861" s="14">
        <v>856</v>
      </c>
      <c r="C861" s="16"/>
      <c r="D861" s="14" t="str">
        <f>IF(Sales[[#This Row],[Product ID]]="","",Sales[[#This Row],[Date]]&amp;Sales[[#This Row],[Invoice no]])</f>
        <v/>
      </c>
      <c r="E8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1" s="19" t="str">
        <f>IF(_xlfn.XLOOKUP(Sales[[#This Row],[Product Name]],Inventory[Product Name],Inventory[Sale Price],"")=0,"",_xlfn.XLOOKUP(Sales[[#This Row],[Product Name]],Inventory[Product Name],Inventory[Sale Price]))</f>
        <v/>
      </c>
      <c r="I861" s="19" t="str">
        <f>IFERROR(G861*H861,"")</f>
        <v/>
      </c>
      <c r="J861" s="19"/>
    </row>
    <row r="862" spans="1:10" ht="21">
      <c r="A862" s="14">
        <v>857</v>
      </c>
      <c r="C862" s="16"/>
      <c r="D862" s="14" t="str">
        <f>IF(Sales[[#This Row],[Product ID]]="","",Sales[[#This Row],[Date]]&amp;Sales[[#This Row],[Invoice no]])</f>
        <v/>
      </c>
      <c r="E8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2" s="19" t="str">
        <f>IF(_xlfn.XLOOKUP(Sales[[#This Row],[Product Name]],Inventory[Product Name],Inventory[Sale Price],"")=0,"",_xlfn.XLOOKUP(Sales[[#This Row],[Product Name]],Inventory[Product Name],Inventory[Sale Price]))</f>
        <v/>
      </c>
      <c r="I862" s="19" t="str">
        <f>IFERROR(G862*H862,"")</f>
        <v/>
      </c>
      <c r="J862" s="19"/>
    </row>
    <row r="863" spans="1:10" ht="21">
      <c r="A863" s="14">
        <v>858</v>
      </c>
      <c r="C863" s="16"/>
      <c r="D863" s="14" t="str">
        <f>IF(Sales[[#This Row],[Product ID]]="","",Sales[[#This Row],[Date]]&amp;Sales[[#This Row],[Invoice no]])</f>
        <v/>
      </c>
      <c r="E8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3" s="19" t="str">
        <f>IF(_xlfn.XLOOKUP(Sales[[#This Row],[Product Name]],Inventory[Product Name],Inventory[Sale Price],"")=0,"",_xlfn.XLOOKUP(Sales[[#This Row],[Product Name]],Inventory[Product Name],Inventory[Sale Price]))</f>
        <v/>
      </c>
      <c r="I863" s="19" t="str">
        <f>IFERROR(G863*H863,"")</f>
        <v/>
      </c>
      <c r="J863" s="19"/>
    </row>
    <row r="864" spans="1:10" ht="21">
      <c r="A864" s="14">
        <v>859</v>
      </c>
      <c r="C864" s="16"/>
      <c r="D864" s="14" t="str">
        <f>IF(Sales[[#This Row],[Product ID]]="","",Sales[[#This Row],[Date]]&amp;Sales[[#This Row],[Invoice no]])</f>
        <v/>
      </c>
      <c r="E8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4" s="19" t="str">
        <f>IF(_xlfn.XLOOKUP(Sales[[#This Row],[Product Name]],Inventory[Product Name],Inventory[Sale Price],"")=0,"",_xlfn.XLOOKUP(Sales[[#This Row],[Product Name]],Inventory[Product Name],Inventory[Sale Price]))</f>
        <v/>
      </c>
      <c r="I864" s="19" t="str">
        <f>IFERROR(G864*H864,"")</f>
        <v/>
      </c>
      <c r="J864" s="19"/>
    </row>
    <row r="865" spans="1:10" ht="21">
      <c r="A865" s="14">
        <v>860</v>
      </c>
      <c r="C865" s="16"/>
      <c r="D865" s="14" t="str">
        <f>IF(Sales[[#This Row],[Product ID]]="","",Sales[[#This Row],[Date]]&amp;Sales[[#This Row],[Invoice no]])</f>
        <v/>
      </c>
      <c r="E8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5" s="19" t="str">
        <f>IF(_xlfn.XLOOKUP(Sales[[#This Row],[Product Name]],Inventory[Product Name],Inventory[Sale Price],"")=0,"",_xlfn.XLOOKUP(Sales[[#This Row],[Product Name]],Inventory[Product Name],Inventory[Sale Price]))</f>
        <v/>
      </c>
      <c r="I865" s="19" t="str">
        <f>IFERROR(G865*H865,"")</f>
        <v/>
      </c>
      <c r="J865" s="19"/>
    </row>
    <row r="866" spans="1:10" ht="21">
      <c r="A866" s="14">
        <v>861</v>
      </c>
      <c r="C866" s="16"/>
      <c r="D866" s="14" t="str">
        <f>IF(Sales[[#This Row],[Product ID]]="","",Sales[[#This Row],[Date]]&amp;Sales[[#This Row],[Invoice no]])</f>
        <v/>
      </c>
      <c r="E8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6" s="19" t="str">
        <f>IF(_xlfn.XLOOKUP(Sales[[#This Row],[Product Name]],Inventory[Product Name],Inventory[Sale Price],"")=0,"",_xlfn.XLOOKUP(Sales[[#This Row],[Product Name]],Inventory[Product Name],Inventory[Sale Price]))</f>
        <v/>
      </c>
      <c r="I866" s="19" t="str">
        <f>IFERROR(G866*H866,"")</f>
        <v/>
      </c>
      <c r="J866" s="19"/>
    </row>
    <row r="867" spans="1:10" ht="21">
      <c r="A867" s="14">
        <v>862</v>
      </c>
      <c r="C867" s="16"/>
      <c r="D867" s="14" t="str">
        <f>IF(Sales[[#This Row],[Product ID]]="","",Sales[[#This Row],[Date]]&amp;Sales[[#This Row],[Invoice no]])</f>
        <v/>
      </c>
      <c r="E8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7" s="19" t="str">
        <f>IF(_xlfn.XLOOKUP(Sales[[#This Row],[Product Name]],Inventory[Product Name],Inventory[Sale Price],"")=0,"",_xlfn.XLOOKUP(Sales[[#This Row],[Product Name]],Inventory[Product Name],Inventory[Sale Price]))</f>
        <v/>
      </c>
      <c r="I867" s="19" t="str">
        <f>IFERROR(G867*H867,"")</f>
        <v/>
      </c>
      <c r="J867" s="19"/>
    </row>
    <row r="868" spans="1:10" ht="21">
      <c r="A868" s="14">
        <v>863</v>
      </c>
      <c r="C868" s="16"/>
      <c r="D868" s="14" t="str">
        <f>IF(Sales[[#This Row],[Product ID]]="","",Sales[[#This Row],[Date]]&amp;Sales[[#This Row],[Invoice no]])</f>
        <v/>
      </c>
      <c r="E8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8" s="19" t="str">
        <f>IF(_xlfn.XLOOKUP(Sales[[#This Row],[Product Name]],Inventory[Product Name],Inventory[Sale Price],"")=0,"",_xlfn.XLOOKUP(Sales[[#This Row],[Product Name]],Inventory[Product Name],Inventory[Sale Price]))</f>
        <v/>
      </c>
      <c r="I868" s="19" t="str">
        <f>IFERROR(G868*H868,"")</f>
        <v/>
      </c>
      <c r="J868" s="19"/>
    </row>
    <row r="869" spans="1:10" ht="21">
      <c r="A869" s="14">
        <v>864</v>
      </c>
      <c r="C869" s="16"/>
      <c r="D869" s="14" t="str">
        <f>IF(Sales[[#This Row],[Product ID]]="","",Sales[[#This Row],[Date]]&amp;Sales[[#This Row],[Invoice no]])</f>
        <v/>
      </c>
      <c r="E8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69" s="19" t="str">
        <f>IF(_xlfn.XLOOKUP(Sales[[#This Row],[Product Name]],Inventory[Product Name],Inventory[Sale Price],"")=0,"",_xlfn.XLOOKUP(Sales[[#This Row],[Product Name]],Inventory[Product Name],Inventory[Sale Price]))</f>
        <v/>
      </c>
      <c r="I869" s="19" t="str">
        <f>IFERROR(G869*H869,"")</f>
        <v/>
      </c>
      <c r="J869" s="19"/>
    </row>
    <row r="870" spans="1:10" ht="21">
      <c r="A870" s="14">
        <v>865</v>
      </c>
      <c r="C870" s="16"/>
      <c r="D870" s="14" t="str">
        <f>IF(Sales[[#This Row],[Product ID]]="","",Sales[[#This Row],[Date]]&amp;Sales[[#This Row],[Invoice no]])</f>
        <v/>
      </c>
      <c r="E8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0" s="19" t="str">
        <f>IF(_xlfn.XLOOKUP(Sales[[#This Row],[Product Name]],Inventory[Product Name],Inventory[Sale Price],"")=0,"",_xlfn.XLOOKUP(Sales[[#This Row],[Product Name]],Inventory[Product Name],Inventory[Sale Price]))</f>
        <v/>
      </c>
      <c r="I870" s="19" t="str">
        <f>IFERROR(G870*H870,"")</f>
        <v/>
      </c>
      <c r="J870" s="19"/>
    </row>
    <row r="871" spans="1:10" ht="21">
      <c r="A871" s="14">
        <v>866</v>
      </c>
      <c r="C871" s="16"/>
      <c r="D871" s="14" t="str">
        <f>IF(Sales[[#This Row],[Product ID]]="","",Sales[[#This Row],[Date]]&amp;Sales[[#This Row],[Invoice no]])</f>
        <v/>
      </c>
      <c r="E8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1" s="19" t="str">
        <f>IF(_xlfn.XLOOKUP(Sales[[#This Row],[Product Name]],Inventory[Product Name],Inventory[Sale Price],"")=0,"",_xlfn.XLOOKUP(Sales[[#This Row],[Product Name]],Inventory[Product Name],Inventory[Sale Price]))</f>
        <v/>
      </c>
      <c r="I871" s="19" t="str">
        <f>IFERROR(G871*H871,"")</f>
        <v/>
      </c>
      <c r="J871" s="19"/>
    </row>
    <row r="872" spans="1:10" ht="21">
      <c r="A872" s="14">
        <v>867</v>
      </c>
      <c r="C872" s="16"/>
      <c r="D872" s="14" t="str">
        <f>IF(Sales[[#This Row],[Product ID]]="","",Sales[[#This Row],[Date]]&amp;Sales[[#This Row],[Invoice no]])</f>
        <v/>
      </c>
      <c r="E8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2" s="19" t="str">
        <f>IF(_xlfn.XLOOKUP(Sales[[#This Row],[Product Name]],Inventory[Product Name],Inventory[Sale Price],"")=0,"",_xlfn.XLOOKUP(Sales[[#This Row],[Product Name]],Inventory[Product Name],Inventory[Sale Price]))</f>
        <v/>
      </c>
      <c r="I872" s="19" t="str">
        <f>IFERROR(G872*H872,"")</f>
        <v/>
      </c>
      <c r="J872" s="19"/>
    </row>
    <row r="873" spans="1:10" ht="21">
      <c r="A873" s="14">
        <v>868</v>
      </c>
      <c r="C873" s="16"/>
      <c r="D873" s="14" t="str">
        <f>IF(Sales[[#This Row],[Product ID]]="","",Sales[[#This Row],[Date]]&amp;Sales[[#This Row],[Invoice no]])</f>
        <v/>
      </c>
      <c r="E8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3" s="19" t="str">
        <f>IF(_xlfn.XLOOKUP(Sales[[#This Row],[Product Name]],Inventory[Product Name],Inventory[Sale Price],"")=0,"",_xlfn.XLOOKUP(Sales[[#This Row],[Product Name]],Inventory[Product Name],Inventory[Sale Price]))</f>
        <v/>
      </c>
      <c r="I873" s="19" t="str">
        <f>IFERROR(G873*H873,"")</f>
        <v/>
      </c>
      <c r="J873" s="19"/>
    </row>
    <row r="874" spans="1:10" ht="21">
      <c r="A874" s="14">
        <v>869</v>
      </c>
      <c r="C874" s="16"/>
      <c r="D874" s="14" t="str">
        <f>IF(Sales[[#This Row],[Product ID]]="","",Sales[[#This Row],[Date]]&amp;Sales[[#This Row],[Invoice no]])</f>
        <v/>
      </c>
      <c r="E8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4" s="19" t="str">
        <f>IF(_xlfn.XLOOKUP(Sales[[#This Row],[Product Name]],Inventory[Product Name],Inventory[Sale Price],"")=0,"",_xlfn.XLOOKUP(Sales[[#This Row],[Product Name]],Inventory[Product Name],Inventory[Sale Price]))</f>
        <v/>
      </c>
      <c r="I874" s="19" t="str">
        <f>IFERROR(G874*H874,"")</f>
        <v/>
      </c>
      <c r="J874" s="19"/>
    </row>
    <row r="875" spans="1:10" ht="21">
      <c r="A875" s="14">
        <v>870</v>
      </c>
      <c r="C875" s="16"/>
      <c r="D875" s="14" t="str">
        <f>IF(Sales[[#This Row],[Product ID]]="","",Sales[[#This Row],[Date]]&amp;Sales[[#This Row],[Invoice no]])</f>
        <v/>
      </c>
      <c r="E8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5" s="19" t="str">
        <f>IF(_xlfn.XLOOKUP(Sales[[#This Row],[Product Name]],Inventory[Product Name],Inventory[Sale Price],"")=0,"",_xlfn.XLOOKUP(Sales[[#This Row],[Product Name]],Inventory[Product Name],Inventory[Sale Price]))</f>
        <v/>
      </c>
      <c r="I875" s="19" t="str">
        <f>IFERROR(G875*H875,"")</f>
        <v/>
      </c>
      <c r="J875" s="19"/>
    </row>
    <row r="876" spans="1:10" ht="21">
      <c r="A876" s="14">
        <v>871</v>
      </c>
      <c r="C876" s="16"/>
      <c r="D876" s="14" t="str">
        <f>IF(Sales[[#This Row],[Product ID]]="","",Sales[[#This Row],[Date]]&amp;Sales[[#This Row],[Invoice no]])</f>
        <v/>
      </c>
      <c r="E8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6" s="19" t="str">
        <f>IF(_xlfn.XLOOKUP(Sales[[#This Row],[Product Name]],Inventory[Product Name],Inventory[Sale Price],"")=0,"",_xlfn.XLOOKUP(Sales[[#This Row],[Product Name]],Inventory[Product Name],Inventory[Sale Price]))</f>
        <v/>
      </c>
      <c r="I876" s="19" t="str">
        <f>IFERROR(G876*H876,"")</f>
        <v/>
      </c>
      <c r="J876" s="19"/>
    </row>
    <row r="877" spans="1:10" ht="21">
      <c r="A877" s="14">
        <v>872</v>
      </c>
      <c r="C877" s="16"/>
      <c r="D877" s="14" t="str">
        <f>IF(Sales[[#This Row],[Product ID]]="","",Sales[[#This Row],[Date]]&amp;Sales[[#This Row],[Invoice no]])</f>
        <v/>
      </c>
      <c r="E8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7" s="19" t="str">
        <f>IF(_xlfn.XLOOKUP(Sales[[#This Row],[Product Name]],Inventory[Product Name],Inventory[Sale Price],"")=0,"",_xlfn.XLOOKUP(Sales[[#This Row],[Product Name]],Inventory[Product Name],Inventory[Sale Price]))</f>
        <v/>
      </c>
      <c r="I877" s="19" t="str">
        <f>IFERROR(G877*H877,"")</f>
        <v/>
      </c>
      <c r="J877" s="19"/>
    </row>
    <row r="878" spans="1:10" ht="21">
      <c r="A878" s="14">
        <v>873</v>
      </c>
      <c r="C878" s="16"/>
      <c r="D878" s="14" t="str">
        <f>IF(Sales[[#This Row],[Product ID]]="","",Sales[[#This Row],[Date]]&amp;Sales[[#This Row],[Invoice no]])</f>
        <v/>
      </c>
      <c r="E8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8" s="19" t="str">
        <f>IF(_xlfn.XLOOKUP(Sales[[#This Row],[Product Name]],Inventory[Product Name],Inventory[Sale Price],"")=0,"",_xlfn.XLOOKUP(Sales[[#This Row],[Product Name]],Inventory[Product Name],Inventory[Sale Price]))</f>
        <v/>
      </c>
      <c r="I878" s="19" t="str">
        <f>IFERROR(G878*H878,"")</f>
        <v/>
      </c>
      <c r="J878" s="19"/>
    </row>
    <row r="879" spans="1:10" ht="21">
      <c r="A879" s="14">
        <v>874</v>
      </c>
      <c r="C879" s="16"/>
      <c r="D879" s="14" t="str">
        <f>IF(Sales[[#This Row],[Product ID]]="","",Sales[[#This Row],[Date]]&amp;Sales[[#This Row],[Invoice no]])</f>
        <v/>
      </c>
      <c r="E8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79" s="19" t="str">
        <f>IF(_xlfn.XLOOKUP(Sales[[#This Row],[Product Name]],Inventory[Product Name],Inventory[Sale Price],"")=0,"",_xlfn.XLOOKUP(Sales[[#This Row],[Product Name]],Inventory[Product Name],Inventory[Sale Price]))</f>
        <v/>
      </c>
      <c r="I879" s="19" t="str">
        <f>IFERROR(G879*H879,"")</f>
        <v/>
      </c>
      <c r="J879" s="19"/>
    </row>
    <row r="880" spans="1:10" ht="21">
      <c r="A880" s="14">
        <v>875</v>
      </c>
      <c r="C880" s="16"/>
      <c r="D880" s="14" t="str">
        <f>IF(Sales[[#This Row],[Product ID]]="","",Sales[[#This Row],[Date]]&amp;Sales[[#This Row],[Invoice no]])</f>
        <v/>
      </c>
      <c r="E8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0" s="19" t="str">
        <f>IF(_xlfn.XLOOKUP(Sales[[#This Row],[Product Name]],Inventory[Product Name],Inventory[Sale Price],"")=0,"",_xlfn.XLOOKUP(Sales[[#This Row],[Product Name]],Inventory[Product Name],Inventory[Sale Price]))</f>
        <v/>
      </c>
      <c r="I880" s="19" t="str">
        <f>IFERROR(G880*H880,"")</f>
        <v/>
      </c>
      <c r="J880" s="19"/>
    </row>
    <row r="881" spans="1:10" ht="21">
      <c r="A881" s="14">
        <v>876</v>
      </c>
      <c r="C881" s="16"/>
      <c r="D881" s="14" t="str">
        <f>IF(Sales[[#This Row],[Product ID]]="","",Sales[[#This Row],[Date]]&amp;Sales[[#This Row],[Invoice no]])</f>
        <v/>
      </c>
      <c r="E8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1" s="19" t="str">
        <f>IF(_xlfn.XLOOKUP(Sales[[#This Row],[Product Name]],Inventory[Product Name],Inventory[Sale Price],"")=0,"",_xlfn.XLOOKUP(Sales[[#This Row],[Product Name]],Inventory[Product Name],Inventory[Sale Price]))</f>
        <v/>
      </c>
      <c r="I881" s="19" t="str">
        <f>IFERROR(G881*H881,"")</f>
        <v/>
      </c>
      <c r="J881" s="19"/>
    </row>
    <row r="882" spans="1:10" ht="21">
      <c r="A882" s="14">
        <v>877</v>
      </c>
      <c r="C882" s="16"/>
      <c r="D882" s="14" t="str">
        <f>IF(Sales[[#This Row],[Product ID]]="","",Sales[[#This Row],[Date]]&amp;Sales[[#This Row],[Invoice no]])</f>
        <v/>
      </c>
      <c r="E8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2" s="19" t="str">
        <f>IF(_xlfn.XLOOKUP(Sales[[#This Row],[Product Name]],Inventory[Product Name],Inventory[Sale Price],"")=0,"",_xlfn.XLOOKUP(Sales[[#This Row],[Product Name]],Inventory[Product Name],Inventory[Sale Price]))</f>
        <v/>
      </c>
      <c r="I882" s="19" t="str">
        <f>IFERROR(G882*H882,"")</f>
        <v/>
      </c>
      <c r="J882" s="19"/>
    </row>
    <row r="883" spans="1:10" ht="21">
      <c r="A883" s="14">
        <v>878</v>
      </c>
      <c r="C883" s="16"/>
      <c r="D883" s="14" t="str">
        <f>IF(Sales[[#This Row],[Product ID]]="","",Sales[[#This Row],[Date]]&amp;Sales[[#This Row],[Invoice no]])</f>
        <v/>
      </c>
      <c r="E8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3" s="19" t="str">
        <f>IF(_xlfn.XLOOKUP(Sales[[#This Row],[Product Name]],Inventory[Product Name],Inventory[Sale Price],"")=0,"",_xlfn.XLOOKUP(Sales[[#This Row],[Product Name]],Inventory[Product Name],Inventory[Sale Price]))</f>
        <v/>
      </c>
      <c r="I883" s="19" t="str">
        <f>IFERROR(G883*H883,"")</f>
        <v/>
      </c>
      <c r="J883" s="19"/>
    </row>
    <row r="884" spans="1:10" ht="21">
      <c r="A884" s="14">
        <v>879</v>
      </c>
      <c r="C884" s="16"/>
      <c r="D884" s="14" t="str">
        <f>IF(Sales[[#This Row],[Product ID]]="","",Sales[[#This Row],[Date]]&amp;Sales[[#This Row],[Invoice no]])</f>
        <v/>
      </c>
      <c r="E8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4" s="19" t="str">
        <f>IF(_xlfn.XLOOKUP(Sales[[#This Row],[Product Name]],Inventory[Product Name],Inventory[Sale Price],"")=0,"",_xlfn.XLOOKUP(Sales[[#This Row],[Product Name]],Inventory[Product Name],Inventory[Sale Price]))</f>
        <v/>
      </c>
      <c r="I884" s="19" t="str">
        <f>IFERROR(G884*H884,"")</f>
        <v/>
      </c>
      <c r="J884" s="19"/>
    </row>
    <row r="885" spans="1:10" ht="21">
      <c r="A885" s="14">
        <v>880</v>
      </c>
      <c r="C885" s="16"/>
      <c r="D885" s="14" t="str">
        <f>IF(Sales[[#This Row],[Product ID]]="","",Sales[[#This Row],[Date]]&amp;Sales[[#This Row],[Invoice no]])</f>
        <v/>
      </c>
      <c r="E8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5" s="19" t="str">
        <f>IF(_xlfn.XLOOKUP(Sales[[#This Row],[Product Name]],Inventory[Product Name],Inventory[Sale Price],"")=0,"",_xlfn.XLOOKUP(Sales[[#This Row],[Product Name]],Inventory[Product Name],Inventory[Sale Price]))</f>
        <v/>
      </c>
      <c r="I885" s="19" t="str">
        <f>IFERROR(G885*H885,"")</f>
        <v/>
      </c>
      <c r="J885" s="19"/>
    </row>
    <row r="886" spans="1:10" ht="21">
      <c r="A886" s="14">
        <v>881</v>
      </c>
      <c r="C886" s="16"/>
      <c r="D886" s="14" t="str">
        <f>IF(Sales[[#This Row],[Product ID]]="","",Sales[[#This Row],[Date]]&amp;Sales[[#This Row],[Invoice no]])</f>
        <v/>
      </c>
      <c r="E8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6" s="19" t="str">
        <f>IF(_xlfn.XLOOKUP(Sales[[#This Row],[Product Name]],Inventory[Product Name],Inventory[Sale Price],"")=0,"",_xlfn.XLOOKUP(Sales[[#This Row],[Product Name]],Inventory[Product Name],Inventory[Sale Price]))</f>
        <v/>
      </c>
      <c r="I886" s="19" t="str">
        <f>IFERROR(G886*H886,"")</f>
        <v/>
      </c>
      <c r="J886" s="19"/>
    </row>
    <row r="887" spans="1:10" ht="21">
      <c r="A887" s="14">
        <v>882</v>
      </c>
      <c r="C887" s="16"/>
      <c r="D887" s="14" t="str">
        <f>IF(Sales[[#This Row],[Product ID]]="","",Sales[[#This Row],[Date]]&amp;Sales[[#This Row],[Invoice no]])</f>
        <v/>
      </c>
      <c r="E8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7" s="19" t="str">
        <f>IF(_xlfn.XLOOKUP(Sales[[#This Row],[Product Name]],Inventory[Product Name],Inventory[Sale Price],"")=0,"",_xlfn.XLOOKUP(Sales[[#This Row],[Product Name]],Inventory[Product Name],Inventory[Sale Price]))</f>
        <v/>
      </c>
      <c r="I887" s="19" t="str">
        <f>IFERROR(G887*H887,"")</f>
        <v/>
      </c>
      <c r="J887" s="19"/>
    </row>
    <row r="888" spans="1:10" ht="21">
      <c r="A888" s="14">
        <v>883</v>
      </c>
      <c r="C888" s="16"/>
      <c r="D888" s="14" t="str">
        <f>IF(Sales[[#This Row],[Product ID]]="","",Sales[[#This Row],[Date]]&amp;Sales[[#This Row],[Invoice no]])</f>
        <v/>
      </c>
      <c r="E8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8" s="19" t="str">
        <f>IF(_xlfn.XLOOKUP(Sales[[#This Row],[Product Name]],Inventory[Product Name],Inventory[Sale Price],"")=0,"",_xlfn.XLOOKUP(Sales[[#This Row],[Product Name]],Inventory[Product Name],Inventory[Sale Price]))</f>
        <v/>
      </c>
      <c r="I888" s="19" t="str">
        <f>IFERROR(G888*H888,"")</f>
        <v/>
      </c>
      <c r="J888" s="19"/>
    </row>
    <row r="889" spans="1:10" ht="21">
      <c r="A889" s="14">
        <v>884</v>
      </c>
      <c r="C889" s="16"/>
      <c r="D889" s="14" t="str">
        <f>IF(Sales[[#This Row],[Product ID]]="","",Sales[[#This Row],[Date]]&amp;Sales[[#This Row],[Invoice no]])</f>
        <v/>
      </c>
      <c r="E8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89" s="19" t="str">
        <f>IF(_xlfn.XLOOKUP(Sales[[#This Row],[Product Name]],Inventory[Product Name],Inventory[Sale Price],"")=0,"",_xlfn.XLOOKUP(Sales[[#This Row],[Product Name]],Inventory[Product Name],Inventory[Sale Price]))</f>
        <v/>
      </c>
      <c r="I889" s="19" t="str">
        <f>IFERROR(G889*H889,"")</f>
        <v/>
      </c>
      <c r="J889" s="19"/>
    </row>
    <row r="890" spans="1:10" ht="21">
      <c r="A890" s="14">
        <v>885</v>
      </c>
      <c r="C890" s="16"/>
      <c r="D890" s="14" t="str">
        <f>IF(Sales[[#This Row],[Product ID]]="","",Sales[[#This Row],[Date]]&amp;Sales[[#This Row],[Invoice no]])</f>
        <v/>
      </c>
      <c r="E8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0" s="19" t="str">
        <f>IF(_xlfn.XLOOKUP(Sales[[#This Row],[Product Name]],Inventory[Product Name],Inventory[Sale Price],"")=0,"",_xlfn.XLOOKUP(Sales[[#This Row],[Product Name]],Inventory[Product Name],Inventory[Sale Price]))</f>
        <v/>
      </c>
      <c r="I890" s="19" t="str">
        <f>IFERROR(G890*H890,"")</f>
        <v/>
      </c>
      <c r="J890" s="19"/>
    </row>
    <row r="891" spans="1:10" ht="21">
      <c r="A891" s="14">
        <v>886</v>
      </c>
      <c r="C891" s="16"/>
      <c r="D891" s="14" t="str">
        <f>IF(Sales[[#This Row],[Product ID]]="","",Sales[[#This Row],[Date]]&amp;Sales[[#This Row],[Invoice no]])</f>
        <v/>
      </c>
      <c r="E8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1" s="19" t="str">
        <f>IF(_xlfn.XLOOKUP(Sales[[#This Row],[Product Name]],Inventory[Product Name],Inventory[Sale Price],"")=0,"",_xlfn.XLOOKUP(Sales[[#This Row],[Product Name]],Inventory[Product Name],Inventory[Sale Price]))</f>
        <v/>
      </c>
      <c r="I891" s="19" t="str">
        <f>IFERROR(G891*H891,"")</f>
        <v/>
      </c>
      <c r="J891" s="19"/>
    </row>
    <row r="892" spans="1:10" ht="21">
      <c r="A892" s="14">
        <v>887</v>
      </c>
      <c r="C892" s="16"/>
      <c r="D892" s="14" t="str">
        <f>IF(Sales[[#This Row],[Product ID]]="","",Sales[[#This Row],[Date]]&amp;Sales[[#This Row],[Invoice no]])</f>
        <v/>
      </c>
      <c r="E8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2" s="19" t="str">
        <f>IF(_xlfn.XLOOKUP(Sales[[#This Row],[Product Name]],Inventory[Product Name],Inventory[Sale Price],"")=0,"",_xlfn.XLOOKUP(Sales[[#This Row],[Product Name]],Inventory[Product Name],Inventory[Sale Price]))</f>
        <v/>
      </c>
      <c r="I892" s="19" t="str">
        <f>IFERROR(G892*H892,"")</f>
        <v/>
      </c>
      <c r="J892" s="19"/>
    </row>
    <row r="893" spans="1:10" ht="21">
      <c r="A893" s="14">
        <v>888</v>
      </c>
      <c r="C893" s="16"/>
      <c r="D893" s="14" t="str">
        <f>IF(Sales[[#This Row],[Product ID]]="","",Sales[[#This Row],[Date]]&amp;Sales[[#This Row],[Invoice no]])</f>
        <v/>
      </c>
      <c r="E8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3" s="19" t="str">
        <f>IF(_xlfn.XLOOKUP(Sales[[#This Row],[Product Name]],Inventory[Product Name],Inventory[Sale Price],"")=0,"",_xlfn.XLOOKUP(Sales[[#This Row],[Product Name]],Inventory[Product Name],Inventory[Sale Price]))</f>
        <v/>
      </c>
      <c r="I893" s="19" t="str">
        <f>IFERROR(G893*H893,"")</f>
        <v/>
      </c>
      <c r="J893" s="19"/>
    </row>
    <row r="894" spans="1:10" ht="21">
      <c r="A894" s="14">
        <v>889</v>
      </c>
      <c r="C894" s="16"/>
      <c r="D894" s="14" t="str">
        <f>IF(Sales[[#This Row],[Product ID]]="","",Sales[[#This Row],[Date]]&amp;Sales[[#This Row],[Invoice no]])</f>
        <v/>
      </c>
      <c r="E8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4" s="19" t="str">
        <f>IF(_xlfn.XLOOKUP(Sales[[#This Row],[Product Name]],Inventory[Product Name],Inventory[Sale Price],"")=0,"",_xlfn.XLOOKUP(Sales[[#This Row],[Product Name]],Inventory[Product Name],Inventory[Sale Price]))</f>
        <v/>
      </c>
      <c r="I894" s="19" t="str">
        <f>IFERROR(G894*H894,"")</f>
        <v/>
      </c>
      <c r="J894" s="19"/>
    </row>
    <row r="895" spans="1:10" ht="21">
      <c r="A895" s="14">
        <v>890</v>
      </c>
      <c r="C895" s="16"/>
      <c r="D895" s="14" t="str">
        <f>IF(Sales[[#This Row],[Product ID]]="","",Sales[[#This Row],[Date]]&amp;Sales[[#This Row],[Invoice no]])</f>
        <v/>
      </c>
      <c r="E8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5" s="19" t="str">
        <f>IF(_xlfn.XLOOKUP(Sales[[#This Row],[Product Name]],Inventory[Product Name],Inventory[Sale Price],"")=0,"",_xlfn.XLOOKUP(Sales[[#This Row],[Product Name]],Inventory[Product Name],Inventory[Sale Price]))</f>
        <v/>
      </c>
      <c r="I895" s="19" t="str">
        <f>IFERROR(G895*H895,"")</f>
        <v/>
      </c>
      <c r="J895" s="19"/>
    </row>
    <row r="896" spans="1:10" ht="21">
      <c r="A896" s="14">
        <v>891</v>
      </c>
      <c r="C896" s="16"/>
      <c r="D896" s="14" t="str">
        <f>IF(Sales[[#This Row],[Product ID]]="","",Sales[[#This Row],[Date]]&amp;Sales[[#This Row],[Invoice no]])</f>
        <v/>
      </c>
      <c r="E8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6" s="19" t="str">
        <f>IF(_xlfn.XLOOKUP(Sales[[#This Row],[Product Name]],Inventory[Product Name],Inventory[Sale Price],"")=0,"",_xlfn.XLOOKUP(Sales[[#This Row],[Product Name]],Inventory[Product Name],Inventory[Sale Price]))</f>
        <v/>
      </c>
      <c r="I896" s="19" t="str">
        <f>IFERROR(G896*H896,"")</f>
        <v/>
      </c>
      <c r="J896" s="19"/>
    </row>
    <row r="897" spans="1:10" ht="21">
      <c r="A897" s="14">
        <v>892</v>
      </c>
      <c r="C897" s="16"/>
      <c r="D897" s="14" t="str">
        <f>IF(Sales[[#This Row],[Product ID]]="","",Sales[[#This Row],[Date]]&amp;Sales[[#This Row],[Invoice no]])</f>
        <v/>
      </c>
      <c r="E8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7" s="19" t="str">
        <f>IF(_xlfn.XLOOKUP(Sales[[#This Row],[Product Name]],Inventory[Product Name],Inventory[Sale Price],"")=0,"",_xlfn.XLOOKUP(Sales[[#This Row],[Product Name]],Inventory[Product Name],Inventory[Sale Price]))</f>
        <v/>
      </c>
      <c r="I897" s="19" t="str">
        <f>IFERROR(G897*H897,"")</f>
        <v/>
      </c>
      <c r="J897" s="19"/>
    </row>
    <row r="898" spans="1:10" ht="21">
      <c r="A898" s="14">
        <v>893</v>
      </c>
      <c r="C898" s="16"/>
      <c r="D898" s="14" t="str">
        <f>IF(Sales[[#This Row],[Product ID]]="","",Sales[[#This Row],[Date]]&amp;Sales[[#This Row],[Invoice no]])</f>
        <v/>
      </c>
      <c r="E8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8" s="19" t="str">
        <f>IF(_xlfn.XLOOKUP(Sales[[#This Row],[Product Name]],Inventory[Product Name],Inventory[Sale Price],"")=0,"",_xlfn.XLOOKUP(Sales[[#This Row],[Product Name]],Inventory[Product Name],Inventory[Sale Price]))</f>
        <v/>
      </c>
      <c r="I898" s="19" t="str">
        <f>IFERROR(G898*H898,"")</f>
        <v/>
      </c>
      <c r="J898" s="19"/>
    </row>
    <row r="899" spans="1:10" ht="21">
      <c r="A899" s="14">
        <v>894</v>
      </c>
      <c r="C899" s="16"/>
      <c r="D899" s="14" t="str">
        <f>IF(Sales[[#This Row],[Product ID]]="","",Sales[[#This Row],[Date]]&amp;Sales[[#This Row],[Invoice no]])</f>
        <v/>
      </c>
      <c r="E8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899" s="19" t="str">
        <f>IF(_xlfn.XLOOKUP(Sales[[#This Row],[Product Name]],Inventory[Product Name],Inventory[Sale Price],"")=0,"",_xlfn.XLOOKUP(Sales[[#This Row],[Product Name]],Inventory[Product Name],Inventory[Sale Price]))</f>
        <v/>
      </c>
      <c r="I899" s="19" t="str">
        <f>IFERROR(G899*H899,"")</f>
        <v/>
      </c>
      <c r="J899" s="19"/>
    </row>
    <row r="900" spans="1:10" ht="21">
      <c r="A900" s="14">
        <v>895</v>
      </c>
      <c r="C900" s="16"/>
      <c r="D900" s="14" t="str">
        <f>IF(Sales[[#This Row],[Product ID]]="","",Sales[[#This Row],[Date]]&amp;Sales[[#This Row],[Invoice no]])</f>
        <v/>
      </c>
      <c r="E9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0" s="19" t="str">
        <f>IF(_xlfn.XLOOKUP(Sales[[#This Row],[Product Name]],Inventory[Product Name],Inventory[Sale Price],"")=0,"",_xlfn.XLOOKUP(Sales[[#This Row],[Product Name]],Inventory[Product Name],Inventory[Sale Price]))</f>
        <v/>
      </c>
      <c r="I900" s="19" t="str">
        <f>IFERROR(G900*H900,"")</f>
        <v/>
      </c>
      <c r="J900" s="19"/>
    </row>
    <row r="901" spans="1:10" ht="21">
      <c r="A901" s="14">
        <v>896</v>
      </c>
      <c r="C901" s="16"/>
      <c r="D901" s="14" t="str">
        <f>IF(Sales[[#This Row],[Product ID]]="","",Sales[[#This Row],[Date]]&amp;Sales[[#This Row],[Invoice no]])</f>
        <v/>
      </c>
      <c r="E9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1" s="19" t="str">
        <f>IF(_xlfn.XLOOKUP(Sales[[#This Row],[Product Name]],Inventory[Product Name],Inventory[Sale Price],"")=0,"",_xlfn.XLOOKUP(Sales[[#This Row],[Product Name]],Inventory[Product Name],Inventory[Sale Price]))</f>
        <v/>
      </c>
      <c r="I901" s="19" t="str">
        <f>IFERROR(G901*H901,"")</f>
        <v/>
      </c>
      <c r="J901" s="19"/>
    </row>
    <row r="902" spans="1:10" ht="21">
      <c r="A902" s="14">
        <v>897</v>
      </c>
      <c r="C902" s="16"/>
      <c r="D902" s="14" t="str">
        <f>IF(Sales[[#This Row],[Product ID]]="","",Sales[[#This Row],[Date]]&amp;Sales[[#This Row],[Invoice no]])</f>
        <v/>
      </c>
      <c r="E9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2" s="19" t="str">
        <f>IF(_xlfn.XLOOKUP(Sales[[#This Row],[Product Name]],Inventory[Product Name],Inventory[Sale Price],"")=0,"",_xlfn.XLOOKUP(Sales[[#This Row],[Product Name]],Inventory[Product Name],Inventory[Sale Price]))</f>
        <v/>
      </c>
      <c r="I902" s="19" t="str">
        <f>IFERROR(G902*H902,"")</f>
        <v/>
      </c>
      <c r="J902" s="19"/>
    </row>
    <row r="903" spans="1:10" ht="21">
      <c r="A903" s="14">
        <v>898</v>
      </c>
      <c r="C903" s="16"/>
      <c r="D903" s="14" t="str">
        <f>IF(Sales[[#This Row],[Product ID]]="","",Sales[[#This Row],[Date]]&amp;Sales[[#This Row],[Invoice no]])</f>
        <v/>
      </c>
      <c r="E9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3" s="19" t="str">
        <f>IF(_xlfn.XLOOKUP(Sales[[#This Row],[Product Name]],Inventory[Product Name],Inventory[Sale Price],"")=0,"",_xlfn.XLOOKUP(Sales[[#This Row],[Product Name]],Inventory[Product Name],Inventory[Sale Price]))</f>
        <v/>
      </c>
      <c r="I903" s="19" t="str">
        <f>IFERROR(G903*H903,"")</f>
        <v/>
      </c>
      <c r="J903" s="19"/>
    </row>
    <row r="904" spans="1:10" ht="21">
      <c r="A904" s="14">
        <v>899</v>
      </c>
      <c r="C904" s="16"/>
      <c r="D904" s="14" t="str">
        <f>IF(Sales[[#This Row],[Product ID]]="","",Sales[[#This Row],[Date]]&amp;Sales[[#This Row],[Invoice no]])</f>
        <v/>
      </c>
      <c r="E9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4" s="19" t="str">
        <f>IF(_xlfn.XLOOKUP(Sales[[#This Row],[Product Name]],Inventory[Product Name],Inventory[Sale Price],"")=0,"",_xlfn.XLOOKUP(Sales[[#This Row],[Product Name]],Inventory[Product Name],Inventory[Sale Price]))</f>
        <v/>
      </c>
      <c r="I904" s="19" t="str">
        <f>IFERROR(G904*H904,"")</f>
        <v/>
      </c>
      <c r="J904" s="19"/>
    </row>
    <row r="905" spans="1:10" ht="21">
      <c r="A905" s="14">
        <v>900</v>
      </c>
      <c r="C905" s="16"/>
      <c r="D905" s="14" t="str">
        <f>IF(Sales[[#This Row],[Product ID]]="","",Sales[[#This Row],[Date]]&amp;Sales[[#This Row],[Invoice no]])</f>
        <v/>
      </c>
      <c r="E9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5" s="19" t="str">
        <f>IF(_xlfn.XLOOKUP(Sales[[#This Row],[Product Name]],Inventory[Product Name],Inventory[Sale Price],"")=0,"",_xlfn.XLOOKUP(Sales[[#This Row],[Product Name]],Inventory[Product Name],Inventory[Sale Price]))</f>
        <v/>
      </c>
      <c r="I905" s="19" t="str">
        <f>IFERROR(G905*H905,"")</f>
        <v/>
      </c>
      <c r="J905" s="19"/>
    </row>
    <row r="906" spans="1:10" ht="21">
      <c r="A906" s="14">
        <v>901</v>
      </c>
      <c r="C906" s="16"/>
      <c r="D906" s="14" t="str">
        <f>IF(Sales[[#This Row],[Product ID]]="","",Sales[[#This Row],[Date]]&amp;Sales[[#This Row],[Invoice no]])</f>
        <v/>
      </c>
      <c r="E9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6" s="19" t="str">
        <f>IF(_xlfn.XLOOKUP(Sales[[#This Row],[Product Name]],Inventory[Product Name],Inventory[Sale Price],"")=0,"",_xlfn.XLOOKUP(Sales[[#This Row],[Product Name]],Inventory[Product Name],Inventory[Sale Price]))</f>
        <v/>
      </c>
      <c r="I906" s="19" t="str">
        <f>IFERROR(G906*H906,"")</f>
        <v/>
      </c>
      <c r="J906" s="19"/>
    </row>
    <row r="907" spans="1:10" ht="21">
      <c r="A907" s="14">
        <v>902</v>
      </c>
      <c r="C907" s="16"/>
      <c r="D907" s="14" t="str">
        <f>IF(Sales[[#This Row],[Product ID]]="","",Sales[[#This Row],[Date]]&amp;Sales[[#This Row],[Invoice no]])</f>
        <v/>
      </c>
      <c r="E9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7" s="19" t="str">
        <f>IF(_xlfn.XLOOKUP(Sales[[#This Row],[Product Name]],Inventory[Product Name],Inventory[Sale Price],"")=0,"",_xlfn.XLOOKUP(Sales[[#This Row],[Product Name]],Inventory[Product Name],Inventory[Sale Price]))</f>
        <v/>
      </c>
      <c r="I907" s="19" t="str">
        <f>IFERROR(G907*H907,"")</f>
        <v/>
      </c>
      <c r="J907" s="19"/>
    </row>
    <row r="908" spans="1:10" ht="21">
      <c r="A908" s="14">
        <v>903</v>
      </c>
      <c r="C908" s="16"/>
      <c r="D908" s="14" t="str">
        <f>IF(Sales[[#This Row],[Product ID]]="","",Sales[[#This Row],[Date]]&amp;Sales[[#This Row],[Invoice no]])</f>
        <v/>
      </c>
      <c r="E9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8" s="19" t="str">
        <f>IF(_xlfn.XLOOKUP(Sales[[#This Row],[Product Name]],Inventory[Product Name],Inventory[Sale Price],"")=0,"",_xlfn.XLOOKUP(Sales[[#This Row],[Product Name]],Inventory[Product Name],Inventory[Sale Price]))</f>
        <v/>
      </c>
      <c r="I908" s="19" t="str">
        <f>IFERROR(G908*H908,"")</f>
        <v/>
      </c>
      <c r="J908" s="19"/>
    </row>
    <row r="909" spans="1:10" ht="21">
      <c r="A909" s="14">
        <v>904</v>
      </c>
      <c r="C909" s="16"/>
      <c r="D909" s="14" t="str">
        <f>IF(Sales[[#This Row],[Product ID]]="","",Sales[[#This Row],[Date]]&amp;Sales[[#This Row],[Invoice no]])</f>
        <v/>
      </c>
      <c r="E9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09" s="19" t="str">
        <f>IF(_xlfn.XLOOKUP(Sales[[#This Row],[Product Name]],Inventory[Product Name],Inventory[Sale Price],"")=0,"",_xlfn.XLOOKUP(Sales[[#This Row],[Product Name]],Inventory[Product Name],Inventory[Sale Price]))</f>
        <v/>
      </c>
      <c r="I909" s="19" t="str">
        <f>IFERROR(G909*H909,"")</f>
        <v/>
      </c>
      <c r="J909" s="19"/>
    </row>
    <row r="910" spans="1:10" ht="21">
      <c r="A910" s="14">
        <v>905</v>
      </c>
      <c r="C910" s="16"/>
      <c r="D910" s="14" t="str">
        <f>IF(Sales[[#This Row],[Product ID]]="","",Sales[[#This Row],[Date]]&amp;Sales[[#This Row],[Invoice no]])</f>
        <v/>
      </c>
      <c r="E9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0" s="19" t="str">
        <f>IF(_xlfn.XLOOKUP(Sales[[#This Row],[Product Name]],Inventory[Product Name],Inventory[Sale Price],"")=0,"",_xlfn.XLOOKUP(Sales[[#This Row],[Product Name]],Inventory[Product Name],Inventory[Sale Price]))</f>
        <v/>
      </c>
      <c r="I910" s="19" t="str">
        <f>IFERROR(G910*H910,"")</f>
        <v/>
      </c>
      <c r="J910" s="19"/>
    </row>
    <row r="911" spans="1:10" ht="21">
      <c r="A911" s="14">
        <v>906</v>
      </c>
      <c r="C911" s="16"/>
      <c r="D911" s="14" t="str">
        <f>IF(Sales[[#This Row],[Product ID]]="","",Sales[[#This Row],[Date]]&amp;Sales[[#This Row],[Invoice no]])</f>
        <v/>
      </c>
      <c r="E9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1" s="19" t="str">
        <f>IF(_xlfn.XLOOKUP(Sales[[#This Row],[Product Name]],Inventory[Product Name],Inventory[Sale Price],"")=0,"",_xlfn.XLOOKUP(Sales[[#This Row],[Product Name]],Inventory[Product Name],Inventory[Sale Price]))</f>
        <v/>
      </c>
      <c r="I911" s="19" t="str">
        <f>IFERROR(G911*H911,"")</f>
        <v/>
      </c>
      <c r="J911" s="19"/>
    </row>
    <row r="912" spans="1:10" ht="21">
      <c r="A912" s="14">
        <v>907</v>
      </c>
      <c r="C912" s="16"/>
      <c r="D912" s="14" t="str">
        <f>IF(Sales[[#This Row],[Product ID]]="","",Sales[[#This Row],[Date]]&amp;Sales[[#This Row],[Invoice no]])</f>
        <v/>
      </c>
      <c r="E9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2" s="19" t="str">
        <f>IF(_xlfn.XLOOKUP(Sales[[#This Row],[Product Name]],Inventory[Product Name],Inventory[Sale Price],"")=0,"",_xlfn.XLOOKUP(Sales[[#This Row],[Product Name]],Inventory[Product Name],Inventory[Sale Price]))</f>
        <v/>
      </c>
      <c r="I912" s="19" t="str">
        <f>IFERROR(G912*H912,"")</f>
        <v/>
      </c>
      <c r="J912" s="19"/>
    </row>
    <row r="913" spans="1:10" ht="21">
      <c r="A913" s="14">
        <v>908</v>
      </c>
      <c r="C913" s="16"/>
      <c r="D913" s="14" t="str">
        <f>IF(Sales[[#This Row],[Product ID]]="","",Sales[[#This Row],[Date]]&amp;Sales[[#This Row],[Invoice no]])</f>
        <v/>
      </c>
      <c r="E9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3" s="19" t="str">
        <f>IF(_xlfn.XLOOKUP(Sales[[#This Row],[Product Name]],Inventory[Product Name],Inventory[Sale Price],"")=0,"",_xlfn.XLOOKUP(Sales[[#This Row],[Product Name]],Inventory[Product Name],Inventory[Sale Price]))</f>
        <v/>
      </c>
      <c r="I913" s="19" t="str">
        <f>IFERROR(G913*H913,"")</f>
        <v/>
      </c>
      <c r="J913" s="19"/>
    </row>
    <row r="914" spans="1:10" ht="21">
      <c r="A914" s="14">
        <v>909</v>
      </c>
      <c r="C914" s="16"/>
      <c r="D914" s="14" t="str">
        <f>IF(Sales[[#This Row],[Product ID]]="","",Sales[[#This Row],[Date]]&amp;Sales[[#This Row],[Invoice no]])</f>
        <v/>
      </c>
      <c r="E9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4" s="19" t="str">
        <f>IF(_xlfn.XLOOKUP(Sales[[#This Row],[Product Name]],Inventory[Product Name],Inventory[Sale Price],"")=0,"",_xlfn.XLOOKUP(Sales[[#This Row],[Product Name]],Inventory[Product Name],Inventory[Sale Price]))</f>
        <v/>
      </c>
      <c r="I914" s="19" t="str">
        <f>IFERROR(G914*H914,"")</f>
        <v/>
      </c>
      <c r="J914" s="19"/>
    </row>
    <row r="915" spans="1:10" ht="21">
      <c r="A915" s="14">
        <v>910</v>
      </c>
      <c r="C915" s="16"/>
      <c r="D915" s="14" t="str">
        <f>IF(Sales[[#This Row],[Product ID]]="","",Sales[[#This Row],[Date]]&amp;Sales[[#This Row],[Invoice no]])</f>
        <v/>
      </c>
      <c r="E9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5" s="19" t="str">
        <f>IF(_xlfn.XLOOKUP(Sales[[#This Row],[Product Name]],Inventory[Product Name],Inventory[Sale Price],"")=0,"",_xlfn.XLOOKUP(Sales[[#This Row],[Product Name]],Inventory[Product Name],Inventory[Sale Price]))</f>
        <v/>
      </c>
      <c r="I915" s="19" t="str">
        <f>IFERROR(G915*H915,"")</f>
        <v/>
      </c>
      <c r="J915" s="19"/>
    </row>
    <row r="916" spans="1:10" ht="21">
      <c r="A916" s="14">
        <v>911</v>
      </c>
      <c r="C916" s="16"/>
      <c r="D916" s="14" t="str">
        <f>IF(Sales[[#This Row],[Product ID]]="","",Sales[[#This Row],[Date]]&amp;Sales[[#This Row],[Invoice no]])</f>
        <v/>
      </c>
      <c r="E9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6" s="19" t="str">
        <f>IF(_xlfn.XLOOKUP(Sales[[#This Row],[Product Name]],Inventory[Product Name],Inventory[Sale Price],"")=0,"",_xlfn.XLOOKUP(Sales[[#This Row],[Product Name]],Inventory[Product Name],Inventory[Sale Price]))</f>
        <v/>
      </c>
      <c r="I916" s="19" t="str">
        <f>IFERROR(G916*H916,"")</f>
        <v/>
      </c>
      <c r="J916" s="19"/>
    </row>
    <row r="917" spans="1:10" ht="21">
      <c r="A917" s="14">
        <v>912</v>
      </c>
      <c r="C917" s="16"/>
      <c r="D917" s="14" t="str">
        <f>IF(Sales[[#This Row],[Product ID]]="","",Sales[[#This Row],[Date]]&amp;Sales[[#This Row],[Invoice no]])</f>
        <v/>
      </c>
      <c r="E9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7" s="19" t="str">
        <f>IF(_xlfn.XLOOKUP(Sales[[#This Row],[Product Name]],Inventory[Product Name],Inventory[Sale Price],"")=0,"",_xlfn.XLOOKUP(Sales[[#This Row],[Product Name]],Inventory[Product Name],Inventory[Sale Price]))</f>
        <v/>
      </c>
      <c r="I917" s="19" t="str">
        <f>IFERROR(G917*H917,"")</f>
        <v/>
      </c>
      <c r="J917" s="19"/>
    </row>
    <row r="918" spans="1:10" ht="21">
      <c r="A918" s="14">
        <v>913</v>
      </c>
      <c r="C918" s="16"/>
      <c r="D918" s="14" t="str">
        <f>IF(Sales[[#This Row],[Product ID]]="","",Sales[[#This Row],[Date]]&amp;Sales[[#This Row],[Invoice no]])</f>
        <v/>
      </c>
      <c r="E9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8" s="19" t="str">
        <f>IF(_xlfn.XLOOKUP(Sales[[#This Row],[Product Name]],Inventory[Product Name],Inventory[Sale Price],"")=0,"",_xlfn.XLOOKUP(Sales[[#This Row],[Product Name]],Inventory[Product Name],Inventory[Sale Price]))</f>
        <v/>
      </c>
      <c r="I918" s="19" t="str">
        <f>IFERROR(G918*H918,"")</f>
        <v/>
      </c>
      <c r="J918" s="19"/>
    </row>
    <row r="919" spans="1:10" ht="21">
      <c r="A919" s="14">
        <v>914</v>
      </c>
      <c r="C919" s="16"/>
      <c r="D919" s="14" t="str">
        <f>IF(Sales[[#This Row],[Product ID]]="","",Sales[[#This Row],[Date]]&amp;Sales[[#This Row],[Invoice no]])</f>
        <v/>
      </c>
      <c r="E9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19" s="19" t="str">
        <f>IF(_xlfn.XLOOKUP(Sales[[#This Row],[Product Name]],Inventory[Product Name],Inventory[Sale Price],"")=0,"",_xlfn.XLOOKUP(Sales[[#This Row],[Product Name]],Inventory[Product Name],Inventory[Sale Price]))</f>
        <v/>
      </c>
      <c r="I919" s="19" t="str">
        <f>IFERROR(G919*H919,"")</f>
        <v/>
      </c>
      <c r="J919" s="19"/>
    </row>
    <row r="920" spans="1:10" ht="21">
      <c r="A920" s="14">
        <v>915</v>
      </c>
      <c r="C920" s="16"/>
      <c r="D920" s="14" t="str">
        <f>IF(Sales[[#This Row],[Product ID]]="","",Sales[[#This Row],[Date]]&amp;Sales[[#This Row],[Invoice no]])</f>
        <v/>
      </c>
      <c r="E9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0" s="19" t="str">
        <f>IF(_xlfn.XLOOKUP(Sales[[#This Row],[Product Name]],Inventory[Product Name],Inventory[Sale Price],"")=0,"",_xlfn.XLOOKUP(Sales[[#This Row],[Product Name]],Inventory[Product Name],Inventory[Sale Price]))</f>
        <v/>
      </c>
      <c r="I920" s="19" t="str">
        <f>IFERROR(G920*H920,"")</f>
        <v/>
      </c>
      <c r="J920" s="19"/>
    </row>
    <row r="921" spans="1:10" ht="21">
      <c r="A921" s="14">
        <v>916</v>
      </c>
      <c r="C921" s="16"/>
      <c r="D921" s="14" t="str">
        <f>IF(Sales[[#This Row],[Product ID]]="","",Sales[[#This Row],[Date]]&amp;Sales[[#This Row],[Invoice no]])</f>
        <v/>
      </c>
      <c r="E9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1" s="19" t="str">
        <f>IF(_xlfn.XLOOKUP(Sales[[#This Row],[Product Name]],Inventory[Product Name],Inventory[Sale Price],"")=0,"",_xlfn.XLOOKUP(Sales[[#This Row],[Product Name]],Inventory[Product Name],Inventory[Sale Price]))</f>
        <v/>
      </c>
      <c r="I921" s="19" t="str">
        <f>IFERROR(G921*H921,"")</f>
        <v/>
      </c>
      <c r="J921" s="19"/>
    </row>
    <row r="922" spans="1:10" ht="21">
      <c r="A922" s="14">
        <v>917</v>
      </c>
      <c r="C922" s="16"/>
      <c r="D922" s="14" t="str">
        <f>IF(Sales[[#This Row],[Product ID]]="","",Sales[[#This Row],[Date]]&amp;Sales[[#This Row],[Invoice no]])</f>
        <v/>
      </c>
      <c r="E9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2" s="19" t="str">
        <f>IF(_xlfn.XLOOKUP(Sales[[#This Row],[Product Name]],Inventory[Product Name],Inventory[Sale Price],"")=0,"",_xlfn.XLOOKUP(Sales[[#This Row],[Product Name]],Inventory[Product Name],Inventory[Sale Price]))</f>
        <v/>
      </c>
      <c r="I922" s="19" t="str">
        <f>IFERROR(G922*H922,"")</f>
        <v/>
      </c>
      <c r="J922" s="19"/>
    </row>
    <row r="923" spans="1:10" ht="21">
      <c r="A923" s="14">
        <v>918</v>
      </c>
      <c r="C923" s="16"/>
      <c r="D923" s="14" t="str">
        <f>IF(Sales[[#This Row],[Product ID]]="","",Sales[[#This Row],[Date]]&amp;Sales[[#This Row],[Invoice no]])</f>
        <v/>
      </c>
      <c r="E9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3" s="19" t="str">
        <f>IF(_xlfn.XLOOKUP(Sales[[#This Row],[Product Name]],Inventory[Product Name],Inventory[Sale Price],"")=0,"",_xlfn.XLOOKUP(Sales[[#This Row],[Product Name]],Inventory[Product Name],Inventory[Sale Price]))</f>
        <v/>
      </c>
      <c r="I923" s="19" t="str">
        <f>IFERROR(G923*H923,"")</f>
        <v/>
      </c>
      <c r="J923" s="19"/>
    </row>
    <row r="924" spans="1:10" ht="21">
      <c r="A924" s="14">
        <v>919</v>
      </c>
      <c r="C924" s="16"/>
      <c r="D924" s="14" t="str">
        <f>IF(Sales[[#This Row],[Product ID]]="","",Sales[[#This Row],[Date]]&amp;Sales[[#This Row],[Invoice no]])</f>
        <v/>
      </c>
      <c r="E9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4" s="19" t="str">
        <f>IF(_xlfn.XLOOKUP(Sales[[#This Row],[Product Name]],Inventory[Product Name],Inventory[Sale Price],"")=0,"",_xlfn.XLOOKUP(Sales[[#This Row],[Product Name]],Inventory[Product Name],Inventory[Sale Price]))</f>
        <v/>
      </c>
      <c r="I924" s="19" t="str">
        <f>IFERROR(G924*H924,"")</f>
        <v/>
      </c>
      <c r="J924" s="19"/>
    </row>
    <row r="925" spans="1:10" ht="21">
      <c r="A925" s="14">
        <v>920</v>
      </c>
      <c r="C925" s="16"/>
      <c r="D925" s="14" t="str">
        <f>IF(Sales[[#This Row],[Product ID]]="","",Sales[[#This Row],[Date]]&amp;Sales[[#This Row],[Invoice no]])</f>
        <v/>
      </c>
      <c r="E9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5" s="19" t="str">
        <f>IF(_xlfn.XLOOKUP(Sales[[#This Row],[Product Name]],Inventory[Product Name],Inventory[Sale Price],"")=0,"",_xlfn.XLOOKUP(Sales[[#This Row],[Product Name]],Inventory[Product Name],Inventory[Sale Price]))</f>
        <v/>
      </c>
      <c r="I925" s="19" t="str">
        <f>IFERROR(G925*H925,"")</f>
        <v/>
      </c>
      <c r="J925" s="19"/>
    </row>
    <row r="926" spans="1:10" ht="21">
      <c r="A926" s="14">
        <v>921</v>
      </c>
      <c r="C926" s="16"/>
      <c r="D926" s="14" t="str">
        <f>IF(Sales[[#This Row],[Product ID]]="","",Sales[[#This Row],[Date]]&amp;Sales[[#This Row],[Invoice no]])</f>
        <v/>
      </c>
      <c r="E9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6" s="19" t="str">
        <f>IF(_xlfn.XLOOKUP(Sales[[#This Row],[Product Name]],Inventory[Product Name],Inventory[Sale Price],"")=0,"",_xlfn.XLOOKUP(Sales[[#This Row],[Product Name]],Inventory[Product Name],Inventory[Sale Price]))</f>
        <v/>
      </c>
      <c r="I926" s="19" t="str">
        <f>IFERROR(G926*H926,"")</f>
        <v/>
      </c>
      <c r="J926" s="19"/>
    </row>
    <row r="927" spans="1:10" ht="21">
      <c r="A927" s="14">
        <v>922</v>
      </c>
      <c r="C927" s="16"/>
      <c r="D927" s="14" t="str">
        <f>IF(Sales[[#This Row],[Product ID]]="","",Sales[[#This Row],[Date]]&amp;Sales[[#This Row],[Invoice no]])</f>
        <v/>
      </c>
      <c r="E9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7" s="19" t="str">
        <f>IF(_xlfn.XLOOKUP(Sales[[#This Row],[Product Name]],Inventory[Product Name],Inventory[Sale Price],"")=0,"",_xlfn.XLOOKUP(Sales[[#This Row],[Product Name]],Inventory[Product Name],Inventory[Sale Price]))</f>
        <v/>
      </c>
      <c r="I927" s="19" t="str">
        <f>IFERROR(G927*H927,"")</f>
        <v/>
      </c>
      <c r="J927" s="19"/>
    </row>
    <row r="928" spans="1:10" ht="21">
      <c r="A928" s="14">
        <v>923</v>
      </c>
      <c r="C928" s="16"/>
      <c r="D928" s="14" t="str">
        <f>IF(Sales[[#This Row],[Product ID]]="","",Sales[[#This Row],[Date]]&amp;Sales[[#This Row],[Invoice no]])</f>
        <v/>
      </c>
      <c r="E9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8" s="19" t="str">
        <f>IF(_xlfn.XLOOKUP(Sales[[#This Row],[Product Name]],Inventory[Product Name],Inventory[Sale Price],"")=0,"",_xlfn.XLOOKUP(Sales[[#This Row],[Product Name]],Inventory[Product Name],Inventory[Sale Price]))</f>
        <v/>
      </c>
      <c r="I928" s="19" t="str">
        <f>IFERROR(G928*H928,"")</f>
        <v/>
      </c>
      <c r="J928" s="19"/>
    </row>
    <row r="929" spans="1:10" ht="21">
      <c r="A929" s="14">
        <v>924</v>
      </c>
      <c r="C929" s="16"/>
      <c r="D929" s="14" t="str">
        <f>IF(Sales[[#This Row],[Product ID]]="","",Sales[[#This Row],[Date]]&amp;Sales[[#This Row],[Invoice no]])</f>
        <v/>
      </c>
      <c r="E9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29" s="19" t="str">
        <f>IF(_xlfn.XLOOKUP(Sales[[#This Row],[Product Name]],Inventory[Product Name],Inventory[Sale Price],"")=0,"",_xlfn.XLOOKUP(Sales[[#This Row],[Product Name]],Inventory[Product Name],Inventory[Sale Price]))</f>
        <v/>
      </c>
      <c r="I929" s="19" t="str">
        <f>IFERROR(G929*H929,"")</f>
        <v/>
      </c>
      <c r="J929" s="19"/>
    </row>
    <row r="930" spans="1:10" ht="21">
      <c r="A930" s="14">
        <v>925</v>
      </c>
      <c r="C930" s="16"/>
      <c r="D930" s="14" t="str">
        <f>IF(Sales[[#This Row],[Product ID]]="","",Sales[[#This Row],[Date]]&amp;Sales[[#This Row],[Invoice no]])</f>
        <v/>
      </c>
      <c r="E9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0" s="19" t="str">
        <f>IF(_xlfn.XLOOKUP(Sales[[#This Row],[Product Name]],Inventory[Product Name],Inventory[Sale Price],"")=0,"",_xlfn.XLOOKUP(Sales[[#This Row],[Product Name]],Inventory[Product Name],Inventory[Sale Price]))</f>
        <v/>
      </c>
      <c r="I930" s="19" t="str">
        <f>IFERROR(G930*H930,"")</f>
        <v/>
      </c>
      <c r="J930" s="19"/>
    </row>
    <row r="931" spans="1:10" ht="21">
      <c r="A931" s="14">
        <v>926</v>
      </c>
      <c r="C931" s="16"/>
      <c r="D931" s="14" t="str">
        <f>IF(Sales[[#This Row],[Product ID]]="","",Sales[[#This Row],[Date]]&amp;Sales[[#This Row],[Invoice no]])</f>
        <v/>
      </c>
      <c r="E9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1" s="19" t="str">
        <f>IF(_xlfn.XLOOKUP(Sales[[#This Row],[Product Name]],Inventory[Product Name],Inventory[Sale Price],"")=0,"",_xlfn.XLOOKUP(Sales[[#This Row],[Product Name]],Inventory[Product Name],Inventory[Sale Price]))</f>
        <v/>
      </c>
      <c r="I931" s="19" t="str">
        <f>IFERROR(G931*H931,"")</f>
        <v/>
      </c>
      <c r="J931" s="19"/>
    </row>
    <row r="932" spans="1:10" ht="21">
      <c r="A932" s="14">
        <v>927</v>
      </c>
      <c r="C932" s="16"/>
      <c r="D932" s="14" t="str">
        <f>IF(Sales[[#This Row],[Product ID]]="","",Sales[[#This Row],[Date]]&amp;Sales[[#This Row],[Invoice no]])</f>
        <v/>
      </c>
      <c r="E9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2" s="19" t="str">
        <f>IF(_xlfn.XLOOKUP(Sales[[#This Row],[Product Name]],Inventory[Product Name],Inventory[Sale Price],"")=0,"",_xlfn.XLOOKUP(Sales[[#This Row],[Product Name]],Inventory[Product Name],Inventory[Sale Price]))</f>
        <v/>
      </c>
      <c r="I932" s="19" t="str">
        <f>IFERROR(G932*H932,"")</f>
        <v/>
      </c>
      <c r="J932" s="19"/>
    </row>
    <row r="933" spans="1:10" ht="21">
      <c r="A933" s="14">
        <v>928</v>
      </c>
      <c r="C933" s="16"/>
      <c r="D933" s="14" t="str">
        <f>IF(Sales[[#This Row],[Product ID]]="","",Sales[[#This Row],[Date]]&amp;Sales[[#This Row],[Invoice no]])</f>
        <v/>
      </c>
      <c r="E9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3" s="19" t="str">
        <f>IF(_xlfn.XLOOKUP(Sales[[#This Row],[Product Name]],Inventory[Product Name],Inventory[Sale Price],"")=0,"",_xlfn.XLOOKUP(Sales[[#This Row],[Product Name]],Inventory[Product Name],Inventory[Sale Price]))</f>
        <v/>
      </c>
      <c r="I933" s="19" t="str">
        <f>IFERROR(G933*H933,"")</f>
        <v/>
      </c>
      <c r="J933" s="19"/>
    </row>
    <row r="934" spans="1:10" ht="21">
      <c r="A934" s="14">
        <v>929</v>
      </c>
      <c r="C934" s="16"/>
      <c r="D934" s="14" t="str">
        <f>IF(Sales[[#This Row],[Product ID]]="","",Sales[[#This Row],[Date]]&amp;Sales[[#This Row],[Invoice no]])</f>
        <v/>
      </c>
      <c r="E9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4" s="19" t="str">
        <f>IF(_xlfn.XLOOKUP(Sales[[#This Row],[Product Name]],Inventory[Product Name],Inventory[Sale Price],"")=0,"",_xlfn.XLOOKUP(Sales[[#This Row],[Product Name]],Inventory[Product Name],Inventory[Sale Price]))</f>
        <v/>
      </c>
      <c r="I934" s="19" t="str">
        <f>IFERROR(G934*H934,"")</f>
        <v/>
      </c>
      <c r="J934" s="19"/>
    </row>
    <row r="935" spans="1:10" ht="21">
      <c r="A935" s="14">
        <v>930</v>
      </c>
      <c r="C935" s="16"/>
      <c r="D935" s="14" t="str">
        <f>IF(Sales[[#This Row],[Product ID]]="","",Sales[[#This Row],[Date]]&amp;Sales[[#This Row],[Invoice no]])</f>
        <v/>
      </c>
      <c r="E9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5" s="19" t="str">
        <f>IF(_xlfn.XLOOKUP(Sales[[#This Row],[Product Name]],Inventory[Product Name],Inventory[Sale Price],"")=0,"",_xlfn.XLOOKUP(Sales[[#This Row],[Product Name]],Inventory[Product Name],Inventory[Sale Price]))</f>
        <v/>
      </c>
      <c r="I935" s="19" t="str">
        <f>IFERROR(G935*H935,"")</f>
        <v/>
      </c>
      <c r="J935" s="19"/>
    </row>
    <row r="936" spans="1:10" ht="21">
      <c r="A936" s="14">
        <v>931</v>
      </c>
      <c r="C936" s="16"/>
      <c r="D936" s="14" t="str">
        <f>IF(Sales[[#This Row],[Product ID]]="","",Sales[[#This Row],[Date]]&amp;Sales[[#This Row],[Invoice no]])</f>
        <v/>
      </c>
      <c r="E9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6" s="19" t="str">
        <f>IF(_xlfn.XLOOKUP(Sales[[#This Row],[Product Name]],Inventory[Product Name],Inventory[Sale Price],"")=0,"",_xlfn.XLOOKUP(Sales[[#This Row],[Product Name]],Inventory[Product Name],Inventory[Sale Price]))</f>
        <v/>
      </c>
      <c r="I936" s="19" t="str">
        <f>IFERROR(G936*H936,"")</f>
        <v/>
      </c>
      <c r="J936" s="19"/>
    </row>
    <row r="937" spans="1:10" ht="21">
      <c r="A937" s="14">
        <v>932</v>
      </c>
      <c r="C937" s="16"/>
      <c r="D937" s="14" t="str">
        <f>IF(Sales[[#This Row],[Product ID]]="","",Sales[[#This Row],[Date]]&amp;Sales[[#This Row],[Invoice no]])</f>
        <v/>
      </c>
      <c r="E9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7" s="19" t="str">
        <f>IF(_xlfn.XLOOKUP(Sales[[#This Row],[Product Name]],Inventory[Product Name],Inventory[Sale Price],"")=0,"",_xlfn.XLOOKUP(Sales[[#This Row],[Product Name]],Inventory[Product Name],Inventory[Sale Price]))</f>
        <v/>
      </c>
      <c r="I937" s="19" t="str">
        <f>IFERROR(G937*H937,"")</f>
        <v/>
      </c>
      <c r="J937" s="19"/>
    </row>
    <row r="938" spans="1:10" ht="21">
      <c r="A938" s="14">
        <v>933</v>
      </c>
      <c r="C938" s="16"/>
      <c r="D938" s="14" t="str">
        <f>IF(Sales[[#This Row],[Product ID]]="","",Sales[[#This Row],[Date]]&amp;Sales[[#This Row],[Invoice no]])</f>
        <v/>
      </c>
      <c r="E9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8" s="19" t="str">
        <f>IF(_xlfn.XLOOKUP(Sales[[#This Row],[Product Name]],Inventory[Product Name],Inventory[Sale Price],"")=0,"",_xlfn.XLOOKUP(Sales[[#This Row],[Product Name]],Inventory[Product Name],Inventory[Sale Price]))</f>
        <v/>
      </c>
      <c r="I938" s="19" t="str">
        <f>IFERROR(G938*H938,"")</f>
        <v/>
      </c>
      <c r="J938" s="19"/>
    </row>
    <row r="939" spans="1:10" ht="21">
      <c r="A939" s="14">
        <v>934</v>
      </c>
      <c r="C939" s="16"/>
      <c r="D939" s="14" t="str">
        <f>IF(Sales[[#This Row],[Product ID]]="","",Sales[[#This Row],[Date]]&amp;Sales[[#This Row],[Invoice no]])</f>
        <v/>
      </c>
      <c r="E9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39" s="19" t="str">
        <f>IF(_xlfn.XLOOKUP(Sales[[#This Row],[Product Name]],Inventory[Product Name],Inventory[Sale Price],"")=0,"",_xlfn.XLOOKUP(Sales[[#This Row],[Product Name]],Inventory[Product Name],Inventory[Sale Price]))</f>
        <v/>
      </c>
      <c r="I939" s="19" t="str">
        <f>IFERROR(G939*H939,"")</f>
        <v/>
      </c>
      <c r="J939" s="19"/>
    </row>
    <row r="940" spans="1:10" ht="21">
      <c r="A940" s="14">
        <v>935</v>
      </c>
      <c r="C940" s="16"/>
      <c r="D940" s="14" t="str">
        <f>IF(Sales[[#This Row],[Product ID]]="","",Sales[[#This Row],[Date]]&amp;Sales[[#This Row],[Invoice no]])</f>
        <v/>
      </c>
      <c r="E9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0" s="19" t="str">
        <f>IF(_xlfn.XLOOKUP(Sales[[#This Row],[Product Name]],Inventory[Product Name],Inventory[Sale Price],"")=0,"",_xlfn.XLOOKUP(Sales[[#This Row],[Product Name]],Inventory[Product Name],Inventory[Sale Price]))</f>
        <v/>
      </c>
      <c r="I940" s="19" t="str">
        <f>IFERROR(G940*H940,"")</f>
        <v/>
      </c>
      <c r="J940" s="19"/>
    </row>
    <row r="941" spans="1:10" ht="21">
      <c r="A941" s="14">
        <v>936</v>
      </c>
      <c r="C941" s="16"/>
      <c r="D941" s="14" t="str">
        <f>IF(Sales[[#This Row],[Product ID]]="","",Sales[[#This Row],[Date]]&amp;Sales[[#This Row],[Invoice no]])</f>
        <v/>
      </c>
      <c r="E9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1" s="19" t="str">
        <f>IF(_xlfn.XLOOKUP(Sales[[#This Row],[Product Name]],Inventory[Product Name],Inventory[Sale Price],"")=0,"",_xlfn.XLOOKUP(Sales[[#This Row],[Product Name]],Inventory[Product Name],Inventory[Sale Price]))</f>
        <v/>
      </c>
      <c r="I941" s="19" t="str">
        <f>IFERROR(G941*H941,"")</f>
        <v/>
      </c>
      <c r="J941" s="19"/>
    </row>
    <row r="942" spans="1:10" ht="21">
      <c r="A942" s="14">
        <v>937</v>
      </c>
      <c r="C942" s="16"/>
      <c r="D942" s="14" t="str">
        <f>IF(Sales[[#This Row],[Product ID]]="","",Sales[[#This Row],[Date]]&amp;Sales[[#This Row],[Invoice no]])</f>
        <v/>
      </c>
      <c r="E9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2" s="19" t="str">
        <f>IF(_xlfn.XLOOKUP(Sales[[#This Row],[Product Name]],Inventory[Product Name],Inventory[Sale Price],"")=0,"",_xlfn.XLOOKUP(Sales[[#This Row],[Product Name]],Inventory[Product Name],Inventory[Sale Price]))</f>
        <v/>
      </c>
      <c r="I942" s="19" t="str">
        <f>IFERROR(G942*H942,"")</f>
        <v/>
      </c>
      <c r="J942" s="19"/>
    </row>
    <row r="943" spans="1:10" ht="21">
      <c r="A943" s="14">
        <v>938</v>
      </c>
      <c r="C943" s="16"/>
      <c r="D943" s="14" t="str">
        <f>IF(Sales[[#This Row],[Product ID]]="","",Sales[[#This Row],[Date]]&amp;Sales[[#This Row],[Invoice no]])</f>
        <v/>
      </c>
      <c r="E9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3" s="19" t="str">
        <f>IF(_xlfn.XLOOKUP(Sales[[#This Row],[Product Name]],Inventory[Product Name],Inventory[Sale Price],"")=0,"",_xlfn.XLOOKUP(Sales[[#This Row],[Product Name]],Inventory[Product Name],Inventory[Sale Price]))</f>
        <v/>
      </c>
      <c r="I943" s="19" t="str">
        <f>IFERROR(G943*H943,"")</f>
        <v/>
      </c>
      <c r="J943" s="19"/>
    </row>
    <row r="944" spans="1:10" ht="21">
      <c r="A944" s="14">
        <v>939</v>
      </c>
      <c r="C944" s="16"/>
      <c r="D944" s="14" t="str">
        <f>IF(Sales[[#This Row],[Product ID]]="","",Sales[[#This Row],[Date]]&amp;Sales[[#This Row],[Invoice no]])</f>
        <v/>
      </c>
      <c r="E9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4" s="19" t="str">
        <f>IF(_xlfn.XLOOKUP(Sales[[#This Row],[Product Name]],Inventory[Product Name],Inventory[Sale Price],"")=0,"",_xlfn.XLOOKUP(Sales[[#This Row],[Product Name]],Inventory[Product Name],Inventory[Sale Price]))</f>
        <v/>
      </c>
      <c r="I944" s="19" t="str">
        <f>IFERROR(G944*H944,"")</f>
        <v/>
      </c>
      <c r="J944" s="19"/>
    </row>
    <row r="945" spans="1:10" ht="21">
      <c r="A945" s="14">
        <v>940</v>
      </c>
      <c r="C945" s="16"/>
      <c r="D945" s="14" t="str">
        <f>IF(Sales[[#This Row],[Product ID]]="","",Sales[[#This Row],[Date]]&amp;Sales[[#This Row],[Invoice no]])</f>
        <v/>
      </c>
      <c r="E9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5" s="19" t="str">
        <f>IF(_xlfn.XLOOKUP(Sales[[#This Row],[Product Name]],Inventory[Product Name],Inventory[Sale Price],"")=0,"",_xlfn.XLOOKUP(Sales[[#This Row],[Product Name]],Inventory[Product Name],Inventory[Sale Price]))</f>
        <v/>
      </c>
      <c r="I945" s="19" t="str">
        <f>IFERROR(G945*H945,"")</f>
        <v/>
      </c>
      <c r="J945" s="19"/>
    </row>
    <row r="946" spans="1:10" ht="21">
      <c r="A946" s="14">
        <v>941</v>
      </c>
      <c r="C946" s="16"/>
      <c r="D946" s="14" t="str">
        <f>IF(Sales[[#This Row],[Product ID]]="","",Sales[[#This Row],[Date]]&amp;Sales[[#This Row],[Invoice no]])</f>
        <v/>
      </c>
      <c r="E9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6" s="19" t="str">
        <f>IF(_xlfn.XLOOKUP(Sales[[#This Row],[Product Name]],Inventory[Product Name],Inventory[Sale Price],"")=0,"",_xlfn.XLOOKUP(Sales[[#This Row],[Product Name]],Inventory[Product Name],Inventory[Sale Price]))</f>
        <v/>
      </c>
      <c r="I946" s="19" t="str">
        <f>IFERROR(G946*H946,"")</f>
        <v/>
      </c>
      <c r="J946" s="19"/>
    </row>
    <row r="947" spans="1:10" ht="21">
      <c r="A947" s="14">
        <v>942</v>
      </c>
      <c r="C947" s="16"/>
      <c r="D947" s="14" t="str">
        <f>IF(Sales[[#This Row],[Product ID]]="","",Sales[[#This Row],[Date]]&amp;Sales[[#This Row],[Invoice no]])</f>
        <v/>
      </c>
      <c r="E9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7" s="19" t="str">
        <f>IF(_xlfn.XLOOKUP(Sales[[#This Row],[Product Name]],Inventory[Product Name],Inventory[Sale Price],"")=0,"",_xlfn.XLOOKUP(Sales[[#This Row],[Product Name]],Inventory[Product Name],Inventory[Sale Price]))</f>
        <v/>
      </c>
      <c r="I947" s="19" t="str">
        <f>IFERROR(G947*H947,"")</f>
        <v/>
      </c>
      <c r="J947" s="19"/>
    </row>
    <row r="948" spans="1:10" ht="21">
      <c r="A948" s="14">
        <v>943</v>
      </c>
      <c r="C948" s="16"/>
      <c r="D948" s="14" t="str">
        <f>IF(Sales[[#This Row],[Product ID]]="","",Sales[[#This Row],[Date]]&amp;Sales[[#This Row],[Invoice no]])</f>
        <v/>
      </c>
      <c r="E9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8" s="19" t="str">
        <f>IF(_xlfn.XLOOKUP(Sales[[#This Row],[Product Name]],Inventory[Product Name],Inventory[Sale Price],"")=0,"",_xlfn.XLOOKUP(Sales[[#This Row],[Product Name]],Inventory[Product Name],Inventory[Sale Price]))</f>
        <v/>
      </c>
      <c r="I948" s="19" t="str">
        <f>IFERROR(G948*H948,"")</f>
        <v/>
      </c>
      <c r="J948" s="19"/>
    </row>
    <row r="949" spans="1:10" ht="21">
      <c r="A949" s="14">
        <v>944</v>
      </c>
      <c r="C949" s="16"/>
      <c r="D949" s="14" t="str">
        <f>IF(Sales[[#This Row],[Product ID]]="","",Sales[[#This Row],[Date]]&amp;Sales[[#This Row],[Invoice no]])</f>
        <v/>
      </c>
      <c r="E9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49" s="19" t="str">
        <f>IF(_xlfn.XLOOKUP(Sales[[#This Row],[Product Name]],Inventory[Product Name],Inventory[Sale Price],"")=0,"",_xlfn.XLOOKUP(Sales[[#This Row],[Product Name]],Inventory[Product Name],Inventory[Sale Price]))</f>
        <v/>
      </c>
      <c r="I949" s="19" t="str">
        <f>IFERROR(G949*H949,"")</f>
        <v/>
      </c>
      <c r="J949" s="19"/>
    </row>
    <row r="950" spans="1:10" ht="21">
      <c r="A950" s="14">
        <v>945</v>
      </c>
      <c r="C950" s="16"/>
      <c r="D950" s="14" t="str">
        <f>IF(Sales[[#This Row],[Product ID]]="","",Sales[[#This Row],[Date]]&amp;Sales[[#This Row],[Invoice no]])</f>
        <v/>
      </c>
      <c r="E9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0" s="19" t="str">
        <f>IF(_xlfn.XLOOKUP(Sales[[#This Row],[Product Name]],Inventory[Product Name],Inventory[Sale Price],"")=0,"",_xlfn.XLOOKUP(Sales[[#This Row],[Product Name]],Inventory[Product Name],Inventory[Sale Price]))</f>
        <v/>
      </c>
      <c r="I950" s="19" t="str">
        <f>IFERROR(G950*H950,"")</f>
        <v/>
      </c>
      <c r="J950" s="19"/>
    </row>
    <row r="951" spans="1:10" ht="21">
      <c r="A951" s="14">
        <v>946</v>
      </c>
      <c r="C951" s="16"/>
      <c r="D951" s="14" t="str">
        <f>IF(Sales[[#This Row],[Product ID]]="","",Sales[[#This Row],[Date]]&amp;Sales[[#This Row],[Invoice no]])</f>
        <v/>
      </c>
      <c r="E9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1" s="19" t="str">
        <f>IF(_xlfn.XLOOKUP(Sales[[#This Row],[Product Name]],Inventory[Product Name],Inventory[Sale Price],"")=0,"",_xlfn.XLOOKUP(Sales[[#This Row],[Product Name]],Inventory[Product Name],Inventory[Sale Price]))</f>
        <v/>
      </c>
      <c r="I951" s="19" t="str">
        <f>IFERROR(G951*H951,"")</f>
        <v/>
      </c>
      <c r="J951" s="19"/>
    </row>
    <row r="952" spans="1:10" ht="21">
      <c r="A952" s="14">
        <v>947</v>
      </c>
      <c r="C952" s="16"/>
      <c r="D952" s="14" t="str">
        <f>IF(Sales[[#This Row],[Product ID]]="","",Sales[[#This Row],[Date]]&amp;Sales[[#This Row],[Invoice no]])</f>
        <v/>
      </c>
      <c r="E9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2" s="19" t="str">
        <f>IF(_xlfn.XLOOKUP(Sales[[#This Row],[Product Name]],Inventory[Product Name],Inventory[Sale Price],"")=0,"",_xlfn.XLOOKUP(Sales[[#This Row],[Product Name]],Inventory[Product Name],Inventory[Sale Price]))</f>
        <v/>
      </c>
      <c r="I952" s="19" t="str">
        <f>IFERROR(G952*H952,"")</f>
        <v/>
      </c>
      <c r="J952" s="19"/>
    </row>
    <row r="953" spans="1:10" ht="21">
      <c r="A953" s="14">
        <v>948</v>
      </c>
      <c r="C953" s="16"/>
      <c r="D953" s="14" t="str">
        <f>IF(Sales[[#This Row],[Product ID]]="","",Sales[[#This Row],[Date]]&amp;Sales[[#This Row],[Invoice no]])</f>
        <v/>
      </c>
      <c r="E9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3" s="19" t="str">
        <f>IF(_xlfn.XLOOKUP(Sales[[#This Row],[Product Name]],Inventory[Product Name],Inventory[Sale Price],"")=0,"",_xlfn.XLOOKUP(Sales[[#This Row],[Product Name]],Inventory[Product Name],Inventory[Sale Price]))</f>
        <v/>
      </c>
      <c r="I953" s="19" t="str">
        <f>IFERROR(G953*H953,"")</f>
        <v/>
      </c>
      <c r="J953" s="19"/>
    </row>
    <row r="954" spans="1:10" ht="21">
      <c r="A954" s="14">
        <v>949</v>
      </c>
      <c r="C954" s="16"/>
      <c r="D954" s="14" t="str">
        <f>IF(Sales[[#This Row],[Product ID]]="","",Sales[[#This Row],[Date]]&amp;Sales[[#This Row],[Invoice no]])</f>
        <v/>
      </c>
      <c r="E9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4" s="19" t="str">
        <f>IF(_xlfn.XLOOKUP(Sales[[#This Row],[Product Name]],Inventory[Product Name],Inventory[Sale Price],"")=0,"",_xlfn.XLOOKUP(Sales[[#This Row],[Product Name]],Inventory[Product Name],Inventory[Sale Price]))</f>
        <v/>
      </c>
      <c r="I954" s="19" t="str">
        <f>IFERROR(G954*H954,"")</f>
        <v/>
      </c>
      <c r="J954" s="19"/>
    </row>
    <row r="955" spans="1:10" ht="21">
      <c r="A955" s="14">
        <v>950</v>
      </c>
      <c r="C955" s="16"/>
      <c r="D955" s="14" t="str">
        <f>IF(Sales[[#This Row],[Product ID]]="","",Sales[[#This Row],[Date]]&amp;Sales[[#This Row],[Invoice no]])</f>
        <v/>
      </c>
      <c r="E9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5" s="19" t="str">
        <f>IF(_xlfn.XLOOKUP(Sales[[#This Row],[Product Name]],Inventory[Product Name],Inventory[Sale Price],"")=0,"",_xlfn.XLOOKUP(Sales[[#This Row],[Product Name]],Inventory[Product Name],Inventory[Sale Price]))</f>
        <v/>
      </c>
      <c r="I955" s="19" t="str">
        <f>IFERROR(G955*H955,"")</f>
        <v/>
      </c>
      <c r="J955" s="19"/>
    </row>
    <row r="956" spans="1:10" ht="21">
      <c r="A956" s="14">
        <v>951</v>
      </c>
      <c r="C956" s="16"/>
      <c r="D956" s="14" t="str">
        <f>IF(Sales[[#This Row],[Product ID]]="","",Sales[[#This Row],[Date]]&amp;Sales[[#This Row],[Invoice no]])</f>
        <v/>
      </c>
      <c r="E9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6" s="19" t="str">
        <f>IF(_xlfn.XLOOKUP(Sales[[#This Row],[Product Name]],Inventory[Product Name],Inventory[Sale Price],"")=0,"",_xlfn.XLOOKUP(Sales[[#This Row],[Product Name]],Inventory[Product Name],Inventory[Sale Price]))</f>
        <v/>
      </c>
      <c r="I956" s="19" t="str">
        <f>IFERROR(G956*H956,"")</f>
        <v/>
      </c>
      <c r="J956" s="19"/>
    </row>
    <row r="957" spans="1:10" ht="21">
      <c r="A957" s="14">
        <v>952</v>
      </c>
      <c r="C957" s="16"/>
      <c r="D957" s="14" t="str">
        <f>IF(Sales[[#This Row],[Product ID]]="","",Sales[[#This Row],[Date]]&amp;Sales[[#This Row],[Invoice no]])</f>
        <v/>
      </c>
      <c r="E9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7" s="19" t="str">
        <f>IF(_xlfn.XLOOKUP(Sales[[#This Row],[Product Name]],Inventory[Product Name],Inventory[Sale Price],"")=0,"",_xlfn.XLOOKUP(Sales[[#This Row],[Product Name]],Inventory[Product Name],Inventory[Sale Price]))</f>
        <v/>
      </c>
      <c r="I957" s="19" t="str">
        <f>IFERROR(G957*H957,"")</f>
        <v/>
      </c>
      <c r="J957" s="19"/>
    </row>
    <row r="958" spans="1:10" ht="21">
      <c r="A958" s="14">
        <v>953</v>
      </c>
      <c r="C958" s="16"/>
      <c r="D958" s="14" t="str">
        <f>IF(Sales[[#This Row],[Product ID]]="","",Sales[[#This Row],[Date]]&amp;Sales[[#This Row],[Invoice no]])</f>
        <v/>
      </c>
      <c r="E9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8" s="19" t="str">
        <f>IF(_xlfn.XLOOKUP(Sales[[#This Row],[Product Name]],Inventory[Product Name],Inventory[Sale Price],"")=0,"",_xlfn.XLOOKUP(Sales[[#This Row],[Product Name]],Inventory[Product Name],Inventory[Sale Price]))</f>
        <v/>
      </c>
      <c r="I958" s="19" t="str">
        <f>IFERROR(G958*H958,"")</f>
        <v/>
      </c>
      <c r="J958" s="19"/>
    </row>
    <row r="959" spans="1:10" ht="21">
      <c r="A959" s="14">
        <v>954</v>
      </c>
      <c r="C959" s="16"/>
      <c r="D959" s="14" t="str">
        <f>IF(Sales[[#This Row],[Product ID]]="","",Sales[[#This Row],[Date]]&amp;Sales[[#This Row],[Invoice no]])</f>
        <v/>
      </c>
      <c r="E9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59" s="19" t="str">
        <f>IF(_xlfn.XLOOKUP(Sales[[#This Row],[Product Name]],Inventory[Product Name],Inventory[Sale Price],"")=0,"",_xlfn.XLOOKUP(Sales[[#This Row],[Product Name]],Inventory[Product Name],Inventory[Sale Price]))</f>
        <v/>
      </c>
      <c r="I959" s="19" t="str">
        <f>IFERROR(G959*H959,"")</f>
        <v/>
      </c>
      <c r="J959" s="19"/>
    </row>
    <row r="960" spans="1:10" ht="21">
      <c r="A960" s="14">
        <v>955</v>
      </c>
      <c r="C960" s="16"/>
      <c r="D960" s="14" t="str">
        <f>IF(Sales[[#This Row],[Product ID]]="","",Sales[[#This Row],[Date]]&amp;Sales[[#This Row],[Invoice no]])</f>
        <v/>
      </c>
      <c r="E9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0" s="19" t="str">
        <f>IF(_xlfn.XLOOKUP(Sales[[#This Row],[Product Name]],Inventory[Product Name],Inventory[Sale Price],"")=0,"",_xlfn.XLOOKUP(Sales[[#This Row],[Product Name]],Inventory[Product Name],Inventory[Sale Price]))</f>
        <v/>
      </c>
      <c r="I960" s="19" t="str">
        <f>IFERROR(G960*H960,"")</f>
        <v/>
      </c>
      <c r="J960" s="19"/>
    </row>
    <row r="961" spans="1:10" ht="21">
      <c r="A961" s="14">
        <v>956</v>
      </c>
      <c r="C961" s="16"/>
      <c r="D961" s="14" t="str">
        <f>IF(Sales[[#This Row],[Product ID]]="","",Sales[[#This Row],[Date]]&amp;Sales[[#This Row],[Invoice no]])</f>
        <v/>
      </c>
      <c r="E9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1" s="19" t="str">
        <f>IF(_xlfn.XLOOKUP(Sales[[#This Row],[Product Name]],Inventory[Product Name],Inventory[Sale Price],"")=0,"",_xlfn.XLOOKUP(Sales[[#This Row],[Product Name]],Inventory[Product Name],Inventory[Sale Price]))</f>
        <v/>
      </c>
      <c r="I961" s="19" t="str">
        <f>IFERROR(G961*H961,"")</f>
        <v/>
      </c>
      <c r="J961" s="19"/>
    </row>
    <row r="962" spans="1:10" ht="21">
      <c r="A962" s="14">
        <v>957</v>
      </c>
      <c r="C962" s="16"/>
      <c r="D962" s="14" t="str">
        <f>IF(Sales[[#This Row],[Product ID]]="","",Sales[[#This Row],[Date]]&amp;Sales[[#This Row],[Invoice no]])</f>
        <v/>
      </c>
      <c r="E9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2" s="19" t="str">
        <f>IF(_xlfn.XLOOKUP(Sales[[#This Row],[Product Name]],Inventory[Product Name],Inventory[Sale Price],"")=0,"",_xlfn.XLOOKUP(Sales[[#This Row],[Product Name]],Inventory[Product Name],Inventory[Sale Price]))</f>
        <v/>
      </c>
      <c r="I962" s="19" t="str">
        <f>IFERROR(G962*H962,"")</f>
        <v/>
      </c>
      <c r="J962" s="19"/>
    </row>
    <row r="963" spans="1:10" ht="21">
      <c r="A963" s="14">
        <v>958</v>
      </c>
      <c r="C963" s="16"/>
      <c r="D963" s="14" t="str">
        <f>IF(Sales[[#This Row],[Product ID]]="","",Sales[[#This Row],[Date]]&amp;Sales[[#This Row],[Invoice no]])</f>
        <v/>
      </c>
      <c r="E9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3" s="19" t="str">
        <f>IF(_xlfn.XLOOKUP(Sales[[#This Row],[Product Name]],Inventory[Product Name],Inventory[Sale Price],"")=0,"",_xlfn.XLOOKUP(Sales[[#This Row],[Product Name]],Inventory[Product Name],Inventory[Sale Price]))</f>
        <v/>
      </c>
      <c r="I963" s="19" t="str">
        <f>IFERROR(G963*H963,"")</f>
        <v/>
      </c>
      <c r="J963" s="19"/>
    </row>
    <row r="964" spans="1:10" ht="21">
      <c r="A964" s="14">
        <v>959</v>
      </c>
      <c r="C964" s="16"/>
      <c r="D964" s="14" t="str">
        <f>IF(Sales[[#This Row],[Product ID]]="","",Sales[[#This Row],[Date]]&amp;Sales[[#This Row],[Invoice no]])</f>
        <v/>
      </c>
      <c r="E9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4" s="19" t="str">
        <f>IF(_xlfn.XLOOKUP(Sales[[#This Row],[Product Name]],Inventory[Product Name],Inventory[Sale Price],"")=0,"",_xlfn.XLOOKUP(Sales[[#This Row],[Product Name]],Inventory[Product Name],Inventory[Sale Price]))</f>
        <v/>
      </c>
      <c r="I964" s="19" t="str">
        <f>IFERROR(G964*H964,"")</f>
        <v/>
      </c>
      <c r="J964" s="19"/>
    </row>
    <row r="965" spans="1:10" ht="21">
      <c r="A965" s="14">
        <v>960</v>
      </c>
      <c r="C965" s="16"/>
      <c r="D965" s="14" t="str">
        <f>IF(Sales[[#This Row],[Product ID]]="","",Sales[[#This Row],[Date]]&amp;Sales[[#This Row],[Invoice no]])</f>
        <v/>
      </c>
      <c r="E9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5" s="19" t="str">
        <f>IF(_xlfn.XLOOKUP(Sales[[#This Row],[Product Name]],Inventory[Product Name],Inventory[Sale Price],"")=0,"",_xlfn.XLOOKUP(Sales[[#This Row],[Product Name]],Inventory[Product Name],Inventory[Sale Price]))</f>
        <v/>
      </c>
      <c r="I965" s="19" t="str">
        <f>IFERROR(G965*H965,"")</f>
        <v/>
      </c>
      <c r="J965" s="19"/>
    </row>
    <row r="966" spans="1:10" ht="21">
      <c r="A966" s="14">
        <v>961</v>
      </c>
      <c r="C966" s="16"/>
      <c r="D966" s="14" t="str">
        <f>IF(Sales[[#This Row],[Product ID]]="","",Sales[[#This Row],[Date]]&amp;Sales[[#This Row],[Invoice no]])</f>
        <v/>
      </c>
      <c r="E9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6" s="19" t="str">
        <f>IF(_xlfn.XLOOKUP(Sales[[#This Row],[Product Name]],Inventory[Product Name],Inventory[Sale Price],"")=0,"",_xlfn.XLOOKUP(Sales[[#This Row],[Product Name]],Inventory[Product Name],Inventory[Sale Price]))</f>
        <v/>
      </c>
      <c r="I966" s="19" t="str">
        <f>IFERROR(G966*H966,"")</f>
        <v/>
      </c>
      <c r="J966" s="19"/>
    </row>
    <row r="967" spans="1:10" ht="21">
      <c r="A967" s="14">
        <v>962</v>
      </c>
      <c r="C967" s="16"/>
      <c r="D967" s="14" t="str">
        <f>IF(Sales[[#This Row],[Product ID]]="","",Sales[[#This Row],[Date]]&amp;Sales[[#This Row],[Invoice no]])</f>
        <v/>
      </c>
      <c r="E9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7" s="19" t="str">
        <f>IF(_xlfn.XLOOKUP(Sales[[#This Row],[Product Name]],Inventory[Product Name],Inventory[Sale Price],"")=0,"",_xlfn.XLOOKUP(Sales[[#This Row],[Product Name]],Inventory[Product Name],Inventory[Sale Price]))</f>
        <v/>
      </c>
      <c r="I967" s="19" t="str">
        <f>IFERROR(G967*H967,"")</f>
        <v/>
      </c>
      <c r="J967" s="19"/>
    </row>
    <row r="968" spans="1:10" ht="21">
      <c r="A968" s="14">
        <v>963</v>
      </c>
      <c r="C968" s="16"/>
      <c r="D968" s="14" t="str">
        <f>IF(Sales[[#This Row],[Product ID]]="","",Sales[[#This Row],[Date]]&amp;Sales[[#This Row],[Invoice no]])</f>
        <v/>
      </c>
      <c r="E9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8" s="19" t="str">
        <f>IF(_xlfn.XLOOKUP(Sales[[#This Row],[Product Name]],Inventory[Product Name],Inventory[Sale Price],"")=0,"",_xlfn.XLOOKUP(Sales[[#This Row],[Product Name]],Inventory[Product Name],Inventory[Sale Price]))</f>
        <v/>
      </c>
      <c r="I968" s="19" t="str">
        <f>IFERROR(G968*H968,"")</f>
        <v/>
      </c>
      <c r="J968" s="19"/>
    </row>
    <row r="969" spans="1:10" ht="21">
      <c r="A969" s="14">
        <v>964</v>
      </c>
      <c r="C969" s="16"/>
      <c r="D969" s="14" t="str">
        <f>IF(Sales[[#This Row],[Product ID]]="","",Sales[[#This Row],[Date]]&amp;Sales[[#This Row],[Invoice no]])</f>
        <v/>
      </c>
      <c r="E9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69" s="19" t="str">
        <f>IF(_xlfn.XLOOKUP(Sales[[#This Row],[Product Name]],Inventory[Product Name],Inventory[Sale Price],"")=0,"",_xlfn.XLOOKUP(Sales[[#This Row],[Product Name]],Inventory[Product Name],Inventory[Sale Price]))</f>
        <v/>
      </c>
      <c r="I969" s="19" t="str">
        <f>IFERROR(G969*H969,"")</f>
        <v/>
      </c>
      <c r="J969" s="19"/>
    </row>
    <row r="970" spans="1:10" ht="21">
      <c r="A970" s="14">
        <v>965</v>
      </c>
      <c r="C970" s="16"/>
      <c r="D970" s="14" t="str">
        <f>IF(Sales[[#This Row],[Product ID]]="","",Sales[[#This Row],[Date]]&amp;Sales[[#This Row],[Invoice no]])</f>
        <v/>
      </c>
      <c r="E9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0" s="19" t="str">
        <f>IF(_xlfn.XLOOKUP(Sales[[#This Row],[Product Name]],Inventory[Product Name],Inventory[Sale Price],"")=0,"",_xlfn.XLOOKUP(Sales[[#This Row],[Product Name]],Inventory[Product Name],Inventory[Sale Price]))</f>
        <v/>
      </c>
      <c r="I970" s="19" t="str">
        <f>IFERROR(G970*H970,"")</f>
        <v/>
      </c>
      <c r="J970" s="19"/>
    </row>
    <row r="971" spans="1:10" ht="21">
      <c r="A971" s="14">
        <v>966</v>
      </c>
      <c r="C971" s="16"/>
      <c r="D971" s="14" t="str">
        <f>IF(Sales[[#This Row],[Product ID]]="","",Sales[[#This Row],[Date]]&amp;Sales[[#This Row],[Invoice no]])</f>
        <v/>
      </c>
      <c r="E9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1" s="19" t="str">
        <f>IF(_xlfn.XLOOKUP(Sales[[#This Row],[Product Name]],Inventory[Product Name],Inventory[Sale Price],"")=0,"",_xlfn.XLOOKUP(Sales[[#This Row],[Product Name]],Inventory[Product Name],Inventory[Sale Price]))</f>
        <v/>
      </c>
      <c r="I971" s="19" t="str">
        <f>IFERROR(G971*H971,"")</f>
        <v/>
      </c>
      <c r="J971" s="19"/>
    </row>
    <row r="972" spans="1:10" ht="21">
      <c r="A972" s="14">
        <v>967</v>
      </c>
      <c r="C972" s="16"/>
      <c r="D972" s="14" t="str">
        <f>IF(Sales[[#This Row],[Product ID]]="","",Sales[[#This Row],[Date]]&amp;Sales[[#This Row],[Invoice no]])</f>
        <v/>
      </c>
      <c r="E9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2" s="19" t="str">
        <f>IF(_xlfn.XLOOKUP(Sales[[#This Row],[Product Name]],Inventory[Product Name],Inventory[Sale Price],"")=0,"",_xlfn.XLOOKUP(Sales[[#This Row],[Product Name]],Inventory[Product Name],Inventory[Sale Price]))</f>
        <v/>
      </c>
      <c r="I972" s="19" t="str">
        <f>IFERROR(G972*H972,"")</f>
        <v/>
      </c>
      <c r="J972" s="19"/>
    </row>
    <row r="973" spans="1:10" ht="21">
      <c r="A973" s="14">
        <v>968</v>
      </c>
      <c r="C973" s="16"/>
      <c r="D973" s="14" t="str">
        <f>IF(Sales[[#This Row],[Product ID]]="","",Sales[[#This Row],[Date]]&amp;Sales[[#This Row],[Invoice no]])</f>
        <v/>
      </c>
      <c r="E9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3" s="19" t="str">
        <f>IF(_xlfn.XLOOKUP(Sales[[#This Row],[Product Name]],Inventory[Product Name],Inventory[Sale Price],"")=0,"",_xlfn.XLOOKUP(Sales[[#This Row],[Product Name]],Inventory[Product Name],Inventory[Sale Price]))</f>
        <v/>
      </c>
      <c r="I973" s="19" t="str">
        <f>IFERROR(G973*H973,"")</f>
        <v/>
      </c>
      <c r="J973" s="19"/>
    </row>
    <row r="974" spans="1:10" ht="21">
      <c r="A974" s="14">
        <v>969</v>
      </c>
      <c r="C974" s="16"/>
      <c r="D974" s="14" t="str">
        <f>IF(Sales[[#This Row],[Product ID]]="","",Sales[[#This Row],[Date]]&amp;Sales[[#This Row],[Invoice no]])</f>
        <v/>
      </c>
      <c r="E9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4" s="19" t="str">
        <f>IF(_xlfn.XLOOKUP(Sales[[#This Row],[Product Name]],Inventory[Product Name],Inventory[Sale Price],"")=0,"",_xlfn.XLOOKUP(Sales[[#This Row],[Product Name]],Inventory[Product Name],Inventory[Sale Price]))</f>
        <v/>
      </c>
      <c r="I974" s="19" t="str">
        <f>IFERROR(G974*H974,"")</f>
        <v/>
      </c>
      <c r="J974" s="19"/>
    </row>
    <row r="975" spans="1:10" ht="21">
      <c r="A975" s="14">
        <v>970</v>
      </c>
      <c r="C975" s="16"/>
      <c r="D975" s="14" t="str">
        <f>IF(Sales[[#This Row],[Product ID]]="","",Sales[[#This Row],[Date]]&amp;Sales[[#This Row],[Invoice no]])</f>
        <v/>
      </c>
      <c r="E9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5" s="19" t="str">
        <f>IF(_xlfn.XLOOKUP(Sales[[#This Row],[Product Name]],Inventory[Product Name],Inventory[Sale Price],"")=0,"",_xlfn.XLOOKUP(Sales[[#This Row],[Product Name]],Inventory[Product Name],Inventory[Sale Price]))</f>
        <v/>
      </c>
      <c r="I975" s="19" t="str">
        <f>IFERROR(G975*H975,"")</f>
        <v/>
      </c>
      <c r="J975" s="19"/>
    </row>
    <row r="976" spans="1:10" ht="21">
      <c r="A976" s="14">
        <v>971</v>
      </c>
      <c r="C976" s="16"/>
      <c r="D976" s="14" t="str">
        <f>IF(Sales[[#This Row],[Product ID]]="","",Sales[[#This Row],[Date]]&amp;Sales[[#This Row],[Invoice no]])</f>
        <v/>
      </c>
      <c r="E9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6" s="19" t="str">
        <f>IF(_xlfn.XLOOKUP(Sales[[#This Row],[Product Name]],Inventory[Product Name],Inventory[Sale Price],"")=0,"",_xlfn.XLOOKUP(Sales[[#This Row],[Product Name]],Inventory[Product Name],Inventory[Sale Price]))</f>
        <v/>
      </c>
      <c r="I976" s="19" t="str">
        <f>IFERROR(G976*H976,"")</f>
        <v/>
      </c>
      <c r="J976" s="19"/>
    </row>
    <row r="977" spans="1:10" ht="21">
      <c r="A977" s="14">
        <v>972</v>
      </c>
      <c r="C977" s="16"/>
      <c r="D977" s="14" t="str">
        <f>IF(Sales[[#This Row],[Product ID]]="","",Sales[[#This Row],[Date]]&amp;Sales[[#This Row],[Invoice no]])</f>
        <v/>
      </c>
      <c r="E9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7" s="19" t="str">
        <f>IF(_xlfn.XLOOKUP(Sales[[#This Row],[Product Name]],Inventory[Product Name],Inventory[Sale Price],"")=0,"",_xlfn.XLOOKUP(Sales[[#This Row],[Product Name]],Inventory[Product Name],Inventory[Sale Price]))</f>
        <v/>
      </c>
      <c r="I977" s="19" t="str">
        <f>IFERROR(G977*H977,"")</f>
        <v/>
      </c>
      <c r="J977" s="19"/>
    </row>
    <row r="978" spans="1:10" ht="21">
      <c r="A978" s="14">
        <v>973</v>
      </c>
      <c r="C978" s="16"/>
      <c r="D978" s="14" t="str">
        <f>IF(Sales[[#This Row],[Product ID]]="","",Sales[[#This Row],[Date]]&amp;Sales[[#This Row],[Invoice no]])</f>
        <v/>
      </c>
      <c r="E9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8" s="19" t="str">
        <f>IF(_xlfn.XLOOKUP(Sales[[#This Row],[Product Name]],Inventory[Product Name],Inventory[Sale Price],"")=0,"",_xlfn.XLOOKUP(Sales[[#This Row],[Product Name]],Inventory[Product Name],Inventory[Sale Price]))</f>
        <v/>
      </c>
      <c r="I978" s="19" t="str">
        <f>IFERROR(G978*H978,"")</f>
        <v/>
      </c>
      <c r="J978" s="19"/>
    </row>
    <row r="979" spans="1:10" ht="21">
      <c r="A979" s="14">
        <v>974</v>
      </c>
      <c r="C979" s="16"/>
      <c r="D979" s="14" t="str">
        <f>IF(Sales[[#This Row],[Product ID]]="","",Sales[[#This Row],[Date]]&amp;Sales[[#This Row],[Invoice no]])</f>
        <v/>
      </c>
      <c r="E9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79" s="19" t="str">
        <f>IF(_xlfn.XLOOKUP(Sales[[#This Row],[Product Name]],Inventory[Product Name],Inventory[Sale Price],"")=0,"",_xlfn.XLOOKUP(Sales[[#This Row],[Product Name]],Inventory[Product Name],Inventory[Sale Price]))</f>
        <v/>
      </c>
      <c r="I979" s="19" t="str">
        <f>IFERROR(G979*H979,"")</f>
        <v/>
      </c>
      <c r="J979" s="19"/>
    </row>
    <row r="980" spans="1:10" ht="21">
      <c r="A980" s="14">
        <v>975</v>
      </c>
      <c r="C980" s="16"/>
      <c r="D980" s="14" t="str">
        <f>IF(Sales[[#This Row],[Product ID]]="","",Sales[[#This Row],[Date]]&amp;Sales[[#This Row],[Invoice no]])</f>
        <v/>
      </c>
      <c r="E9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0" s="19" t="str">
        <f>IF(_xlfn.XLOOKUP(Sales[[#This Row],[Product Name]],Inventory[Product Name],Inventory[Sale Price],"")=0,"",_xlfn.XLOOKUP(Sales[[#This Row],[Product Name]],Inventory[Product Name],Inventory[Sale Price]))</f>
        <v/>
      </c>
      <c r="I980" s="19" t="str">
        <f>IFERROR(G980*H980,"")</f>
        <v/>
      </c>
      <c r="J980" s="19"/>
    </row>
    <row r="981" spans="1:10" ht="21">
      <c r="A981" s="14">
        <v>976</v>
      </c>
      <c r="C981" s="16"/>
      <c r="D981" s="14" t="str">
        <f>IF(Sales[[#This Row],[Product ID]]="","",Sales[[#This Row],[Date]]&amp;Sales[[#This Row],[Invoice no]])</f>
        <v/>
      </c>
      <c r="E9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1" s="19" t="str">
        <f>IF(_xlfn.XLOOKUP(Sales[[#This Row],[Product Name]],Inventory[Product Name],Inventory[Sale Price],"")=0,"",_xlfn.XLOOKUP(Sales[[#This Row],[Product Name]],Inventory[Product Name],Inventory[Sale Price]))</f>
        <v/>
      </c>
      <c r="I981" s="19" t="str">
        <f>IFERROR(G981*H981,"")</f>
        <v/>
      </c>
      <c r="J981" s="19"/>
    </row>
    <row r="982" spans="1:10" ht="21">
      <c r="A982" s="14">
        <v>977</v>
      </c>
      <c r="C982" s="16"/>
      <c r="D982" s="14" t="str">
        <f>IF(Sales[[#This Row],[Product ID]]="","",Sales[[#This Row],[Date]]&amp;Sales[[#This Row],[Invoice no]])</f>
        <v/>
      </c>
      <c r="E9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2" s="19" t="str">
        <f>IF(_xlfn.XLOOKUP(Sales[[#This Row],[Product Name]],Inventory[Product Name],Inventory[Sale Price],"")=0,"",_xlfn.XLOOKUP(Sales[[#This Row],[Product Name]],Inventory[Product Name],Inventory[Sale Price]))</f>
        <v/>
      </c>
      <c r="I982" s="19" t="str">
        <f>IFERROR(G982*H982,"")</f>
        <v/>
      </c>
      <c r="J982" s="19"/>
    </row>
    <row r="983" spans="1:10" ht="21">
      <c r="A983" s="14">
        <v>978</v>
      </c>
      <c r="C983" s="16"/>
      <c r="D983" s="14" t="str">
        <f>IF(Sales[[#This Row],[Product ID]]="","",Sales[[#This Row],[Date]]&amp;Sales[[#This Row],[Invoice no]])</f>
        <v/>
      </c>
      <c r="E9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3" s="19" t="str">
        <f>IF(_xlfn.XLOOKUP(Sales[[#This Row],[Product Name]],Inventory[Product Name],Inventory[Sale Price],"")=0,"",_xlfn.XLOOKUP(Sales[[#This Row],[Product Name]],Inventory[Product Name],Inventory[Sale Price]))</f>
        <v/>
      </c>
      <c r="I983" s="19" t="str">
        <f>IFERROR(G983*H983,"")</f>
        <v/>
      </c>
      <c r="J983" s="19"/>
    </row>
    <row r="984" spans="1:10" ht="21">
      <c r="A984" s="14">
        <v>979</v>
      </c>
      <c r="C984" s="16"/>
      <c r="D984" s="14" t="str">
        <f>IF(Sales[[#This Row],[Product ID]]="","",Sales[[#This Row],[Date]]&amp;Sales[[#This Row],[Invoice no]])</f>
        <v/>
      </c>
      <c r="E9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4" s="19" t="str">
        <f>IF(_xlfn.XLOOKUP(Sales[[#This Row],[Product Name]],Inventory[Product Name],Inventory[Sale Price],"")=0,"",_xlfn.XLOOKUP(Sales[[#This Row],[Product Name]],Inventory[Product Name],Inventory[Sale Price]))</f>
        <v/>
      </c>
      <c r="I984" s="19" t="str">
        <f>IFERROR(G984*H984,"")</f>
        <v/>
      </c>
      <c r="J984" s="19"/>
    </row>
    <row r="985" spans="1:10" ht="21">
      <c r="A985" s="14">
        <v>980</v>
      </c>
      <c r="C985" s="16"/>
      <c r="D985" s="14" t="str">
        <f>IF(Sales[[#This Row],[Product ID]]="","",Sales[[#This Row],[Date]]&amp;Sales[[#This Row],[Invoice no]])</f>
        <v/>
      </c>
      <c r="E9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5" s="19" t="str">
        <f>IF(_xlfn.XLOOKUP(Sales[[#This Row],[Product Name]],Inventory[Product Name],Inventory[Sale Price],"")=0,"",_xlfn.XLOOKUP(Sales[[#This Row],[Product Name]],Inventory[Product Name],Inventory[Sale Price]))</f>
        <v/>
      </c>
      <c r="I985" s="19" t="str">
        <f>IFERROR(G985*H985,"")</f>
        <v/>
      </c>
      <c r="J985" s="19"/>
    </row>
    <row r="986" spans="1:10" ht="21">
      <c r="A986" s="14">
        <v>981</v>
      </c>
      <c r="C986" s="16"/>
      <c r="D986" s="14" t="str">
        <f>IF(Sales[[#This Row],[Product ID]]="","",Sales[[#This Row],[Date]]&amp;Sales[[#This Row],[Invoice no]])</f>
        <v/>
      </c>
      <c r="E9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6" s="19" t="str">
        <f>IF(_xlfn.XLOOKUP(Sales[[#This Row],[Product Name]],Inventory[Product Name],Inventory[Sale Price],"")=0,"",_xlfn.XLOOKUP(Sales[[#This Row],[Product Name]],Inventory[Product Name],Inventory[Sale Price]))</f>
        <v/>
      </c>
      <c r="I986" s="19" t="str">
        <f>IFERROR(G986*H986,"")</f>
        <v/>
      </c>
      <c r="J986" s="19"/>
    </row>
    <row r="987" spans="1:10" ht="21">
      <c r="A987" s="14">
        <v>982</v>
      </c>
      <c r="C987" s="16"/>
      <c r="D987" s="14" t="str">
        <f>IF(Sales[[#This Row],[Product ID]]="","",Sales[[#This Row],[Date]]&amp;Sales[[#This Row],[Invoice no]])</f>
        <v/>
      </c>
      <c r="E9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7" s="19" t="str">
        <f>IF(_xlfn.XLOOKUP(Sales[[#This Row],[Product Name]],Inventory[Product Name],Inventory[Sale Price],"")=0,"",_xlfn.XLOOKUP(Sales[[#This Row],[Product Name]],Inventory[Product Name],Inventory[Sale Price]))</f>
        <v/>
      </c>
      <c r="I987" s="19" t="str">
        <f>IFERROR(G987*H987,"")</f>
        <v/>
      </c>
      <c r="J987" s="19"/>
    </row>
    <row r="988" spans="1:10" ht="21">
      <c r="A988" s="14">
        <v>983</v>
      </c>
      <c r="C988" s="16"/>
      <c r="D988" s="14" t="str">
        <f>IF(Sales[[#This Row],[Product ID]]="","",Sales[[#This Row],[Date]]&amp;Sales[[#This Row],[Invoice no]])</f>
        <v/>
      </c>
      <c r="E9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8" s="19" t="str">
        <f>IF(_xlfn.XLOOKUP(Sales[[#This Row],[Product Name]],Inventory[Product Name],Inventory[Sale Price],"")=0,"",_xlfn.XLOOKUP(Sales[[#This Row],[Product Name]],Inventory[Product Name],Inventory[Sale Price]))</f>
        <v/>
      </c>
      <c r="I988" s="19" t="str">
        <f>IFERROR(G988*H988,"")</f>
        <v/>
      </c>
      <c r="J988" s="19"/>
    </row>
    <row r="989" spans="1:10" ht="21">
      <c r="A989" s="14">
        <v>984</v>
      </c>
      <c r="C989" s="16"/>
      <c r="D989" s="14" t="str">
        <f>IF(Sales[[#This Row],[Product ID]]="","",Sales[[#This Row],[Date]]&amp;Sales[[#This Row],[Invoice no]])</f>
        <v/>
      </c>
      <c r="E9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89" s="19" t="str">
        <f>IF(_xlfn.XLOOKUP(Sales[[#This Row],[Product Name]],Inventory[Product Name],Inventory[Sale Price],"")=0,"",_xlfn.XLOOKUP(Sales[[#This Row],[Product Name]],Inventory[Product Name],Inventory[Sale Price]))</f>
        <v/>
      </c>
      <c r="I989" s="19" t="str">
        <f>IFERROR(G989*H989,"")</f>
        <v/>
      </c>
      <c r="J989" s="19"/>
    </row>
    <row r="990" spans="1:10" ht="21">
      <c r="A990" s="14">
        <v>985</v>
      </c>
      <c r="C990" s="16"/>
      <c r="D990" s="14" t="str">
        <f>IF(Sales[[#This Row],[Product ID]]="","",Sales[[#This Row],[Date]]&amp;Sales[[#This Row],[Invoice no]])</f>
        <v/>
      </c>
      <c r="E9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0" s="19" t="str">
        <f>IF(_xlfn.XLOOKUP(Sales[[#This Row],[Product Name]],Inventory[Product Name],Inventory[Sale Price],"")=0,"",_xlfn.XLOOKUP(Sales[[#This Row],[Product Name]],Inventory[Product Name],Inventory[Sale Price]))</f>
        <v/>
      </c>
      <c r="I990" s="19" t="str">
        <f>IFERROR(G990*H990,"")</f>
        <v/>
      </c>
      <c r="J990" s="19"/>
    </row>
    <row r="991" spans="1:10" ht="21">
      <c r="A991" s="14">
        <v>986</v>
      </c>
      <c r="C991" s="16"/>
      <c r="D991" s="14" t="str">
        <f>IF(Sales[[#This Row],[Product ID]]="","",Sales[[#This Row],[Date]]&amp;Sales[[#This Row],[Invoice no]])</f>
        <v/>
      </c>
      <c r="E9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1" s="19" t="str">
        <f>IF(_xlfn.XLOOKUP(Sales[[#This Row],[Product Name]],Inventory[Product Name],Inventory[Sale Price],"")=0,"",_xlfn.XLOOKUP(Sales[[#This Row],[Product Name]],Inventory[Product Name],Inventory[Sale Price]))</f>
        <v/>
      </c>
      <c r="I991" s="19" t="str">
        <f>IFERROR(G991*H991,"")</f>
        <v/>
      </c>
      <c r="J991" s="19"/>
    </row>
    <row r="992" spans="1:10" ht="21">
      <c r="A992" s="14">
        <v>987</v>
      </c>
      <c r="C992" s="16"/>
      <c r="D992" s="14" t="str">
        <f>IF(Sales[[#This Row],[Product ID]]="","",Sales[[#This Row],[Date]]&amp;Sales[[#This Row],[Invoice no]])</f>
        <v/>
      </c>
      <c r="E9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2" s="19" t="str">
        <f>IF(_xlfn.XLOOKUP(Sales[[#This Row],[Product Name]],Inventory[Product Name],Inventory[Sale Price],"")=0,"",_xlfn.XLOOKUP(Sales[[#This Row],[Product Name]],Inventory[Product Name],Inventory[Sale Price]))</f>
        <v/>
      </c>
      <c r="I992" s="19" t="str">
        <f>IFERROR(G992*H992,"")</f>
        <v/>
      </c>
      <c r="J992" s="19"/>
    </row>
    <row r="993" spans="1:10" ht="21">
      <c r="A993" s="14">
        <v>988</v>
      </c>
      <c r="C993" s="16"/>
      <c r="D993" s="14" t="str">
        <f>IF(Sales[[#This Row],[Product ID]]="","",Sales[[#This Row],[Date]]&amp;Sales[[#This Row],[Invoice no]])</f>
        <v/>
      </c>
      <c r="E9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3" s="19" t="str">
        <f>IF(_xlfn.XLOOKUP(Sales[[#This Row],[Product Name]],Inventory[Product Name],Inventory[Sale Price],"")=0,"",_xlfn.XLOOKUP(Sales[[#This Row],[Product Name]],Inventory[Product Name],Inventory[Sale Price]))</f>
        <v/>
      </c>
      <c r="I993" s="19" t="str">
        <f>IFERROR(G993*H993,"")</f>
        <v/>
      </c>
      <c r="J993" s="19"/>
    </row>
    <row r="994" spans="1:10" ht="21">
      <c r="A994" s="14">
        <v>989</v>
      </c>
      <c r="C994" s="16"/>
      <c r="D994" s="14" t="str">
        <f>IF(Sales[[#This Row],[Product ID]]="","",Sales[[#This Row],[Date]]&amp;Sales[[#This Row],[Invoice no]])</f>
        <v/>
      </c>
      <c r="E9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4" s="19" t="str">
        <f>IF(_xlfn.XLOOKUP(Sales[[#This Row],[Product Name]],Inventory[Product Name],Inventory[Sale Price],"")=0,"",_xlfn.XLOOKUP(Sales[[#This Row],[Product Name]],Inventory[Product Name],Inventory[Sale Price]))</f>
        <v/>
      </c>
      <c r="I994" s="19" t="str">
        <f>IFERROR(G994*H994,"")</f>
        <v/>
      </c>
      <c r="J994" s="19"/>
    </row>
    <row r="995" spans="1:10" ht="21">
      <c r="A995" s="14">
        <v>990</v>
      </c>
      <c r="C995" s="16"/>
      <c r="D995" s="14" t="str">
        <f>IF(Sales[[#This Row],[Product ID]]="","",Sales[[#This Row],[Date]]&amp;Sales[[#This Row],[Invoice no]])</f>
        <v/>
      </c>
      <c r="E9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5" s="19" t="str">
        <f>IF(_xlfn.XLOOKUP(Sales[[#This Row],[Product Name]],Inventory[Product Name],Inventory[Sale Price],"")=0,"",_xlfn.XLOOKUP(Sales[[#This Row],[Product Name]],Inventory[Product Name],Inventory[Sale Price]))</f>
        <v/>
      </c>
      <c r="I995" s="19" t="str">
        <f>IFERROR(G995*H995,"")</f>
        <v/>
      </c>
      <c r="J995" s="19"/>
    </row>
    <row r="996" spans="1:10" ht="21">
      <c r="A996" s="14">
        <v>991</v>
      </c>
      <c r="C996" s="16"/>
      <c r="D996" s="14" t="str">
        <f>IF(Sales[[#This Row],[Product ID]]="","",Sales[[#This Row],[Date]]&amp;Sales[[#This Row],[Invoice no]])</f>
        <v/>
      </c>
      <c r="E9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6" s="19" t="str">
        <f>IF(_xlfn.XLOOKUP(Sales[[#This Row],[Product Name]],Inventory[Product Name],Inventory[Sale Price],"")=0,"",_xlfn.XLOOKUP(Sales[[#This Row],[Product Name]],Inventory[Product Name],Inventory[Sale Price]))</f>
        <v/>
      </c>
      <c r="I996" s="19" t="str">
        <f>IFERROR(G996*H996,"")</f>
        <v/>
      </c>
      <c r="J996" s="19"/>
    </row>
    <row r="997" spans="1:10" ht="21">
      <c r="A997" s="14">
        <v>992</v>
      </c>
      <c r="C997" s="16"/>
      <c r="D997" s="14" t="str">
        <f>IF(Sales[[#This Row],[Product ID]]="","",Sales[[#This Row],[Date]]&amp;Sales[[#This Row],[Invoice no]])</f>
        <v/>
      </c>
      <c r="E9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7" s="19" t="str">
        <f>IF(_xlfn.XLOOKUP(Sales[[#This Row],[Product Name]],Inventory[Product Name],Inventory[Sale Price],"")=0,"",_xlfn.XLOOKUP(Sales[[#This Row],[Product Name]],Inventory[Product Name],Inventory[Sale Price]))</f>
        <v/>
      </c>
      <c r="I997" s="19" t="str">
        <f>IFERROR(G997*H997,"")</f>
        <v/>
      </c>
      <c r="J997" s="19"/>
    </row>
    <row r="998" spans="1:10" ht="21">
      <c r="A998" s="14">
        <v>993</v>
      </c>
      <c r="C998" s="16"/>
      <c r="D998" s="14" t="str">
        <f>IF(Sales[[#This Row],[Product ID]]="","",Sales[[#This Row],[Date]]&amp;Sales[[#This Row],[Invoice no]])</f>
        <v/>
      </c>
      <c r="E9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8" s="19" t="str">
        <f>IF(_xlfn.XLOOKUP(Sales[[#This Row],[Product Name]],Inventory[Product Name],Inventory[Sale Price],"")=0,"",_xlfn.XLOOKUP(Sales[[#This Row],[Product Name]],Inventory[Product Name],Inventory[Sale Price]))</f>
        <v/>
      </c>
      <c r="I998" s="19" t="str">
        <f>IFERROR(G998*H998,"")</f>
        <v/>
      </c>
      <c r="J998" s="19"/>
    </row>
    <row r="999" spans="1:10" ht="21">
      <c r="A999" s="14">
        <v>994</v>
      </c>
      <c r="C999" s="16"/>
      <c r="D999" s="14" t="str">
        <f>IF(Sales[[#This Row],[Product ID]]="","",Sales[[#This Row],[Date]]&amp;Sales[[#This Row],[Invoice no]])</f>
        <v/>
      </c>
      <c r="E9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999" s="19" t="str">
        <f>IF(_xlfn.XLOOKUP(Sales[[#This Row],[Product Name]],Inventory[Product Name],Inventory[Sale Price],"")=0,"",_xlfn.XLOOKUP(Sales[[#This Row],[Product Name]],Inventory[Product Name],Inventory[Sale Price]))</f>
        <v/>
      </c>
      <c r="I999" s="19" t="str">
        <f>IFERROR(G999*H999,"")</f>
        <v/>
      </c>
      <c r="J999" s="19"/>
    </row>
    <row r="1000" spans="1:10" ht="21">
      <c r="A1000" s="14">
        <v>995</v>
      </c>
      <c r="C1000" s="16"/>
      <c r="D1000" s="14" t="str">
        <f>IF(Sales[[#This Row],[Product ID]]="","",Sales[[#This Row],[Date]]&amp;Sales[[#This Row],[Invoice no]])</f>
        <v/>
      </c>
      <c r="E10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0" s="19" t="str">
        <f>IF(_xlfn.XLOOKUP(Sales[[#This Row],[Product Name]],Inventory[Product Name],Inventory[Sale Price],"")=0,"",_xlfn.XLOOKUP(Sales[[#This Row],[Product Name]],Inventory[Product Name],Inventory[Sale Price]))</f>
        <v/>
      </c>
      <c r="I1000" s="19" t="str">
        <f>IFERROR(G1000*H1000,"")</f>
        <v/>
      </c>
      <c r="J1000" s="19"/>
    </row>
    <row r="1001" spans="1:10" ht="21">
      <c r="A1001" s="14">
        <v>996</v>
      </c>
      <c r="C1001" s="16"/>
      <c r="D1001" s="14" t="str">
        <f>IF(Sales[[#This Row],[Product ID]]="","",Sales[[#This Row],[Date]]&amp;Sales[[#This Row],[Invoice no]])</f>
        <v/>
      </c>
      <c r="E10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1" s="19" t="str">
        <f>IF(_xlfn.XLOOKUP(Sales[[#This Row],[Product Name]],Inventory[Product Name],Inventory[Sale Price],"")=0,"",_xlfn.XLOOKUP(Sales[[#This Row],[Product Name]],Inventory[Product Name],Inventory[Sale Price]))</f>
        <v/>
      </c>
      <c r="I1001" s="19" t="str">
        <f>IFERROR(G1001*H1001,"")</f>
        <v/>
      </c>
      <c r="J1001" s="19"/>
    </row>
    <row r="1002" spans="1:10" ht="21">
      <c r="A1002" s="14">
        <v>997</v>
      </c>
      <c r="C1002" s="16"/>
      <c r="D1002" s="14" t="str">
        <f>IF(Sales[[#This Row],[Product ID]]="","",Sales[[#This Row],[Date]]&amp;Sales[[#This Row],[Invoice no]])</f>
        <v/>
      </c>
      <c r="E10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2" s="19" t="str">
        <f>IF(_xlfn.XLOOKUP(Sales[[#This Row],[Product Name]],Inventory[Product Name],Inventory[Sale Price],"")=0,"",_xlfn.XLOOKUP(Sales[[#This Row],[Product Name]],Inventory[Product Name],Inventory[Sale Price]))</f>
        <v/>
      </c>
      <c r="I1002" s="19" t="str">
        <f>IFERROR(G1002*H1002,"")</f>
        <v/>
      </c>
      <c r="J1002" s="19"/>
    </row>
    <row r="1003" spans="1:10" ht="21">
      <c r="A1003" s="14">
        <v>998</v>
      </c>
      <c r="C1003" s="16"/>
      <c r="D1003" s="14" t="str">
        <f>IF(Sales[[#This Row],[Product ID]]="","",Sales[[#This Row],[Date]]&amp;Sales[[#This Row],[Invoice no]])</f>
        <v/>
      </c>
      <c r="E10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3" s="19" t="str">
        <f>IF(_xlfn.XLOOKUP(Sales[[#This Row],[Product Name]],Inventory[Product Name],Inventory[Sale Price],"")=0,"",_xlfn.XLOOKUP(Sales[[#This Row],[Product Name]],Inventory[Product Name],Inventory[Sale Price]))</f>
        <v/>
      </c>
      <c r="I1003" s="19" t="str">
        <f>IFERROR(G1003*H1003,"")</f>
        <v/>
      </c>
      <c r="J1003" s="19"/>
    </row>
    <row r="1004" spans="1:10" ht="21">
      <c r="A1004" s="14">
        <v>999</v>
      </c>
      <c r="C1004" s="16"/>
      <c r="D1004" s="14" t="str">
        <f>IF(Sales[[#This Row],[Product ID]]="","",Sales[[#This Row],[Date]]&amp;Sales[[#This Row],[Invoice no]])</f>
        <v/>
      </c>
      <c r="E10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4" s="19" t="str">
        <f>IF(_xlfn.XLOOKUP(Sales[[#This Row],[Product Name]],Inventory[Product Name],Inventory[Sale Price],"")=0,"",_xlfn.XLOOKUP(Sales[[#This Row],[Product Name]],Inventory[Product Name],Inventory[Sale Price]))</f>
        <v/>
      </c>
      <c r="I1004" s="19" t="str">
        <f>IFERROR(G1004*H1004,"")</f>
        <v/>
      </c>
      <c r="J1004" s="19"/>
    </row>
    <row r="1005" spans="1:10" ht="21">
      <c r="A1005" s="14">
        <v>1000</v>
      </c>
      <c r="C1005" s="16"/>
      <c r="D1005" s="14" t="str">
        <f>IF(Sales[[#This Row],[Product ID]]="","",Sales[[#This Row],[Date]]&amp;Sales[[#This Row],[Invoice no]])</f>
        <v/>
      </c>
      <c r="E10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5" s="19" t="str">
        <f>IF(_xlfn.XLOOKUP(Sales[[#This Row],[Product Name]],Inventory[Product Name],Inventory[Sale Price],"")=0,"",_xlfn.XLOOKUP(Sales[[#This Row],[Product Name]],Inventory[Product Name],Inventory[Sale Price]))</f>
        <v/>
      </c>
      <c r="I1005" s="19" t="str">
        <f>IFERROR(G1005*H1005,"")</f>
        <v/>
      </c>
      <c r="J1005" s="19"/>
    </row>
    <row r="1006" spans="1:10" ht="21">
      <c r="A1006" s="14">
        <v>1001</v>
      </c>
      <c r="C1006" s="16"/>
      <c r="D1006" s="14" t="str">
        <f>IF(Sales[[#This Row],[Product ID]]="","",Sales[[#This Row],[Date]]&amp;Sales[[#This Row],[Invoice no]])</f>
        <v/>
      </c>
      <c r="E10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6" s="19" t="str">
        <f>IF(_xlfn.XLOOKUP(Sales[[#This Row],[Product Name]],Inventory[Product Name],Inventory[Sale Price],"")=0,"",_xlfn.XLOOKUP(Sales[[#This Row],[Product Name]],Inventory[Product Name],Inventory[Sale Price]))</f>
        <v/>
      </c>
      <c r="I1006" s="19" t="str">
        <f>IFERROR(G1006*H1006,"")</f>
        <v/>
      </c>
      <c r="J1006" s="19"/>
    </row>
    <row r="1007" spans="1:10" ht="21">
      <c r="A1007" s="14">
        <v>1002</v>
      </c>
      <c r="C1007" s="16"/>
      <c r="D1007" s="14" t="str">
        <f>IF(Sales[[#This Row],[Product ID]]="","",Sales[[#This Row],[Date]]&amp;Sales[[#This Row],[Invoice no]])</f>
        <v/>
      </c>
      <c r="E10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7" s="19" t="str">
        <f>IF(_xlfn.XLOOKUP(Sales[[#This Row],[Product Name]],Inventory[Product Name],Inventory[Sale Price],"")=0,"",_xlfn.XLOOKUP(Sales[[#This Row],[Product Name]],Inventory[Product Name],Inventory[Sale Price]))</f>
        <v/>
      </c>
      <c r="I1007" s="19" t="str">
        <f>IFERROR(G1007*H1007,"")</f>
        <v/>
      </c>
      <c r="J1007" s="19"/>
    </row>
    <row r="1008" spans="1:10" ht="21">
      <c r="A1008" s="14">
        <v>1003</v>
      </c>
      <c r="C1008" s="16"/>
      <c r="D1008" s="14" t="str">
        <f>IF(Sales[[#This Row],[Product ID]]="","",Sales[[#This Row],[Date]]&amp;Sales[[#This Row],[Invoice no]])</f>
        <v/>
      </c>
      <c r="E10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8" s="19" t="str">
        <f>IF(_xlfn.XLOOKUP(Sales[[#This Row],[Product Name]],Inventory[Product Name],Inventory[Sale Price],"")=0,"",_xlfn.XLOOKUP(Sales[[#This Row],[Product Name]],Inventory[Product Name],Inventory[Sale Price]))</f>
        <v/>
      </c>
      <c r="I1008" s="19" t="str">
        <f>IFERROR(G1008*H1008,"")</f>
        <v/>
      </c>
      <c r="J1008" s="19"/>
    </row>
    <row r="1009" spans="1:10" ht="21">
      <c r="A1009" s="14">
        <v>1004</v>
      </c>
      <c r="C1009" s="16"/>
      <c r="D1009" s="14" t="str">
        <f>IF(Sales[[#This Row],[Product ID]]="","",Sales[[#This Row],[Date]]&amp;Sales[[#This Row],[Invoice no]])</f>
        <v/>
      </c>
      <c r="E10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09" s="19" t="str">
        <f>IF(_xlfn.XLOOKUP(Sales[[#This Row],[Product Name]],Inventory[Product Name],Inventory[Sale Price],"")=0,"",_xlfn.XLOOKUP(Sales[[#This Row],[Product Name]],Inventory[Product Name],Inventory[Sale Price]))</f>
        <v/>
      </c>
      <c r="I1009" s="19" t="str">
        <f>IFERROR(G1009*H1009,"")</f>
        <v/>
      </c>
      <c r="J1009" s="19"/>
    </row>
    <row r="1010" spans="1:10" ht="21">
      <c r="A1010" s="14">
        <v>1005</v>
      </c>
      <c r="C1010" s="16"/>
      <c r="D1010" s="14" t="str">
        <f>IF(Sales[[#This Row],[Product ID]]="","",Sales[[#This Row],[Date]]&amp;Sales[[#This Row],[Invoice no]])</f>
        <v/>
      </c>
      <c r="E10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0" s="19" t="str">
        <f>IF(_xlfn.XLOOKUP(Sales[[#This Row],[Product Name]],Inventory[Product Name],Inventory[Sale Price],"")=0,"",_xlfn.XLOOKUP(Sales[[#This Row],[Product Name]],Inventory[Product Name],Inventory[Sale Price]))</f>
        <v/>
      </c>
      <c r="I1010" s="19" t="str">
        <f>IFERROR(G1010*H1010,"")</f>
        <v/>
      </c>
      <c r="J1010" s="19"/>
    </row>
    <row r="1011" spans="1:10" ht="21">
      <c r="A1011" s="14">
        <v>1006</v>
      </c>
      <c r="C1011" s="16"/>
      <c r="D1011" s="14" t="str">
        <f>IF(Sales[[#This Row],[Product ID]]="","",Sales[[#This Row],[Date]]&amp;Sales[[#This Row],[Invoice no]])</f>
        <v/>
      </c>
      <c r="E10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1" s="19" t="str">
        <f>IF(_xlfn.XLOOKUP(Sales[[#This Row],[Product Name]],Inventory[Product Name],Inventory[Sale Price],"")=0,"",_xlfn.XLOOKUP(Sales[[#This Row],[Product Name]],Inventory[Product Name],Inventory[Sale Price]))</f>
        <v/>
      </c>
      <c r="I1011" s="19" t="str">
        <f>IFERROR(G1011*H1011,"")</f>
        <v/>
      </c>
      <c r="J1011" s="19"/>
    </row>
    <row r="1012" spans="1:10" ht="21">
      <c r="A1012" s="14">
        <v>1007</v>
      </c>
      <c r="C1012" s="16"/>
      <c r="D1012" s="14" t="str">
        <f>IF(Sales[[#This Row],[Product ID]]="","",Sales[[#This Row],[Date]]&amp;Sales[[#This Row],[Invoice no]])</f>
        <v/>
      </c>
      <c r="E10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2" s="19" t="str">
        <f>IF(_xlfn.XLOOKUP(Sales[[#This Row],[Product Name]],Inventory[Product Name],Inventory[Sale Price],"")=0,"",_xlfn.XLOOKUP(Sales[[#This Row],[Product Name]],Inventory[Product Name],Inventory[Sale Price]))</f>
        <v/>
      </c>
      <c r="I1012" s="19" t="str">
        <f>IFERROR(G1012*H1012,"")</f>
        <v/>
      </c>
      <c r="J1012" s="19"/>
    </row>
    <row r="1013" spans="1:10" ht="21">
      <c r="A1013" s="14">
        <v>1008</v>
      </c>
      <c r="C1013" s="16"/>
      <c r="D1013" s="14" t="str">
        <f>IF(Sales[[#This Row],[Product ID]]="","",Sales[[#This Row],[Date]]&amp;Sales[[#This Row],[Invoice no]])</f>
        <v/>
      </c>
      <c r="E10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3" s="19" t="str">
        <f>IF(_xlfn.XLOOKUP(Sales[[#This Row],[Product Name]],Inventory[Product Name],Inventory[Sale Price],"")=0,"",_xlfn.XLOOKUP(Sales[[#This Row],[Product Name]],Inventory[Product Name],Inventory[Sale Price]))</f>
        <v/>
      </c>
      <c r="I1013" s="19" t="str">
        <f>IFERROR(G1013*H1013,"")</f>
        <v/>
      </c>
      <c r="J1013" s="19"/>
    </row>
    <row r="1014" spans="1:10" ht="21">
      <c r="A1014" s="14">
        <v>1009</v>
      </c>
      <c r="C1014" s="16"/>
      <c r="D1014" s="14" t="str">
        <f>IF(Sales[[#This Row],[Product ID]]="","",Sales[[#This Row],[Date]]&amp;Sales[[#This Row],[Invoice no]])</f>
        <v/>
      </c>
      <c r="E10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4" s="19" t="str">
        <f>IF(_xlfn.XLOOKUP(Sales[[#This Row],[Product Name]],Inventory[Product Name],Inventory[Sale Price],"")=0,"",_xlfn.XLOOKUP(Sales[[#This Row],[Product Name]],Inventory[Product Name],Inventory[Sale Price]))</f>
        <v/>
      </c>
      <c r="I1014" s="19" t="str">
        <f>IFERROR(G1014*H1014,"")</f>
        <v/>
      </c>
      <c r="J1014" s="19"/>
    </row>
    <row r="1015" spans="1:10" ht="21">
      <c r="A1015" s="14">
        <v>1010</v>
      </c>
      <c r="C1015" s="16"/>
      <c r="D1015" s="14" t="str">
        <f>IF(Sales[[#This Row],[Product ID]]="","",Sales[[#This Row],[Date]]&amp;Sales[[#This Row],[Invoice no]])</f>
        <v/>
      </c>
      <c r="E10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5" s="19" t="str">
        <f>IF(_xlfn.XLOOKUP(Sales[[#This Row],[Product Name]],Inventory[Product Name],Inventory[Sale Price],"")=0,"",_xlfn.XLOOKUP(Sales[[#This Row],[Product Name]],Inventory[Product Name],Inventory[Sale Price]))</f>
        <v/>
      </c>
      <c r="I1015" s="19" t="str">
        <f>IFERROR(G1015*H1015,"")</f>
        <v/>
      </c>
      <c r="J1015" s="19"/>
    </row>
    <row r="1016" spans="1:10" ht="21">
      <c r="A1016" s="14">
        <v>1011</v>
      </c>
      <c r="C1016" s="16"/>
      <c r="D1016" s="14" t="str">
        <f>IF(Sales[[#This Row],[Product ID]]="","",Sales[[#This Row],[Date]]&amp;Sales[[#This Row],[Invoice no]])</f>
        <v/>
      </c>
      <c r="E10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6" s="19" t="str">
        <f>IF(_xlfn.XLOOKUP(Sales[[#This Row],[Product Name]],Inventory[Product Name],Inventory[Sale Price],"")=0,"",_xlfn.XLOOKUP(Sales[[#This Row],[Product Name]],Inventory[Product Name],Inventory[Sale Price]))</f>
        <v/>
      </c>
      <c r="I1016" s="19" t="str">
        <f>IFERROR(G1016*H1016,"")</f>
        <v/>
      </c>
      <c r="J1016" s="19"/>
    </row>
    <row r="1017" spans="1:10" ht="21">
      <c r="A1017" s="14">
        <v>1012</v>
      </c>
      <c r="C1017" s="16"/>
      <c r="D1017" s="14" t="str">
        <f>IF(Sales[[#This Row],[Product ID]]="","",Sales[[#This Row],[Date]]&amp;Sales[[#This Row],[Invoice no]])</f>
        <v/>
      </c>
      <c r="E10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7" s="19" t="str">
        <f>IF(_xlfn.XLOOKUP(Sales[[#This Row],[Product Name]],Inventory[Product Name],Inventory[Sale Price],"")=0,"",_xlfn.XLOOKUP(Sales[[#This Row],[Product Name]],Inventory[Product Name],Inventory[Sale Price]))</f>
        <v/>
      </c>
      <c r="I1017" s="19" t="str">
        <f>IFERROR(G1017*H1017,"")</f>
        <v/>
      </c>
      <c r="J1017" s="19"/>
    </row>
    <row r="1018" spans="1:10" ht="21">
      <c r="A1018" s="14">
        <v>1013</v>
      </c>
      <c r="C1018" s="16"/>
      <c r="D1018" s="14" t="str">
        <f>IF(Sales[[#This Row],[Product ID]]="","",Sales[[#This Row],[Date]]&amp;Sales[[#This Row],[Invoice no]])</f>
        <v/>
      </c>
      <c r="E10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8" s="19" t="str">
        <f>IF(_xlfn.XLOOKUP(Sales[[#This Row],[Product Name]],Inventory[Product Name],Inventory[Sale Price],"")=0,"",_xlfn.XLOOKUP(Sales[[#This Row],[Product Name]],Inventory[Product Name],Inventory[Sale Price]))</f>
        <v/>
      </c>
      <c r="I1018" s="19" t="str">
        <f>IFERROR(G1018*H1018,"")</f>
        <v/>
      </c>
      <c r="J1018" s="19"/>
    </row>
    <row r="1019" spans="1:10" ht="21">
      <c r="A1019" s="14">
        <v>1014</v>
      </c>
      <c r="C1019" s="16"/>
      <c r="D1019" s="14" t="str">
        <f>IF(Sales[[#This Row],[Product ID]]="","",Sales[[#This Row],[Date]]&amp;Sales[[#This Row],[Invoice no]])</f>
        <v/>
      </c>
      <c r="E10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19" s="19" t="str">
        <f>IF(_xlfn.XLOOKUP(Sales[[#This Row],[Product Name]],Inventory[Product Name],Inventory[Sale Price],"")=0,"",_xlfn.XLOOKUP(Sales[[#This Row],[Product Name]],Inventory[Product Name],Inventory[Sale Price]))</f>
        <v/>
      </c>
      <c r="I1019" s="19" t="str">
        <f>IFERROR(G1019*H1019,"")</f>
        <v/>
      </c>
      <c r="J1019" s="19"/>
    </row>
    <row r="1020" spans="1:10" ht="21">
      <c r="A1020" s="14">
        <v>1015</v>
      </c>
      <c r="C1020" s="16"/>
      <c r="D1020" s="14" t="str">
        <f>IF(Sales[[#This Row],[Product ID]]="","",Sales[[#This Row],[Date]]&amp;Sales[[#This Row],[Invoice no]])</f>
        <v/>
      </c>
      <c r="E10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0" s="19" t="str">
        <f>IF(_xlfn.XLOOKUP(Sales[[#This Row],[Product Name]],Inventory[Product Name],Inventory[Sale Price],"")=0,"",_xlfn.XLOOKUP(Sales[[#This Row],[Product Name]],Inventory[Product Name],Inventory[Sale Price]))</f>
        <v/>
      </c>
      <c r="I1020" s="19" t="str">
        <f>IFERROR(G1020*H1020,"")</f>
        <v/>
      </c>
      <c r="J1020" s="19"/>
    </row>
    <row r="1021" spans="1:10" ht="21">
      <c r="A1021" s="14">
        <v>1016</v>
      </c>
      <c r="C1021" s="16"/>
      <c r="D1021" s="14" t="str">
        <f>IF(Sales[[#This Row],[Product ID]]="","",Sales[[#This Row],[Date]]&amp;Sales[[#This Row],[Invoice no]])</f>
        <v/>
      </c>
      <c r="E10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1" s="19" t="str">
        <f>IF(_xlfn.XLOOKUP(Sales[[#This Row],[Product Name]],Inventory[Product Name],Inventory[Sale Price],"")=0,"",_xlfn.XLOOKUP(Sales[[#This Row],[Product Name]],Inventory[Product Name],Inventory[Sale Price]))</f>
        <v/>
      </c>
      <c r="I1021" s="19" t="str">
        <f>IFERROR(G1021*H1021,"")</f>
        <v/>
      </c>
      <c r="J1021" s="19"/>
    </row>
    <row r="1022" spans="1:10" ht="21">
      <c r="A1022" s="14">
        <v>1017</v>
      </c>
      <c r="C1022" s="16"/>
      <c r="D1022" s="14" t="str">
        <f>IF(Sales[[#This Row],[Product ID]]="","",Sales[[#This Row],[Date]]&amp;Sales[[#This Row],[Invoice no]])</f>
        <v/>
      </c>
      <c r="E10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2" s="19" t="str">
        <f>IF(_xlfn.XLOOKUP(Sales[[#This Row],[Product Name]],Inventory[Product Name],Inventory[Sale Price],"")=0,"",_xlfn.XLOOKUP(Sales[[#This Row],[Product Name]],Inventory[Product Name],Inventory[Sale Price]))</f>
        <v/>
      </c>
      <c r="I1022" s="19" t="str">
        <f>IFERROR(G1022*H1022,"")</f>
        <v/>
      </c>
      <c r="J1022" s="19"/>
    </row>
    <row r="1023" spans="1:10" ht="21">
      <c r="A1023" s="14">
        <v>1018</v>
      </c>
      <c r="C1023" s="16"/>
      <c r="D1023" s="14" t="str">
        <f>IF(Sales[[#This Row],[Product ID]]="","",Sales[[#This Row],[Date]]&amp;Sales[[#This Row],[Invoice no]])</f>
        <v/>
      </c>
      <c r="E10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3" s="19" t="str">
        <f>IF(_xlfn.XLOOKUP(Sales[[#This Row],[Product Name]],Inventory[Product Name],Inventory[Sale Price],"")=0,"",_xlfn.XLOOKUP(Sales[[#This Row],[Product Name]],Inventory[Product Name],Inventory[Sale Price]))</f>
        <v/>
      </c>
      <c r="I1023" s="19" t="str">
        <f>IFERROR(G1023*H1023,"")</f>
        <v/>
      </c>
      <c r="J1023" s="19"/>
    </row>
    <row r="1024" spans="1:10" ht="21">
      <c r="A1024" s="14">
        <v>1019</v>
      </c>
      <c r="C1024" s="16"/>
      <c r="D1024" s="14" t="str">
        <f>IF(Sales[[#This Row],[Product ID]]="","",Sales[[#This Row],[Date]]&amp;Sales[[#This Row],[Invoice no]])</f>
        <v/>
      </c>
      <c r="E10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4" s="19" t="str">
        <f>IF(_xlfn.XLOOKUP(Sales[[#This Row],[Product Name]],Inventory[Product Name],Inventory[Sale Price],"")=0,"",_xlfn.XLOOKUP(Sales[[#This Row],[Product Name]],Inventory[Product Name],Inventory[Sale Price]))</f>
        <v/>
      </c>
      <c r="I1024" s="19" t="str">
        <f>IFERROR(G1024*H1024,"")</f>
        <v/>
      </c>
      <c r="J1024" s="19"/>
    </row>
    <row r="1025" spans="1:10" ht="21">
      <c r="A1025" s="14">
        <v>1020</v>
      </c>
      <c r="C1025" s="16"/>
      <c r="D1025" s="14" t="str">
        <f>IF(Sales[[#This Row],[Product ID]]="","",Sales[[#This Row],[Date]]&amp;Sales[[#This Row],[Invoice no]])</f>
        <v/>
      </c>
      <c r="E10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5" s="19" t="str">
        <f>IF(_xlfn.XLOOKUP(Sales[[#This Row],[Product Name]],Inventory[Product Name],Inventory[Sale Price],"")=0,"",_xlfn.XLOOKUP(Sales[[#This Row],[Product Name]],Inventory[Product Name],Inventory[Sale Price]))</f>
        <v/>
      </c>
      <c r="I1025" s="19" t="str">
        <f>IFERROR(G1025*H1025,"")</f>
        <v/>
      </c>
      <c r="J1025" s="19"/>
    </row>
    <row r="1026" spans="1:10" ht="21">
      <c r="A1026" s="14">
        <v>1021</v>
      </c>
      <c r="C1026" s="16"/>
      <c r="D1026" s="14" t="str">
        <f>IF(Sales[[#This Row],[Product ID]]="","",Sales[[#This Row],[Date]]&amp;Sales[[#This Row],[Invoice no]])</f>
        <v/>
      </c>
      <c r="E10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6" s="19" t="str">
        <f>IF(_xlfn.XLOOKUP(Sales[[#This Row],[Product Name]],Inventory[Product Name],Inventory[Sale Price],"")=0,"",_xlfn.XLOOKUP(Sales[[#This Row],[Product Name]],Inventory[Product Name],Inventory[Sale Price]))</f>
        <v/>
      </c>
      <c r="I1026" s="19" t="str">
        <f>IFERROR(G1026*H1026,"")</f>
        <v/>
      </c>
      <c r="J1026" s="19"/>
    </row>
    <row r="1027" spans="1:10" ht="21">
      <c r="A1027" s="14">
        <v>1022</v>
      </c>
      <c r="C1027" s="16"/>
      <c r="D1027" s="14" t="str">
        <f>IF(Sales[[#This Row],[Product ID]]="","",Sales[[#This Row],[Date]]&amp;Sales[[#This Row],[Invoice no]])</f>
        <v/>
      </c>
      <c r="E10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7" s="19" t="str">
        <f>IF(_xlfn.XLOOKUP(Sales[[#This Row],[Product Name]],Inventory[Product Name],Inventory[Sale Price],"")=0,"",_xlfn.XLOOKUP(Sales[[#This Row],[Product Name]],Inventory[Product Name],Inventory[Sale Price]))</f>
        <v/>
      </c>
      <c r="I1027" s="19" t="str">
        <f>IFERROR(G1027*H1027,"")</f>
        <v/>
      </c>
      <c r="J1027" s="19"/>
    </row>
    <row r="1028" spans="1:10" ht="21">
      <c r="A1028" s="14">
        <v>1023</v>
      </c>
      <c r="C1028" s="16"/>
      <c r="D1028" s="14" t="str">
        <f>IF(Sales[[#This Row],[Product ID]]="","",Sales[[#This Row],[Date]]&amp;Sales[[#This Row],[Invoice no]])</f>
        <v/>
      </c>
      <c r="E10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8" s="19" t="str">
        <f>IF(_xlfn.XLOOKUP(Sales[[#This Row],[Product Name]],Inventory[Product Name],Inventory[Sale Price],"")=0,"",_xlfn.XLOOKUP(Sales[[#This Row],[Product Name]],Inventory[Product Name],Inventory[Sale Price]))</f>
        <v/>
      </c>
      <c r="I1028" s="19" t="str">
        <f>IFERROR(G1028*H1028,"")</f>
        <v/>
      </c>
      <c r="J1028" s="19"/>
    </row>
    <row r="1029" spans="1:10" ht="21">
      <c r="A1029" s="14">
        <v>1024</v>
      </c>
      <c r="C1029" s="16"/>
      <c r="D1029" s="14" t="str">
        <f>IF(Sales[[#This Row],[Product ID]]="","",Sales[[#This Row],[Date]]&amp;Sales[[#This Row],[Invoice no]])</f>
        <v/>
      </c>
      <c r="E10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29" s="19" t="str">
        <f>IF(_xlfn.XLOOKUP(Sales[[#This Row],[Product Name]],Inventory[Product Name],Inventory[Sale Price],"")=0,"",_xlfn.XLOOKUP(Sales[[#This Row],[Product Name]],Inventory[Product Name],Inventory[Sale Price]))</f>
        <v/>
      </c>
      <c r="I1029" s="19" t="str">
        <f>IFERROR(G1029*H1029,"")</f>
        <v/>
      </c>
      <c r="J1029" s="19"/>
    </row>
    <row r="1030" spans="1:10" ht="21">
      <c r="A1030" s="14">
        <v>1025</v>
      </c>
      <c r="C1030" s="16"/>
      <c r="D1030" s="14" t="str">
        <f>IF(Sales[[#This Row],[Product ID]]="","",Sales[[#This Row],[Date]]&amp;Sales[[#This Row],[Invoice no]])</f>
        <v/>
      </c>
      <c r="E10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0" s="19" t="str">
        <f>IF(_xlfn.XLOOKUP(Sales[[#This Row],[Product Name]],Inventory[Product Name],Inventory[Sale Price],"")=0,"",_xlfn.XLOOKUP(Sales[[#This Row],[Product Name]],Inventory[Product Name],Inventory[Sale Price]))</f>
        <v/>
      </c>
      <c r="I1030" s="19" t="str">
        <f>IFERROR(G1030*H1030,"")</f>
        <v/>
      </c>
      <c r="J1030" s="19"/>
    </row>
    <row r="1031" spans="1:10" ht="21">
      <c r="A1031" s="14">
        <v>1026</v>
      </c>
      <c r="C1031" s="16"/>
      <c r="D1031" s="14" t="str">
        <f>IF(Sales[[#This Row],[Product ID]]="","",Sales[[#This Row],[Date]]&amp;Sales[[#This Row],[Invoice no]])</f>
        <v/>
      </c>
      <c r="E10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1" s="19" t="str">
        <f>IF(_xlfn.XLOOKUP(Sales[[#This Row],[Product Name]],Inventory[Product Name],Inventory[Sale Price],"")=0,"",_xlfn.XLOOKUP(Sales[[#This Row],[Product Name]],Inventory[Product Name],Inventory[Sale Price]))</f>
        <v/>
      </c>
      <c r="I1031" s="19" t="str">
        <f>IFERROR(G1031*H1031,"")</f>
        <v/>
      </c>
      <c r="J1031" s="19"/>
    </row>
    <row r="1032" spans="1:10" ht="21">
      <c r="A1032" s="14">
        <v>1027</v>
      </c>
      <c r="C1032" s="16"/>
      <c r="D1032" s="14" t="str">
        <f>IF(Sales[[#This Row],[Product ID]]="","",Sales[[#This Row],[Date]]&amp;Sales[[#This Row],[Invoice no]])</f>
        <v/>
      </c>
      <c r="E10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2" s="19" t="str">
        <f>IF(_xlfn.XLOOKUP(Sales[[#This Row],[Product Name]],Inventory[Product Name],Inventory[Sale Price],"")=0,"",_xlfn.XLOOKUP(Sales[[#This Row],[Product Name]],Inventory[Product Name],Inventory[Sale Price]))</f>
        <v/>
      </c>
      <c r="I1032" s="19" t="str">
        <f>IFERROR(G1032*H1032,"")</f>
        <v/>
      </c>
      <c r="J1032" s="19"/>
    </row>
    <row r="1033" spans="1:10" ht="21">
      <c r="A1033" s="14">
        <v>1028</v>
      </c>
      <c r="C1033" s="16"/>
      <c r="D1033" s="14" t="str">
        <f>IF(Sales[[#This Row],[Product ID]]="","",Sales[[#This Row],[Date]]&amp;Sales[[#This Row],[Invoice no]])</f>
        <v/>
      </c>
      <c r="E10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3" s="19" t="str">
        <f>IF(_xlfn.XLOOKUP(Sales[[#This Row],[Product Name]],Inventory[Product Name],Inventory[Sale Price],"")=0,"",_xlfn.XLOOKUP(Sales[[#This Row],[Product Name]],Inventory[Product Name],Inventory[Sale Price]))</f>
        <v/>
      </c>
      <c r="I1033" s="19" t="str">
        <f>IFERROR(G1033*H1033,"")</f>
        <v/>
      </c>
      <c r="J1033" s="19"/>
    </row>
    <row r="1034" spans="1:10" ht="21">
      <c r="A1034" s="14">
        <v>1029</v>
      </c>
      <c r="C1034" s="16"/>
      <c r="D1034" s="14" t="str">
        <f>IF(Sales[[#This Row],[Product ID]]="","",Sales[[#This Row],[Date]]&amp;Sales[[#This Row],[Invoice no]])</f>
        <v/>
      </c>
      <c r="E10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4" s="19" t="str">
        <f>IF(_xlfn.XLOOKUP(Sales[[#This Row],[Product Name]],Inventory[Product Name],Inventory[Sale Price],"")=0,"",_xlfn.XLOOKUP(Sales[[#This Row],[Product Name]],Inventory[Product Name],Inventory[Sale Price]))</f>
        <v/>
      </c>
      <c r="I1034" s="19" t="str">
        <f>IFERROR(G1034*H1034,"")</f>
        <v/>
      </c>
      <c r="J1034" s="19"/>
    </row>
    <row r="1035" spans="1:10" ht="21">
      <c r="A1035" s="14">
        <v>1030</v>
      </c>
      <c r="C1035" s="16"/>
      <c r="D1035" s="14" t="str">
        <f>IF(Sales[[#This Row],[Product ID]]="","",Sales[[#This Row],[Date]]&amp;Sales[[#This Row],[Invoice no]])</f>
        <v/>
      </c>
      <c r="E10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5" s="19" t="str">
        <f>IF(_xlfn.XLOOKUP(Sales[[#This Row],[Product Name]],Inventory[Product Name],Inventory[Sale Price],"")=0,"",_xlfn.XLOOKUP(Sales[[#This Row],[Product Name]],Inventory[Product Name],Inventory[Sale Price]))</f>
        <v/>
      </c>
      <c r="I1035" s="19" t="str">
        <f>IFERROR(G1035*H1035,"")</f>
        <v/>
      </c>
      <c r="J1035" s="19"/>
    </row>
    <row r="1036" spans="1:10" ht="21">
      <c r="A1036" s="14">
        <v>1031</v>
      </c>
      <c r="C1036" s="16"/>
      <c r="D1036" s="14" t="str">
        <f>IF(Sales[[#This Row],[Product ID]]="","",Sales[[#This Row],[Date]]&amp;Sales[[#This Row],[Invoice no]])</f>
        <v/>
      </c>
      <c r="E10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6" s="19" t="str">
        <f>IF(_xlfn.XLOOKUP(Sales[[#This Row],[Product Name]],Inventory[Product Name],Inventory[Sale Price],"")=0,"",_xlfn.XLOOKUP(Sales[[#This Row],[Product Name]],Inventory[Product Name],Inventory[Sale Price]))</f>
        <v/>
      </c>
      <c r="I1036" s="19" t="str">
        <f>IFERROR(G1036*H1036,"")</f>
        <v/>
      </c>
      <c r="J1036" s="19"/>
    </row>
    <row r="1037" spans="1:10" ht="21">
      <c r="A1037" s="14">
        <v>1032</v>
      </c>
      <c r="C1037" s="16"/>
      <c r="D1037" s="14" t="str">
        <f>IF(Sales[[#This Row],[Product ID]]="","",Sales[[#This Row],[Date]]&amp;Sales[[#This Row],[Invoice no]])</f>
        <v/>
      </c>
      <c r="E10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7" s="19" t="str">
        <f>IF(_xlfn.XLOOKUP(Sales[[#This Row],[Product Name]],Inventory[Product Name],Inventory[Sale Price],"")=0,"",_xlfn.XLOOKUP(Sales[[#This Row],[Product Name]],Inventory[Product Name],Inventory[Sale Price]))</f>
        <v/>
      </c>
      <c r="I1037" s="19" t="str">
        <f>IFERROR(G1037*H1037,"")</f>
        <v/>
      </c>
      <c r="J1037" s="19"/>
    </row>
    <row r="1038" spans="1:10" ht="21">
      <c r="A1038" s="14">
        <v>1033</v>
      </c>
      <c r="C1038" s="16"/>
      <c r="D1038" s="14" t="str">
        <f>IF(Sales[[#This Row],[Product ID]]="","",Sales[[#This Row],[Date]]&amp;Sales[[#This Row],[Invoice no]])</f>
        <v/>
      </c>
      <c r="E10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8" s="19" t="str">
        <f>IF(_xlfn.XLOOKUP(Sales[[#This Row],[Product Name]],Inventory[Product Name],Inventory[Sale Price],"")=0,"",_xlfn.XLOOKUP(Sales[[#This Row],[Product Name]],Inventory[Product Name],Inventory[Sale Price]))</f>
        <v/>
      </c>
      <c r="I1038" s="19" t="str">
        <f>IFERROR(G1038*H1038,"")</f>
        <v/>
      </c>
      <c r="J1038" s="19"/>
    </row>
    <row r="1039" spans="1:10" ht="21">
      <c r="A1039" s="14">
        <v>1034</v>
      </c>
      <c r="C1039" s="16"/>
      <c r="D1039" s="14" t="str">
        <f>IF(Sales[[#This Row],[Product ID]]="","",Sales[[#This Row],[Date]]&amp;Sales[[#This Row],[Invoice no]])</f>
        <v/>
      </c>
      <c r="E10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39" s="19" t="str">
        <f>IF(_xlfn.XLOOKUP(Sales[[#This Row],[Product Name]],Inventory[Product Name],Inventory[Sale Price],"")=0,"",_xlfn.XLOOKUP(Sales[[#This Row],[Product Name]],Inventory[Product Name],Inventory[Sale Price]))</f>
        <v/>
      </c>
      <c r="I1039" s="19" t="str">
        <f>IFERROR(G1039*H1039,"")</f>
        <v/>
      </c>
      <c r="J1039" s="19"/>
    </row>
    <row r="1040" spans="1:10" ht="21">
      <c r="A1040" s="14">
        <v>1035</v>
      </c>
      <c r="C1040" s="16"/>
      <c r="D1040" s="14" t="str">
        <f>IF(Sales[[#This Row],[Product ID]]="","",Sales[[#This Row],[Date]]&amp;Sales[[#This Row],[Invoice no]])</f>
        <v/>
      </c>
      <c r="E10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0" s="19" t="str">
        <f>IF(_xlfn.XLOOKUP(Sales[[#This Row],[Product Name]],Inventory[Product Name],Inventory[Sale Price],"")=0,"",_xlfn.XLOOKUP(Sales[[#This Row],[Product Name]],Inventory[Product Name],Inventory[Sale Price]))</f>
        <v/>
      </c>
      <c r="I1040" s="19" t="str">
        <f>IFERROR(G1040*H1040,"")</f>
        <v/>
      </c>
      <c r="J1040" s="19"/>
    </row>
    <row r="1041" spans="1:10" ht="21">
      <c r="A1041" s="14">
        <v>1036</v>
      </c>
      <c r="C1041" s="16"/>
      <c r="D1041" s="14" t="str">
        <f>IF(Sales[[#This Row],[Product ID]]="","",Sales[[#This Row],[Date]]&amp;Sales[[#This Row],[Invoice no]])</f>
        <v/>
      </c>
      <c r="E10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1" s="19" t="str">
        <f>IF(_xlfn.XLOOKUP(Sales[[#This Row],[Product Name]],Inventory[Product Name],Inventory[Sale Price],"")=0,"",_xlfn.XLOOKUP(Sales[[#This Row],[Product Name]],Inventory[Product Name],Inventory[Sale Price]))</f>
        <v/>
      </c>
      <c r="I1041" s="19" t="str">
        <f>IFERROR(G1041*H1041,"")</f>
        <v/>
      </c>
      <c r="J1041" s="19"/>
    </row>
    <row r="1042" spans="1:10" ht="21">
      <c r="A1042" s="14">
        <v>1037</v>
      </c>
      <c r="C1042" s="16"/>
      <c r="D1042" s="14" t="str">
        <f>IF(Sales[[#This Row],[Product ID]]="","",Sales[[#This Row],[Date]]&amp;Sales[[#This Row],[Invoice no]])</f>
        <v/>
      </c>
      <c r="E10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2" s="19" t="str">
        <f>IF(_xlfn.XLOOKUP(Sales[[#This Row],[Product Name]],Inventory[Product Name],Inventory[Sale Price],"")=0,"",_xlfn.XLOOKUP(Sales[[#This Row],[Product Name]],Inventory[Product Name],Inventory[Sale Price]))</f>
        <v/>
      </c>
      <c r="I1042" s="19" t="str">
        <f>IFERROR(G1042*H1042,"")</f>
        <v/>
      </c>
      <c r="J1042" s="19"/>
    </row>
    <row r="1043" spans="1:10" ht="21">
      <c r="A1043" s="14">
        <v>1038</v>
      </c>
      <c r="C1043" s="16"/>
      <c r="D1043" s="14" t="str">
        <f>IF(Sales[[#This Row],[Product ID]]="","",Sales[[#This Row],[Date]]&amp;Sales[[#This Row],[Invoice no]])</f>
        <v/>
      </c>
      <c r="E10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3" s="19" t="str">
        <f>IF(_xlfn.XLOOKUP(Sales[[#This Row],[Product Name]],Inventory[Product Name],Inventory[Sale Price],"")=0,"",_xlfn.XLOOKUP(Sales[[#This Row],[Product Name]],Inventory[Product Name],Inventory[Sale Price]))</f>
        <v/>
      </c>
      <c r="I1043" s="19" t="str">
        <f>IFERROR(G1043*H1043,"")</f>
        <v/>
      </c>
      <c r="J1043" s="19"/>
    </row>
    <row r="1044" spans="1:10" ht="21">
      <c r="A1044" s="14">
        <v>1039</v>
      </c>
      <c r="C1044" s="16"/>
      <c r="D1044" s="14" t="str">
        <f>IF(Sales[[#This Row],[Product ID]]="","",Sales[[#This Row],[Date]]&amp;Sales[[#This Row],[Invoice no]])</f>
        <v/>
      </c>
      <c r="E10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4" s="19" t="str">
        <f>IF(_xlfn.XLOOKUP(Sales[[#This Row],[Product Name]],Inventory[Product Name],Inventory[Sale Price],"")=0,"",_xlfn.XLOOKUP(Sales[[#This Row],[Product Name]],Inventory[Product Name],Inventory[Sale Price]))</f>
        <v/>
      </c>
      <c r="I1044" s="19" t="str">
        <f>IFERROR(G1044*H1044,"")</f>
        <v/>
      </c>
      <c r="J1044" s="19"/>
    </row>
    <row r="1045" spans="1:10" ht="21">
      <c r="A1045" s="14">
        <v>1040</v>
      </c>
      <c r="C1045" s="16"/>
      <c r="D1045" s="14" t="str">
        <f>IF(Sales[[#This Row],[Product ID]]="","",Sales[[#This Row],[Date]]&amp;Sales[[#This Row],[Invoice no]])</f>
        <v/>
      </c>
      <c r="E10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5" s="19" t="str">
        <f>IF(_xlfn.XLOOKUP(Sales[[#This Row],[Product Name]],Inventory[Product Name],Inventory[Sale Price],"")=0,"",_xlfn.XLOOKUP(Sales[[#This Row],[Product Name]],Inventory[Product Name],Inventory[Sale Price]))</f>
        <v/>
      </c>
      <c r="I1045" s="19" t="str">
        <f>IFERROR(G1045*H1045,"")</f>
        <v/>
      </c>
      <c r="J1045" s="19"/>
    </row>
    <row r="1046" spans="1:10" ht="21">
      <c r="A1046" s="14">
        <v>1041</v>
      </c>
      <c r="C1046" s="16"/>
      <c r="D1046" s="14" t="str">
        <f>IF(Sales[[#This Row],[Product ID]]="","",Sales[[#This Row],[Date]]&amp;Sales[[#This Row],[Invoice no]])</f>
        <v/>
      </c>
      <c r="E10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6" s="19" t="str">
        <f>IF(_xlfn.XLOOKUP(Sales[[#This Row],[Product Name]],Inventory[Product Name],Inventory[Sale Price],"")=0,"",_xlfn.XLOOKUP(Sales[[#This Row],[Product Name]],Inventory[Product Name],Inventory[Sale Price]))</f>
        <v/>
      </c>
      <c r="I1046" s="19" t="str">
        <f>IFERROR(G1046*H1046,"")</f>
        <v/>
      </c>
      <c r="J1046" s="19"/>
    </row>
    <row r="1047" spans="1:10" ht="21">
      <c r="A1047" s="14">
        <v>1042</v>
      </c>
      <c r="C1047" s="16"/>
      <c r="D1047" s="14" t="str">
        <f>IF(Sales[[#This Row],[Product ID]]="","",Sales[[#This Row],[Date]]&amp;Sales[[#This Row],[Invoice no]])</f>
        <v/>
      </c>
      <c r="E10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7" s="19" t="str">
        <f>IF(_xlfn.XLOOKUP(Sales[[#This Row],[Product Name]],Inventory[Product Name],Inventory[Sale Price],"")=0,"",_xlfn.XLOOKUP(Sales[[#This Row],[Product Name]],Inventory[Product Name],Inventory[Sale Price]))</f>
        <v/>
      </c>
      <c r="I1047" s="19" t="str">
        <f>IFERROR(G1047*H1047,"")</f>
        <v/>
      </c>
      <c r="J1047" s="19"/>
    </row>
    <row r="1048" spans="1:10" ht="21">
      <c r="A1048" s="14">
        <v>1043</v>
      </c>
      <c r="C1048" s="16"/>
      <c r="D1048" s="14" t="str">
        <f>IF(Sales[[#This Row],[Product ID]]="","",Sales[[#This Row],[Date]]&amp;Sales[[#This Row],[Invoice no]])</f>
        <v/>
      </c>
      <c r="E10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8" s="19" t="str">
        <f>IF(_xlfn.XLOOKUP(Sales[[#This Row],[Product Name]],Inventory[Product Name],Inventory[Sale Price],"")=0,"",_xlfn.XLOOKUP(Sales[[#This Row],[Product Name]],Inventory[Product Name],Inventory[Sale Price]))</f>
        <v/>
      </c>
      <c r="I1048" s="19" t="str">
        <f>IFERROR(G1048*H1048,"")</f>
        <v/>
      </c>
      <c r="J1048" s="19"/>
    </row>
    <row r="1049" spans="1:10" ht="21">
      <c r="A1049" s="14">
        <v>1044</v>
      </c>
      <c r="C1049" s="16"/>
      <c r="D1049" s="14" t="str">
        <f>IF(Sales[[#This Row],[Product ID]]="","",Sales[[#This Row],[Date]]&amp;Sales[[#This Row],[Invoice no]])</f>
        <v/>
      </c>
      <c r="E10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49" s="19" t="str">
        <f>IF(_xlfn.XLOOKUP(Sales[[#This Row],[Product Name]],Inventory[Product Name],Inventory[Sale Price],"")=0,"",_xlfn.XLOOKUP(Sales[[#This Row],[Product Name]],Inventory[Product Name],Inventory[Sale Price]))</f>
        <v/>
      </c>
      <c r="I1049" s="19" t="str">
        <f>IFERROR(G1049*H1049,"")</f>
        <v/>
      </c>
      <c r="J1049" s="19"/>
    </row>
    <row r="1050" spans="1:10" ht="21">
      <c r="A1050" s="14">
        <v>1045</v>
      </c>
      <c r="C1050" s="16"/>
      <c r="D1050" s="14" t="str">
        <f>IF(Sales[[#This Row],[Product ID]]="","",Sales[[#This Row],[Date]]&amp;Sales[[#This Row],[Invoice no]])</f>
        <v/>
      </c>
      <c r="E10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0" s="19" t="str">
        <f>IF(_xlfn.XLOOKUP(Sales[[#This Row],[Product Name]],Inventory[Product Name],Inventory[Sale Price],"")=0,"",_xlfn.XLOOKUP(Sales[[#This Row],[Product Name]],Inventory[Product Name],Inventory[Sale Price]))</f>
        <v/>
      </c>
      <c r="I1050" s="19" t="str">
        <f>IFERROR(G1050*H1050,"")</f>
        <v/>
      </c>
      <c r="J1050" s="19"/>
    </row>
    <row r="1051" spans="1:10" ht="21">
      <c r="A1051" s="14">
        <v>1046</v>
      </c>
      <c r="C1051" s="16"/>
      <c r="D1051" s="14" t="str">
        <f>IF(Sales[[#This Row],[Product ID]]="","",Sales[[#This Row],[Date]]&amp;Sales[[#This Row],[Invoice no]])</f>
        <v/>
      </c>
      <c r="E10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1" s="19" t="str">
        <f>IF(_xlfn.XLOOKUP(Sales[[#This Row],[Product Name]],Inventory[Product Name],Inventory[Sale Price],"")=0,"",_xlfn.XLOOKUP(Sales[[#This Row],[Product Name]],Inventory[Product Name],Inventory[Sale Price]))</f>
        <v/>
      </c>
      <c r="I1051" s="19" t="str">
        <f>IFERROR(G1051*H1051,"")</f>
        <v/>
      </c>
      <c r="J1051" s="19"/>
    </row>
    <row r="1052" spans="1:10" ht="21">
      <c r="A1052" s="14">
        <v>1047</v>
      </c>
      <c r="C1052" s="16"/>
      <c r="D1052" s="14" t="str">
        <f>IF(Sales[[#This Row],[Product ID]]="","",Sales[[#This Row],[Date]]&amp;Sales[[#This Row],[Invoice no]])</f>
        <v/>
      </c>
      <c r="E10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2" s="19" t="str">
        <f>IF(_xlfn.XLOOKUP(Sales[[#This Row],[Product Name]],Inventory[Product Name],Inventory[Sale Price],"")=0,"",_xlfn.XLOOKUP(Sales[[#This Row],[Product Name]],Inventory[Product Name],Inventory[Sale Price]))</f>
        <v/>
      </c>
      <c r="I1052" s="19" t="str">
        <f>IFERROR(G1052*H1052,"")</f>
        <v/>
      </c>
      <c r="J1052" s="19"/>
    </row>
    <row r="1053" spans="1:10" ht="21">
      <c r="A1053" s="14">
        <v>1048</v>
      </c>
      <c r="C1053" s="16"/>
      <c r="D1053" s="14" t="str">
        <f>IF(Sales[[#This Row],[Product ID]]="","",Sales[[#This Row],[Date]]&amp;Sales[[#This Row],[Invoice no]])</f>
        <v/>
      </c>
      <c r="E10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3" s="19" t="str">
        <f>IF(_xlfn.XLOOKUP(Sales[[#This Row],[Product Name]],Inventory[Product Name],Inventory[Sale Price],"")=0,"",_xlfn.XLOOKUP(Sales[[#This Row],[Product Name]],Inventory[Product Name],Inventory[Sale Price]))</f>
        <v/>
      </c>
      <c r="I1053" s="19" t="str">
        <f>IFERROR(G1053*H1053,"")</f>
        <v/>
      </c>
      <c r="J1053" s="19"/>
    </row>
    <row r="1054" spans="1:10" ht="21">
      <c r="A1054" s="14">
        <v>1049</v>
      </c>
      <c r="C1054" s="16"/>
      <c r="D1054" s="14" t="str">
        <f>IF(Sales[[#This Row],[Product ID]]="","",Sales[[#This Row],[Date]]&amp;Sales[[#This Row],[Invoice no]])</f>
        <v/>
      </c>
      <c r="E10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4" s="19" t="str">
        <f>IF(_xlfn.XLOOKUP(Sales[[#This Row],[Product Name]],Inventory[Product Name],Inventory[Sale Price],"")=0,"",_xlfn.XLOOKUP(Sales[[#This Row],[Product Name]],Inventory[Product Name],Inventory[Sale Price]))</f>
        <v/>
      </c>
      <c r="I1054" s="19" t="str">
        <f>IFERROR(G1054*H1054,"")</f>
        <v/>
      </c>
      <c r="J1054" s="19"/>
    </row>
    <row r="1055" spans="1:10" ht="21">
      <c r="A1055" s="14">
        <v>1050</v>
      </c>
      <c r="C1055" s="16"/>
      <c r="D1055" s="14" t="str">
        <f>IF(Sales[[#This Row],[Product ID]]="","",Sales[[#This Row],[Date]]&amp;Sales[[#This Row],[Invoice no]])</f>
        <v/>
      </c>
      <c r="E10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5" s="19" t="str">
        <f>IF(_xlfn.XLOOKUP(Sales[[#This Row],[Product Name]],Inventory[Product Name],Inventory[Sale Price],"")=0,"",_xlfn.XLOOKUP(Sales[[#This Row],[Product Name]],Inventory[Product Name],Inventory[Sale Price]))</f>
        <v/>
      </c>
      <c r="I1055" s="19" t="str">
        <f>IFERROR(G1055*H1055,"")</f>
        <v/>
      </c>
      <c r="J1055" s="19"/>
    </row>
    <row r="1056" spans="1:10" ht="21">
      <c r="A1056" s="14">
        <v>1051</v>
      </c>
      <c r="C1056" s="16"/>
      <c r="D1056" s="14" t="str">
        <f>IF(Sales[[#This Row],[Product ID]]="","",Sales[[#This Row],[Date]]&amp;Sales[[#This Row],[Invoice no]])</f>
        <v/>
      </c>
      <c r="E10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6" s="19" t="str">
        <f>IF(_xlfn.XLOOKUP(Sales[[#This Row],[Product Name]],Inventory[Product Name],Inventory[Sale Price],"")=0,"",_xlfn.XLOOKUP(Sales[[#This Row],[Product Name]],Inventory[Product Name],Inventory[Sale Price]))</f>
        <v/>
      </c>
      <c r="I1056" s="19" t="str">
        <f>IFERROR(G1056*H1056,"")</f>
        <v/>
      </c>
      <c r="J1056" s="19"/>
    </row>
    <row r="1057" spans="1:10" ht="21">
      <c r="A1057" s="14">
        <v>1052</v>
      </c>
      <c r="C1057" s="16"/>
      <c r="D1057" s="14" t="str">
        <f>IF(Sales[[#This Row],[Product ID]]="","",Sales[[#This Row],[Date]]&amp;Sales[[#This Row],[Invoice no]])</f>
        <v/>
      </c>
      <c r="E10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7" s="19" t="str">
        <f>IF(_xlfn.XLOOKUP(Sales[[#This Row],[Product Name]],Inventory[Product Name],Inventory[Sale Price],"")=0,"",_xlfn.XLOOKUP(Sales[[#This Row],[Product Name]],Inventory[Product Name],Inventory[Sale Price]))</f>
        <v/>
      </c>
      <c r="I1057" s="19" t="str">
        <f>IFERROR(G1057*H1057,"")</f>
        <v/>
      </c>
      <c r="J1057" s="19"/>
    </row>
    <row r="1058" spans="1:10" ht="21">
      <c r="A1058" s="14">
        <v>1053</v>
      </c>
      <c r="C1058" s="16"/>
      <c r="D1058" s="14" t="str">
        <f>IF(Sales[[#This Row],[Product ID]]="","",Sales[[#This Row],[Date]]&amp;Sales[[#This Row],[Invoice no]])</f>
        <v/>
      </c>
      <c r="E10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8" s="19" t="str">
        <f>IF(_xlfn.XLOOKUP(Sales[[#This Row],[Product Name]],Inventory[Product Name],Inventory[Sale Price],"")=0,"",_xlfn.XLOOKUP(Sales[[#This Row],[Product Name]],Inventory[Product Name],Inventory[Sale Price]))</f>
        <v/>
      </c>
      <c r="I1058" s="19" t="str">
        <f>IFERROR(G1058*H1058,"")</f>
        <v/>
      </c>
      <c r="J1058" s="19"/>
    </row>
    <row r="1059" spans="1:10" ht="21">
      <c r="A1059" s="14">
        <v>1054</v>
      </c>
      <c r="C1059" s="16"/>
      <c r="D1059" s="14" t="str">
        <f>IF(Sales[[#This Row],[Product ID]]="","",Sales[[#This Row],[Date]]&amp;Sales[[#This Row],[Invoice no]])</f>
        <v/>
      </c>
      <c r="E10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59" s="19" t="str">
        <f>IF(_xlfn.XLOOKUP(Sales[[#This Row],[Product Name]],Inventory[Product Name],Inventory[Sale Price],"")=0,"",_xlfn.XLOOKUP(Sales[[#This Row],[Product Name]],Inventory[Product Name],Inventory[Sale Price]))</f>
        <v/>
      </c>
      <c r="I1059" s="19" t="str">
        <f>IFERROR(G1059*H1059,"")</f>
        <v/>
      </c>
      <c r="J1059" s="19"/>
    </row>
    <row r="1060" spans="1:10" ht="21">
      <c r="A1060" s="14">
        <v>1055</v>
      </c>
      <c r="C1060" s="16"/>
      <c r="D1060" s="14" t="str">
        <f>IF(Sales[[#This Row],[Product ID]]="","",Sales[[#This Row],[Date]]&amp;Sales[[#This Row],[Invoice no]])</f>
        <v/>
      </c>
      <c r="E10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0" s="19" t="str">
        <f>IF(_xlfn.XLOOKUP(Sales[[#This Row],[Product Name]],Inventory[Product Name],Inventory[Sale Price],"")=0,"",_xlfn.XLOOKUP(Sales[[#This Row],[Product Name]],Inventory[Product Name],Inventory[Sale Price]))</f>
        <v/>
      </c>
      <c r="I1060" s="19" t="str">
        <f>IFERROR(G1060*H1060,"")</f>
        <v/>
      </c>
      <c r="J1060" s="19"/>
    </row>
    <row r="1061" spans="1:10" ht="21">
      <c r="A1061" s="14">
        <v>1056</v>
      </c>
      <c r="C1061" s="16"/>
      <c r="D1061" s="14" t="str">
        <f>IF(Sales[[#This Row],[Product ID]]="","",Sales[[#This Row],[Date]]&amp;Sales[[#This Row],[Invoice no]])</f>
        <v/>
      </c>
      <c r="E10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1" s="19" t="str">
        <f>IF(_xlfn.XLOOKUP(Sales[[#This Row],[Product Name]],Inventory[Product Name],Inventory[Sale Price],"")=0,"",_xlfn.XLOOKUP(Sales[[#This Row],[Product Name]],Inventory[Product Name],Inventory[Sale Price]))</f>
        <v/>
      </c>
      <c r="I1061" s="19" t="str">
        <f>IFERROR(G1061*H1061,"")</f>
        <v/>
      </c>
      <c r="J1061" s="19"/>
    </row>
    <row r="1062" spans="1:10" ht="21">
      <c r="A1062" s="14">
        <v>1057</v>
      </c>
      <c r="C1062" s="16"/>
      <c r="D1062" s="14" t="str">
        <f>IF(Sales[[#This Row],[Product ID]]="","",Sales[[#This Row],[Date]]&amp;Sales[[#This Row],[Invoice no]])</f>
        <v/>
      </c>
      <c r="E10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2" s="19" t="str">
        <f>IF(_xlfn.XLOOKUP(Sales[[#This Row],[Product Name]],Inventory[Product Name],Inventory[Sale Price],"")=0,"",_xlfn.XLOOKUP(Sales[[#This Row],[Product Name]],Inventory[Product Name],Inventory[Sale Price]))</f>
        <v/>
      </c>
      <c r="I1062" s="19" t="str">
        <f>IFERROR(G1062*H1062,"")</f>
        <v/>
      </c>
      <c r="J1062" s="19"/>
    </row>
    <row r="1063" spans="1:10" ht="21">
      <c r="A1063" s="14">
        <v>1058</v>
      </c>
      <c r="C1063" s="16"/>
      <c r="D1063" s="14" t="str">
        <f>IF(Sales[[#This Row],[Product ID]]="","",Sales[[#This Row],[Date]]&amp;Sales[[#This Row],[Invoice no]])</f>
        <v/>
      </c>
      <c r="E10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3" s="19" t="str">
        <f>IF(_xlfn.XLOOKUP(Sales[[#This Row],[Product Name]],Inventory[Product Name],Inventory[Sale Price],"")=0,"",_xlfn.XLOOKUP(Sales[[#This Row],[Product Name]],Inventory[Product Name],Inventory[Sale Price]))</f>
        <v/>
      </c>
      <c r="I1063" s="19" t="str">
        <f>IFERROR(G1063*H1063,"")</f>
        <v/>
      </c>
      <c r="J1063" s="19"/>
    </row>
    <row r="1064" spans="1:10" ht="21">
      <c r="A1064" s="14">
        <v>1059</v>
      </c>
      <c r="C1064" s="16"/>
      <c r="D1064" s="14" t="str">
        <f>IF(Sales[[#This Row],[Product ID]]="","",Sales[[#This Row],[Date]]&amp;Sales[[#This Row],[Invoice no]])</f>
        <v/>
      </c>
      <c r="E10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4" s="19" t="str">
        <f>IF(_xlfn.XLOOKUP(Sales[[#This Row],[Product Name]],Inventory[Product Name],Inventory[Sale Price],"")=0,"",_xlfn.XLOOKUP(Sales[[#This Row],[Product Name]],Inventory[Product Name],Inventory[Sale Price]))</f>
        <v/>
      </c>
      <c r="I1064" s="19" t="str">
        <f>IFERROR(G1064*H1064,"")</f>
        <v/>
      </c>
      <c r="J1064" s="19"/>
    </row>
    <row r="1065" spans="1:10" ht="21">
      <c r="A1065" s="14">
        <v>1060</v>
      </c>
      <c r="C1065" s="16"/>
      <c r="D1065" s="14" t="str">
        <f>IF(Sales[[#This Row],[Product ID]]="","",Sales[[#This Row],[Date]]&amp;Sales[[#This Row],[Invoice no]])</f>
        <v/>
      </c>
      <c r="E10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5" s="19" t="str">
        <f>IF(_xlfn.XLOOKUP(Sales[[#This Row],[Product Name]],Inventory[Product Name],Inventory[Sale Price],"")=0,"",_xlfn.XLOOKUP(Sales[[#This Row],[Product Name]],Inventory[Product Name],Inventory[Sale Price]))</f>
        <v/>
      </c>
      <c r="I1065" s="19" t="str">
        <f>IFERROR(G1065*H1065,"")</f>
        <v/>
      </c>
      <c r="J1065" s="19"/>
    </row>
    <row r="1066" spans="1:10" ht="21">
      <c r="A1066" s="14">
        <v>1061</v>
      </c>
      <c r="C1066" s="16"/>
      <c r="D1066" s="14" t="str">
        <f>IF(Sales[[#This Row],[Product ID]]="","",Sales[[#This Row],[Date]]&amp;Sales[[#This Row],[Invoice no]])</f>
        <v/>
      </c>
      <c r="E10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6" s="19" t="str">
        <f>IF(_xlfn.XLOOKUP(Sales[[#This Row],[Product Name]],Inventory[Product Name],Inventory[Sale Price],"")=0,"",_xlfn.XLOOKUP(Sales[[#This Row],[Product Name]],Inventory[Product Name],Inventory[Sale Price]))</f>
        <v/>
      </c>
      <c r="I1066" s="19" t="str">
        <f>IFERROR(G1066*H1066,"")</f>
        <v/>
      </c>
      <c r="J1066" s="19"/>
    </row>
    <row r="1067" spans="1:10" ht="21">
      <c r="A1067" s="14">
        <v>1062</v>
      </c>
      <c r="C1067" s="16"/>
      <c r="D1067" s="14" t="str">
        <f>IF(Sales[[#This Row],[Product ID]]="","",Sales[[#This Row],[Date]]&amp;Sales[[#This Row],[Invoice no]])</f>
        <v/>
      </c>
      <c r="E10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7" s="19" t="str">
        <f>IF(_xlfn.XLOOKUP(Sales[[#This Row],[Product Name]],Inventory[Product Name],Inventory[Sale Price],"")=0,"",_xlfn.XLOOKUP(Sales[[#This Row],[Product Name]],Inventory[Product Name],Inventory[Sale Price]))</f>
        <v/>
      </c>
      <c r="I1067" s="19" t="str">
        <f>IFERROR(G1067*H1067,"")</f>
        <v/>
      </c>
      <c r="J1067" s="19"/>
    </row>
    <row r="1068" spans="1:10" ht="21">
      <c r="A1068" s="14">
        <v>1063</v>
      </c>
      <c r="C1068" s="16"/>
      <c r="D1068" s="14" t="str">
        <f>IF(Sales[[#This Row],[Product ID]]="","",Sales[[#This Row],[Date]]&amp;Sales[[#This Row],[Invoice no]])</f>
        <v/>
      </c>
      <c r="E10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8" s="19" t="str">
        <f>IF(_xlfn.XLOOKUP(Sales[[#This Row],[Product Name]],Inventory[Product Name],Inventory[Sale Price],"")=0,"",_xlfn.XLOOKUP(Sales[[#This Row],[Product Name]],Inventory[Product Name],Inventory[Sale Price]))</f>
        <v/>
      </c>
      <c r="I1068" s="19" t="str">
        <f>IFERROR(G1068*H1068,"")</f>
        <v/>
      </c>
      <c r="J1068" s="19"/>
    </row>
    <row r="1069" spans="1:10" ht="21">
      <c r="A1069" s="14">
        <v>1064</v>
      </c>
      <c r="C1069" s="16"/>
      <c r="D1069" s="14" t="str">
        <f>IF(Sales[[#This Row],[Product ID]]="","",Sales[[#This Row],[Date]]&amp;Sales[[#This Row],[Invoice no]])</f>
        <v/>
      </c>
      <c r="E10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69" s="19" t="str">
        <f>IF(_xlfn.XLOOKUP(Sales[[#This Row],[Product Name]],Inventory[Product Name],Inventory[Sale Price],"")=0,"",_xlfn.XLOOKUP(Sales[[#This Row],[Product Name]],Inventory[Product Name],Inventory[Sale Price]))</f>
        <v/>
      </c>
      <c r="I1069" s="19" t="str">
        <f>IFERROR(G1069*H1069,"")</f>
        <v/>
      </c>
      <c r="J1069" s="19"/>
    </row>
    <row r="1070" spans="1:10" ht="21">
      <c r="A1070" s="14">
        <v>1065</v>
      </c>
      <c r="C1070" s="16"/>
      <c r="D1070" s="14" t="str">
        <f>IF(Sales[[#This Row],[Product ID]]="","",Sales[[#This Row],[Date]]&amp;Sales[[#This Row],[Invoice no]])</f>
        <v/>
      </c>
      <c r="E10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0" s="19" t="str">
        <f>IF(_xlfn.XLOOKUP(Sales[[#This Row],[Product Name]],Inventory[Product Name],Inventory[Sale Price],"")=0,"",_xlfn.XLOOKUP(Sales[[#This Row],[Product Name]],Inventory[Product Name],Inventory[Sale Price]))</f>
        <v/>
      </c>
      <c r="I1070" s="19" t="str">
        <f>IFERROR(G1070*H1070,"")</f>
        <v/>
      </c>
      <c r="J1070" s="19"/>
    </row>
    <row r="1071" spans="1:10" ht="21">
      <c r="A1071" s="14">
        <v>1066</v>
      </c>
      <c r="C1071" s="16"/>
      <c r="D1071" s="14" t="str">
        <f>IF(Sales[[#This Row],[Product ID]]="","",Sales[[#This Row],[Date]]&amp;Sales[[#This Row],[Invoice no]])</f>
        <v/>
      </c>
      <c r="E10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1" s="19" t="str">
        <f>IF(_xlfn.XLOOKUP(Sales[[#This Row],[Product Name]],Inventory[Product Name],Inventory[Sale Price],"")=0,"",_xlfn.XLOOKUP(Sales[[#This Row],[Product Name]],Inventory[Product Name],Inventory[Sale Price]))</f>
        <v/>
      </c>
      <c r="I1071" s="19" t="str">
        <f>IFERROR(G1071*H1071,"")</f>
        <v/>
      </c>
      <c r="J1071" s="19"/>
    </row>
    <row r="1072" spans="1:10" ht="21">
      <c r="A1072" s="14">
        <v>1067</v>
      </c>
      <c r="C1072" s="16"/>
      <c r="D1072" s="14" t="str">
        <f>IF(Sales[[#This Row],[Product ID]]="","",Sales[[#This Row],[Date]]&amp;Sales[[#This Row],[Invoice no]])</f>
        <v/>
      </c>
      <c r="E10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2" s="19" t="str">
        <f>IF(_xlfn.XLOOKUP(Sales[[#This Row],[Product Name]],Inventory[Product Name],Inventory[Sale Price],"")=0,"",_xlfn.XLOOKUP(Sales[[#This Row],[Product Name]],Inventory[Product Name],Inventory[Sale Price]))</f>
        <v/>
      </c>
      <c r="I1072" s="19" t="str">
        <f>IFERROR(G1072*H1072,"")</f>
        <v/>
      </c>
      <c r="J1072" s="19"/>
    </row>
    <row r="1073" spans="1:10" ht="21">
      <c r="A1073" s="14">
        <v>1068</v>
      </c>
      <c r="C1073" s="16"/>
      <c r="D1073" s="14" t="str">
        <f>IF(Sales[[#This Row],[Product ID]]="","",Sales[[#This Row],[Date]]&amp;Sales[[#This Row],[Invoice no]])</f>
        <v/>
      </c>
      <c r="E10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3" s="19" t="str">
        <f>IF(_xlfn.XLOOKUP(Sales[[#This Row],[Product Name]],Inventory[Product Name],Inventory[Sale Price],"")=0,"",_xlfn.XLOOKUP(Sales[[#This Row],[Product Name]],Inventory[Product Name],Inventory[Sale Price]))</f>
        <v/>
      </c>
      <c r="I1073" s="19" t="str">
        <f>IFERROR(G1073*H1073,"")</f>
        <v/>
      </c>
      <c r="J1073" s="19"/>
    </row>
    <row r="1074" spans="1:10" ht="21">
      <c r="A1074" s="14">
        <v>1069</v>
      </c>
      <c r="C1074" s="16"/>
      <c r="D1074" s="14" t="str">
        <f>IF(Sales[[#This Row],[Product ID]]="","",Sales[[#This Row],[Date]]&amp;Sales[[#This Row],[Invoice no]])</f>
        <v/>
      </c>
      <c r="E10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4" s="19" t="str">
        <f>IF(_xlfn.XLOOKUP(Sales[[#This Row],[Product Name]],Inventory[Product Name],Inventory[Sale Price],"")=0,"",_xlfn.XLOOKUP(Sales[[#This Row],[Product Name]],Inventory[Product Name],Inventory[Sale Price]))</f>
        <v/>
      </c>
      <c r="I1074" s="19" t="str">
        <f>IFERROR(G1074*H1074,"")</f>
        <v/>
      </c>
      <c r="J1074" s="19"/>
    </row>
    <row r="1075" spans="1:10" ht="21">
      <c r="A1075" s="14">
        <v>1070</v>
      </c>
      <c r="C1075" s="16"/>
      <c r="D1075" s="14" t="str">
        <f>IF(Sales[[#This Row],[Product ID]]="","",Sales[[#This Row],[Date]]&amp;Sales[[#This Row],[Invoice no]])</f>
        <v/>
      </c>
      <c r="E10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5" s="19" t="str">
        <f>IF(_xlfn.XLOOKUP(Sales[[#This Row],[Product Name]],Inventory[Product Name],Inventory[Sale Price],"")=0,"",_xlfn.XLOOKUP(Sales[[#This Row],[Product Name]],Inventory[Product Name],Inventory[Sale Price]))</f>
        <v/>
      </c>
      <c r="I1075" s="19" t="str">
        <f>IFERROR(G1075*H1075,"")</f>
        <v/>
      </c>
      <c r="J1075" s="19"/>
    </row>
    <row r="1076" spans="1:10" ht="21">
      <c r="A1076" s="14">
        <v>1071</v>
      </c>
      <c r="C1076" s="16"/>
      <c r="D1076" s="14" t="str">
        <f>IF(Sales[[#This Row],[Product ID]]="","",Sales[[#This Row],[Date]]&amp;Sales[[#This Row],[Invoice no]])</f>
        <v/>
      </c>
      <c r="E10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6" s="19" t="str">
        <f>IF(_xlfn.XLOOKUP(Sales[[#This Row],[Product Name]],Inventory[Product Name],Inventory[Sale Price],"")=0,"",_xlfn.XLOOKUP(Sales[[#This Row],[Product Name]],Inventory[Product Name],Inventory[Sale Price]))</f>
        <v/>
      </c>
      <c r="I1076" s="19" t="str">
        <f>IFERROR(G1076*H1076,"")</f>
        <v/>
      </c>
      <c r="J1076" s="19"/>
    </row>
    <row r="1077" spans="1:10" ht="21">
      <c r="A1077" s="14">
        <v>1072</v>
      </c>
      <c r="C1077" s="16"/>
      <c r="D1077" s="14" t="str">
        <f>IF(Sales[[#This Row],[Product ID]]="","",Sales[[#This Row],[Date]]&amp;Sales[[#This Row],[Invoice no]])</f>
        <v/>
      </c>
      <c r="E10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7" s="19" t="str">
        <f>IF(_xlfn.XLOOKUP(Sales[[#This Row],[Product Name]],Inventory[Product Name],Inventory[Sale Price],"")=0,"",_xlfn.XLOOKUP(Sales[[#This Row],[Product Name]],Inventory[Product Name],Inventory[Sale Price]))</f>
        <v/>
      </c>
      <c r="I1077" s="19" t="str">
        <f>IFERROR(G1077*H1077,"")</f>
        <v/>
      </c>
      <c r="J1077" s="19"/>
    </row>
    <row r="1078" spans="1:10" ht="21">
      <c r="A1078" s="14">
        <v>1073</v>
      </c>
      <c r="C1078" s="16"/>
      <c r="D1078" s="14" t="str">
        <f>IF(Sales[[#This Row],[Product ID]]="","",Sales[[#This Row],[Date]]&amp;Sales[[#This Row],[Invoice no]])</f>
        <v/>
      </c>
      <c r="E10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8" s="19" t="str">
        <f>IF(_xlfn.XLOOKUP(Sales[[#This Row],[Product Name]],Inventory[Product Name],Inventory[Sale Price],"")=0,"",_xlfn.XLOOKUP(Sales[[#This Row],[Product Name]],Inventory[Product Name],Inventory[Sale Price]))</f>
        <v/>
      </c>
      <c r="I1078" s="19" t="str">
        <f>IFERROR(G1078*H1078,"")</f>
        <v/>
      </c>
      <c r="J1078" s="19"/>
    </row>
    <row r="1079" spans="1:10" ht="21">
      <c r="A1079" s="14">
        <v>1074</v>
      </c>
      <c r="C1079" s="16"/>
      <c r="D1079" s="14" t="str">
        <f>IF(Sales[[#This Row],[Product ID]]="","",Sales[[#This Row],[Date]]&amp;Sales[[#This Row],[Invoice no]])</f>
        <v/>
      </c>
      <c r="E10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79" s="19" t="str">
        <f>IF(_xlfn.XLOOKUP(Sales[[#This Row],[Product Name]],Inventory[Product Name],Inventory[Sale Price],"")=0,"",_xlfn.XLOOKUP(Sales[[#This Row],[Product Name]],Inventory[Product Name],Inventory[Sale Price]))</f>
        <v/>
      </c>
      <c r="I1079" s="19" t="str">
        <f>IFERROR(G1079*H1079,"")</f>
        <v/>
      </c>
      <c r="J1079" s="19"/>
    </row>
    <row r="1080" spans="1:10" ht="21">
      <c r="A1080" s="14">
        <v>1075</v>
      </c>
      <c r="C1080" s="16"/>
      <c r="D1080" s="14" t="str">
        <f>IF(Sales[[#This Row],[Product ID]]="","",Sales[[#This Row],[Date]]&amp;Sales[[#This Row],[Invoice no]])</f>
        <v/>
      </c>
      <c r="E10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0" s="19" t="str">
        <f>IF(_xlfn.XLOOKUP(Sales[[#This Row],[Product Name]],Inventory[Product Name],Inventory[Sale Price],"")=0,"",_xlfn.XLOOKUP(Sales[[#This Row],[Product Name]],Inventory[Product Name],Inventory[Sale Price]))</f>
        <v/>
      </c>
      <c r="I1080" s="19" t="str">
        <f>IFERROR(G1080*H1080,"")</f>
        <v/>
      </c>
      <c r="J1080" s="19"/>
    </row>
    <row r="1081" spans="1:10" ht="21">
      <c r="A1081" s="14">
        <v>1076</v>
      </c>
      <c r="C1081" s="16"/>
      <c r="D1081" s="14" t="str">
        <f>IF(Sales[[#This Row],[Product ID]]="","",Sales[[#This Row],[Date]]&amp;Sales[[#This Row],[Invoice no]])</f>
        <v/>
      </c>
      <c r="E10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1" s="19" t="str">
        <f>IF(_xlfn.XLOOKUP(Sales[[#This Row],[Product Name]],Inventory[Product Name],Inventory[Sale Price],"")=0,"",_xlfn.XLOOKUP(Sales[[#This Row],[Product Name]],Inventory[Product Name],Inventory[Sale Price]))</f>
        <v/>
      </c>
      <c r="I1081" s="19" t="str">
        <f>IFERROR(G1081*H1081,"")</f>
        <v/>
      </c>
      <c r="J1081" s="19"/>
    </row>
    <row r="1082" spans="1:10" ht="21">
      <c r="A1082" s="14">
        <v>1077</v>
      </c>
      <c r="C1082" s="16"/>
      <c r="D1082" s="14" t="str">
        <f>IF(Sales[[#This Row],[Product ID]]="","",Sales[[#This Row],[Date]]&amp;Sales[[#This Row],[Invoice no]])</f>
        <v/>
      </c>
      <c r="E10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2" s="19" t="str">
        <f>IF(_xlfn.XLOOKUP(Sales[[#This Row],[Product Name]],Inventory[Product Name],Inventory[Sale Price],"")=0,"",_xlfn.XLOOKUP(Sales[[#This Row],[Product Name]],Inventory[Product Name],Inventory[Sale Price]))</f>
        <v/>
      </c>
      <c r="I1082" s="19" t="str">
        <f>IFERROR(G1082*H1082,"")</f>
        <v/>
      </c>
      <c r="J1082" s="19"/>
    </row>
    <row r="1083" spans="1:10" ht="21">
      <c r="A1083" s="14">
        <v>1078</v>
      </c>
      <c r="C1083" s="16"/>
      <c r="D1083" s="14" t="str">
        <f>IF(Sales[[#This Row],[Product ID]]="","",Sales[[#This Row],[Date]]&amp;Sales[[#This Row],[Invoice no]])</f>
        <v/>
      </c>
      <c r="E10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3" s="19" t="str">
        <f>IF(_xlfn.XLOOKUP(Sales[[#This Row],[Product Name]],Inventory[Product Name],Inventory[Sale Price],"")=0,"",_xlfn.XLOOKUP(Sales[[#This Row],[Product Name]],Inventory[Product Name],Inventory[Sale Price]))</f>
        <v/>
      </c>
      <c r="I1083" s="19" t="str">
        <f>IFERROR(G1083*H1083,"")</f>
        <v/>
      </c>
      <c r="J1083" s="19"/>
    </row>
    <row r="1084" spans="1:10" ht="21">
      <c r="A1084" s="14">
        <v>1079</v>
      </c>
      <c r="C1084" s="16"/>
      <c r="D1084" s="14" t="str">
        <f>IF(Sales[[#This Row],[Product ID]]="","",Sales[[#This Row],[Date]]&amp;Sales[[#This Row],[Invoice no]])</f>
        <v/>
      </c>
      <c r="E10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4" s="19" t="str">
        <f>IF(_xlfn.XLOOKUP(Sales[[#This Row],[Product Name]],Inventory[Product Name],Inventory[Sale Price],"")=0,"",_xlfn.XLOOKUP(Sales[[#This Row],[Product Name]],Inventory[Product Name],Inventory[Sale Price]))</f>
        <v/>
      </c>
      <c r="I1084" s="19" t="str">
        <f>IFERROR(G1084*H1084,"")</f>
        <v/>
      </c>
      <c r="J1084" s="19"/>
    </row>
    <row r="1085" spans="1:10" ht="21">
      <c r="A1085" s="14">
        <v>1080</v>
      </c>
      <c r="C1085" s="16"/>
      <c r="D1085" s="14" t="str">
        <f>IF(Sales[[#This Row],[Product ID]]="","",Sales[[#This Row],[Date]]&amp;Sales[[#This Row],[Invoice no]])</f>
        <v/>
      </c>
      <c r="E10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5" s="19" t="str">
        <f>IF(_xlfn.XLOOKUP(Sales[[#This Row],[Product Name]],Inventory[Product Name],Inventory[Sale Price],"")=0,"",_xlfn.XLOOKUP(Sales[[#This Row],[Product Name]],Inventory[Product Name],Inventory[Sale Price]))</f>
        <v/>
      </c>
      <c r="I1085" s="19" t="str">
        <f>IFERROR(G1085*H1085,"")</f>
        <v/>
      </c>
      <c r="J1085" s="19"/>
    </row>
    <row r="1086" spans="1:10" ht="21">
      <c r="A1086" s="14">
        <v>1081</v>
      </c>
      <c r="C1086" s="16"/>
      <c r="D1086" s="14" t="str">
        <f>IF(Sales[[#This Row],[Product ID]]="","",Sales[[#This Row],[Date]]&amp;Sales[[#This Row],[Invoice no]])</f>
        <v/>
      </c>
      <c r="E10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6" s="19" t="str">
        <f>IF(_xlfn.XLOOKUP(Sales[[#This Row],[Product Name]],Inventory[Product Name],Inventory[Sale Price],"")=0,"",_xlfn.XLOOKUP(Sales[[#This Row],[Product Name]],Inventory[Product Name],Inventory[Sale Price]))</f>
        <v/>
      </c>
      <c r="I1086" s="19" t="str">
        <f>IFERROR(G1086*H1086,"")</f>
        <v/>
      </c>
      <c r="J1086" s="19"/>
    </row>
    <row r="1087" spans="1:10" ht="21">
      <c r="A1087" s="14">
        <v>1082</v>
      </c>
      <c r="C1087" s="16"/>
      <c r="D1087" s="14" t="str">
        <f>IF(Sales[[#This Row],[Product ID]]="","",Sales[[#This Row],[Date]]&amp;Sales[[#This Row],[Invoice no]])</f>
        <v/>
      </c>
      <c r="E10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7" s="19" t="str">
        <f>IF(_xlfn.XLOOKUP(Sales[[#This Row],[Product Name]],Inventory[Product Name],Inventory[Sale Price],"")=0,"",_xlfn.XLOOKUP(Sales[[#This Row],[Product Name]],Inventory[Product Name],Inventory[Sale Price]))</f>
        <v/>
      </c>
      <c r="I1087" s="19" t="str">
        <f>IFERROR(G1087*H1087,"")</f>
        <v/>
      </c>
      <c r="J1087" s="19"/>
    </row>
    <row r="1088" spans="1:10" ht="21">
      <c r="A1088" s="14">
        <v>1083</v>
      </c>
      <c r="C1088" s="16"/>
      <c r="D1088" s="14" t="str">
        <f>IF(Sales[[#This Row],[Product ID]]="","",Sales[[#This Row],[Date]]&amp;Sales[[#This Row],[Invoice no]])</f>
        <v/>
      </c>
      <c r="E10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8" s="19" t="str">
        <f>IF(_xlfn.XLOOKUP(Sales[[#This Row],[Product Name]],Inventory[Product Name],Inventory[Sale Price],"")=0,"",_xlfn.XLOOKUP(Sales[[#This Row],[Product Name]],Inventory[Product Name],Inventory[Sale Price]))</f>
        <v/>
      </c>
      <c r="I1088" s="19" t="str">
        <f>IFERROR(G1088*H1088,"")</f>
        <v/>
      </c>
      <c r="J1088" s="19"/>
    </row>
    <row r="1089" spans="1:10" ht="21">
      <c r="A1089" s="14">
        <v>1084</v>
      </c>
      <c r="C1089" s="16"/>
      <c r="D1089" s="14" t="str">
        <f>IF(Sales[[#This Row],[Product ID]]="","",Sales[[#This Row],[Date]]&amp;Sales[[#This Row],[Invoice no]])</f>
        <v/>
      </c>
      <c r="E10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89" s="19" t="str">
        <f>IF(_xlfn.XLOOKUP(Sales[[#This Row],[Product Name]],Inventory[Product Name],Inventory[Sale Price],"")=0,"",_xlfn.XLOOKUP(Sales[[#This Row],[Product Name]],Inventory[Product Name],Inventory[Sale Price]))</f>
        <v/>
      </c>
      <c r="I1089" s="19" t="str">
        <f>IFERROR(G1089*H1089,"")</f>
        <v/>
      </c>
      <c r="J1089" s="19"/>
    </row>
    <row r="1090" spans="1:10" ht="21">
      <c r="A1090" s="14">
        <v>1085</v>
      </c>
      <c r="C1090" s="16"/>
      <c r="D1090" s="14" t="str">
        <f>IF(Sales[[#This Row],[Product ID]]="","",Sales[[#This Row],[Date]]&amp;Sales[[#This Row],[Invoice no]])</f>
        <v/>
      </c>
      <c r="E10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0" s="19" t="str">
        <f>IF(_xlfn.XLOOKUP(Sales[[#This Row],[Product Name]],Inventory[Product Name],Inventory[Sale Price],"")=0,"",_xlfn.XLOOKUP(Sales[[#This Row],[Product Name]],Inventory[Product Name],Inventory[Sale Price]))</f>
        <v/>
      </c>
      <c r="I1090" s="19" t="str">
        <f>IFERROR(G1090*H1090,"")</f>
        <v/>
      </c>
      <c r="J1090" s="19"/>
    </row>
    <row r="1091" spans="1:10" ht="21">
      <c r="A1091" s="14">
        <v>1086</v>
      </c>
      <c r="C1091" s="16"/>
      <c r="D1091" s="14" t="str">
        <f>IF(Sales[[#This Row],[Product ID]]="","",Sales[[#This Row],[Date]]&amp;Sales[[#This Row],[Invoice no]])</f>
        <v/>
      </c>
      <c r="E10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1" s="19" t="str">
        <f>IF(_xlfn.XLOOKUP(Sales[[#This Row],[Product Name]],Inventory[Product Name],Inventory[Sale Price],"")=0,"",_xlfn.XLOOKUP(Sales[[#This Row],[Product Name]],Inventory[Product Name],Inventory[Sale Price]))</f>
        <v/>
      </c>
      <c r="I1091" s="19" t="str">
        <f>IFERROR(G1091*H1091,"")</f>
        <v/>
      </c>
      <c r="J1091" s="19"/>
    </row>
    <row r="1092" spans="1:10" ht="21">
      <c r="A1092" s="14">
        <v>1087</v>
      </c>
      <c r="C1092" s="16"/>
      <c r="D1092" s="14" t="str">
        <f>IF(Sales[[#This Row],[Product ID]]="","",Sales[[#This Row],[Date]]&amp;Sales[[#This Row],[Invoice no]])</f>
        <v/>
      </c>
      <c r="E10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2" s="19" t="str">
        <f>IF(_xlfn.XLOOKUP(Sales[[#This Row],[Product Name]],Inventory[Product Name],Inventory[Sale Price],"")=0,"",_xlfn.XLOOKUP(Sales[[#This Row],[Product Name]],Inventory[Product Name],Inventory[Sale Price]))</f>
        <v/>
      </c>
      <c r="I1092" s="19" t="str">
        <f>IFERROR(G1092*H1092,"")</f>
        <v/>
      </c>
      <c r="J1092" s="19"/>
    </row>
    <row r="1093" spans="1:10" ht="21">
      <c r="A1093" s="14">
        <v>1088</v>
      </c>
      <c r="C1093" s="16"/>
      <c r="D1093" s="14" t="str">
        <f>IF(Sales[[#This Row],[Product ID]]="","",Sales[[#This Row],[Date]]&amp;Sales[[#This Row],[Invoice no]])</f>
        <v/>
      </c>
      <c r="E10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3" s="19" t="str">
        <f>IF(_xlfn.XLOOKUP(Sales[[#This Row],[Product Name]],Inventory[Product Name],Inventory[Sale Price],"")=0,"",_xlfn.XLOOKUP(Sales[[#This Row],[Product Name]],Inventory[Product Name],Inventory[Sale Price]))</f>
        <v/>
      </c>
      <c r="I1093" s="19" t="str">
        <f>IFERROR(G1093*H1093,"")</f>
        <v/>
      </c>
      <c r="J1093" s="19"/>
    </row>
    <row r="1094" spans="1:10" ht="21">
      <c r="A1094" s="14">
        <v>1089</v>
      </c>
      <c r="C1094" s="16"/>
      <c r="D1094" s="14" t="str">
        <f>IF(Sales[[#This Row],[Product ID]]="","",Sales[[#This Row],[Date]]&amp;Sales[[#This Row],[Invoice no]])</f>
        <v/>
      </c>
      <c r="E10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4" s="19" t="str">
        <f>IF(_xlfn.XLOOKUP(Sales[[#This Row],[Product Name]],Inventory[Product Name],Inventory[Sale Price],"")=0,"",_xlfn.XLOOKUP(Sales[[#This Row],[Product Name]],Inventory[Product Name],Inventory[Sale Price]))</f>
        <v/>
      </c>
      <c r="I1094" s="19" t="str">
        <f>IFERROR(G1094*H1094,"")</f>
        <v/>
      </c>
      <c r="J1094" s="19"/>
    </row>
    <row r="1095" spans="1:10" ht="21">
      <c r="A1095" s="14">
        <v>1090</v>
      </c>
      <c r="C1095" s="16"/>
      <c r="D1095" s="14" t="str">
        <f>IF(Sales[[#This Row],[Product ID]]="","",Sales[[#This Row],[Date]]&amp;Sales[[#This Row],[Invoice no]])</f>
        <v/>
      </c>
      <c r="E10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5" s="19" t="str">
        <f>IF(_xlfn.XLOOKUP(Sales[[#This Row],[Product Name]],Inventory[Product Name],Inventory[Sale Price],"")=0,"",_xlfn.XLOOKUP(Sales[[#This Row],[Product Name]],Inventory[Product Name],Inventory[Sale Price]))</f>
        <v/>
      </c>
      <c r="I1095" s="19" t="str">
        <f>IFERROR(G1095*H1095,"")</f>
        <v/>
      </c>
      <c r="J1095" s="19"/>
    </row>
    <row r="1096" spans="1:10" ht="21">
      <c r="A1096" s="14">
        <v>1091</v>
      </c>
      <c r="C1096" s="16"/>
      <c r="D1096" s="14" t="str">
        <f>IF(Sales[[#This Row],[Product ID]]="","",Sales[[#This Row],[Date]]&amp;Sales[[#This Row],[Invoice no]])</f>
        <v/>
      </c>
      <c r="E10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6" s="19" t="str">
        <f>IF(_xlfn.XLOOKUP(Sales[[#This Row],[Product Name]],Inventory[Product Name],Inventory[Sale Price],"")=0,"",_xlfn.XLOOKUP(Sales[[#This Row],[Product Name]],Inventory[Product Name],Inventory[Sale Price]))</f>
        <v/>
      </c>
      <c r="I1096" s="19" t="str">
        <f>IFERROR(G1096*H1096,"")</f>
        <v/>
      </c>
      <c r="J1096" s="19"/>
    </row>
    <row r="1097" spans="1:10" ht="21">
      <c r="A1097" s="14">
        <v>1092</v>
      </c>
      <c r="C1097" s="16"/>
      <c r="D1097" s="14" t="str">
        <f>IF(Sales[[#This Row],[Product ID]]="","",Sales[[#This Row],[Date]]&amp;Sales[[#This Row],[Invoice no]])</f>
        <v/>
      </c>
      <c r="E10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7" s="19" t="str">
        <f>IF(_xlfn.XLOOKUP(Sales[[#This Row],[Product Name]],Inventory[Product Name],Inventory[Sale Price],"")=0,"",_xlfn.XLOOKUP(Sales[[#This Row],[Product Name]],Inventory[Product Name],Inventory[Sale Price]))</f>
        <v/>
      </c>
      <c r="I1097" s="19" t="str">
        <f>IFERROR(G1097*H1097,"")</f>
        <v/>
      </c>
      <c r="J1097" s="19"/>
    </row>
    <row r="1098" spans="1:10" ht="21">
      <c r="A1098" s="14">
        <v>1093</v>
      </c>
      <c r="C1098" s="16"/>
      <c r="D1098" s="14" t="str">
        <f>IF(Sales[[#This Row],[Product ID]]="","",Sales[[#This Row],[Date]]&amp;Sales[[#This Row],[Invoice no]])</f>
        <v/>
      </c>
      <c r="E10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8" s="19" t="str">
        <f>IF(_xlfn.XLOOKUP(Sales[[#This Row],[Product Name]],Inventory[Product Name],Inventory[Sale Price],"")=0,"",_xlfn.XLOOKUP(Sales[[#This Row],[Product Name]],Inventory[Product Name],Inventory[Sale Price]))</f>
        <v/>
      </c>
      <c r="I1098" s="19" t="str">
        <f>IFERROR(G1098*H1098,"")</f>
        <v/>
      </c>
      <c r="J1098" s="19"/>
    </row>
    <row r="1099" spans="1:10" ht="21">
      <c r="A1099" s="14">
        <v>1094</v>
      </c>
      <c r="C1099" s="16"/>
      <c r="D1099" s="14" t="str">
        <f>IF(Sales[[#This Row],[Product ID]]="","",Sales[[#This Row],[Date]]&amp;Sales[[#This Row],[Invoice no]])</f>
        <v/>
      </c>
      <c r="E10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099" s="19" t="str">
        <f>IF(_xlfn.XLOOKUP(Sales[[#This Row],[Product Name]],Inventory[Product Name],Inventory[Sale Price],"")=0,"",_xlfn.XLOOKUP(Sales[[#This Row],[Product Name]],Inventory[Product Name],Inventory[Sale Price]))</f>
        <v/>
      </c>
      <c r="I1099" s="19" t="str">
        <f>IFERROR(G1099*H1099,"")</f>
        <v/>
      </c>
      <c r="J1099" s="19"/>
    </row>
    <row r="1100" spans="1:10" ht="21">
      <c r="A1100" s="14">
        <v>1095</v>
      </c>
      <c r="C1100" s="16"/>
      <c r="D1100" s="14" t="str">
        <f>IF(Sales[[#This Row],[Product ID]]="","",Sales[[#This Row],[Date]]&amp;Sales[[#This Row],[Invoice no]])</f>
        <v/>
      </c>
      <c r="E11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0" s="19" t="str">
        <f>IF(_xlfn.XLOOKUP(Sales[[#This Row],[Product Name]],Inventory[Product Name],Inventory[Sale Price],"")=0,"",_xlfn.XLOOKUP(Sales[[#This Row],[Product Name]],Inventory[Product Name],Inventory[Sale Price]))</f>
        <v/>
      </c>
      <c r="I1100" s="19" t="str">
        <f>IFERROR(G1100*H1100,"")</f>
        <v/>
      </c>
      <c r="J1100" s="19"/>
    </row>
    <row r="1101" spans="1:10" ht="21">
      <c r="A1101" s="14">
        <v>1096</v>
      </c>
      <c r="C1101" s="16"/>
      <c r="D1101" s="14" t="str">
        <f>IF(Sales[[#This Row],[Product ID]]="","",Sales[[#This Row],[Date]]&amp;Sales[[#This Row],[Invoice no]])</f>
        <v/>
      </c>
      <c r="E11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1" s="19" t="str">
        <f>IF(_xlfn.XLOOKUP(Sales[[#This Row],[Product Name]],Inventory[Product Name],Inventory[Sale Price],"")=0,"",_xlfn.XLOOKUP(Sales[[#This Row],[Product Name]],Inventory[Product Name],Inventory[Sale Price]))</f>
        <v/>
      </c>
      <c r="I1101" s="19" t="str">
        <f>IFERROR(G1101*H1101,"")</f>
        <v/>
      </c>
      <c r="J1101" s="19"/>
    </row>
    <row r="1102" spans="1:10" ht="21">
      <c r="A1102" s="14">
        <v>1097</v>
      </c>
      <c r="C1102" s="16"/>
      <c r="D1102" s="14" t="str">
        <f>IF(Sales[[#This Row],[Product ID]]="","",Sales[[#This Row],[Date]]&amp;Sales[[#This Row],[Invoice no]])</f>
        <v/>
      </c>
      <c r="E11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2" s="19" t="str">
        <f>IF(_xlfn.XLOOKUP(Sales[[#This Row],[Product Name]],Inventory[Product Name],Inventory[Sale Price],"")=0,"",_xlfn.XLOOKUP(Sales[[#This Row],[Product Name]],Inventory[Product Name],Inventory[Sale Price]))</f>
        <v/>
      </c>
      <c r="I1102" s="19" t="str">
        <f>IFERROR(G1102*H1102,"")</f>
        <v/>
      </c>
      <c r="J1102" s="19"/>
    </row>
    <row r="1103" spans="1:10" ht="21">
      <c r="A1103" s="14">
        <v>1098</v>
      </c>
      <c r="C1103" s="16"/>
      <c r="D1103" s="14" t="str">
        <f>IF(Sales[[#This Row],[Product ID]]="","",Sales[[#This Row],[Date]]&amp;Sales[[#This Row],[Invoice no]])</f>
        <v/>
      </c>
      <c r="E11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3" s="19" t="str">
        <f>IF(_xlfn.XLOOKUP(Sales[[#This Row],[Product Name]],Inventory[Product Name],Inventory[Sale Price],"")=0,"",_xlfn.XLOOKUP(Sales[[#This Row],[Product Name]],Inventory[Product Name],Inventory[Sale Price]))</f>
        <v/>
      </c>
      <c r="I1103" s="19" t="str">
        <f>IFERROR(G1103*H1103,"")</f>
        <v/>
      </c>
      <c r="J1103" s="19"/>
    </row>
    <row r="1104" spans="1:10" ht="21">
      <c r="A1104" s="14">
        <v>1099</v>
      </c>
      <c r="C1104" s="16"/>
      <c r="D1104" s="14" t="str">
        <f>IF(Sales[[#This Row],[Product ID]]="","",Sales[[#This Row],[Date]]&amp;Sales[[#This Row],[Invoice no]])</f>
        <v/>
      </c>
      <c r="E11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4" s="19" t="str">
        <f>IF(_xlfn.XLOOKUP(Sales[[#This Row],[Product Name]],Inventory[Product Name],Inventory[Sale Price],"")=0,"",_xlfn.XLOOKUP(Sales[[#This Row],[Product Name]],Inventory[Product Name],Inventory[Sale Price]))</f>
        <v/>
      </c>
      <c r="I1104" s="19" t="str">
        <f>IFERROR(G1104*H1104,"")</f>
        <v/>
      </c>
      <c r="J1104" s="19"/>
    </row>
    <row r="1105" spans="1:10" ht="21">
      <c r="A1105" s="14">
        <v>1100</v>
      </c>
      <c r="C1105" s="16"/>
      <c r="D1105" s="14" t="str">
        <f>IF(Sales[[#This Row],[Product ID]]="","",Sales[[#This Row],[Date]]&amp;Sales[[#This Row],[Invoice no]])</f>
        <v/>
      </c>
      <c r="E11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5" s="19" t="str">
        <f>IF(_xlfn.XLOOKUP(Sales[[#This Row],[Product Name]],Inventory[Product Name],Inventory[Sale Price],"")=0,"",_xlfn.XLOOKUP(Sales[[#This Row],[Product Name]],Inventory[Product Name],Inventory[Sale Price]))</f>
        <v/>
      </c>
      <c r="I1105" s="19" t="str">
        <f>IFERROR(G1105*H1105,"")</f>
        <v/>
      </c>
      <c r="J1105" s="19"/>
    </row>
    <row r="1106" spans="1:10" ht="21">
      <c r="A1106" s="14">
        <v>1101</v>
      </c>
      <c r="C1106" s="16"/>
      <c r="D1106" s="14" t="str">
        <f>IF(Sales[[#This Row],[Product ID]]="","",Sales[[#This Row],[Date]]&amp;Sales[[#This Row],[Invoice no]])</f>
        <v/>
      </c>
      <c r="E11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6" s="19" t="str">
        <f>IF(_xlfn.XLOOKUP(Sales[[#This Row],[Product Name]],Inventory[Product Name],Inventory[Sale Price],"")=0,"",_xlfn.XLOOKUP(Sales[[#This Row],[Product Name]],Inventory[Product Name],Inventory[Sale Price]))</f>
        <v/>
      </c>
      <c r="I1106" s="19" t="str">
        <f>IFERROR(G1106*H1106,"")</f>
        <v/>
      </c>
      <c r="J1106" s="19"/>
    </row>
    <row r="1107" spans="1:10" ht="21">
      <c r="A1107" s="14">
        <v>1102</v>
      </c>
      <c r="C1107" s="16"/>
      <c r="D1107" s="14" t="str">
        <f>IF(Sales[[#This Row],[Product ID]]="","",Sales[[#This Row],[Date]]&amp;Sales[[#This Row],[Invoice no]])</f>
        <v/>
      </c>
      <c r="E11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7" s="19" t="str">
        <f>IF(_xlfn.XLOOKUP(Sales[[#This Row],[Product Name]],Inventory[Product Name],Inventory[Sale Price],"")=0,"",_xlfn.XLOOKUP(Sales[[#This Row],[Product Name]],Inventory[Product Name],Inventory[Sale Price]))</f>
        <v/>
      </c>
      <c r="I1107" s="19" t="str">
        <f>IFERROR(G1107*H1107,"")</f>
        <v/>
      </c>
      <c r="J1107" s="19"/>
    </row>
    <row r="1108" spans="1:10" ht="21">
      <c r="A1108" s="14">
        <v>1103</v>
      </c>
      <c r="C1108" s="16"/>
      <c r="D1108" s="14" t="str">
        <f>IF(Sales[[#This Row],[Product ID]]="","",Sales[[#This Row],[Date]]&amp;Sales[[#This Row],[Invoice no]])</f>
        <v/>
      </c>
      <c r="E11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8" s="19" t="str">
        <f>IF(_xlfn.XLOOKUP(Sales[[#This Row],[Product Name]],Inventory[Product Name],Inventory[Sale Price],"")=0,"",_xlfn.XLOOKUP(Sales[[#This Row],[Product Name]],Inventory[Product Name],Inventory[Sale Price]))</f>
        <v/>
      </c>
      <c r="I1108" s="19" t="str">
        <f>IFERROR(G1108*H1108,"")</f>
        <v/>
      </c>
      <c r="J1108" s="19"/>
    </row>
    <row r="1109" spans="1:10" ht="21">
      <c r="A1109" s="14">
        <v>1104</v>
      </c>
      <c r="C1109" s="16"/>
      <c r="D1109" s="14" t="str">
        <f>IF(Sales[[#This Row],[Product ID]]="","",Sales[[#This Row],[Date]]&amp;Sales[[#This Row],[Invoice no]])</f>
        <v/>
      </c>
      <c r="E11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09" s="19" t="str">
        <f>IF(_xlfn.XLOOKUP(Sales[[#This Row],[Product Name]],Inventory[Product Name],Inventory[Sale Price],"")=0,"",_xlfn.XLOOKUP(Sales[[#This Row],[Product Name]],Inventory[Product Name],Inventory[Sale Price]))</f>
        <v/>
      </c>
      <c r="I1109" s="19" t="str">
        <f>IFERROR(G1109*H1109,"")</f>
        <v/>
      </c>
      <c r="J1109" s="19"/>
    </row>
    <row r="1110" spans="1:10" ht="21">
      <c r="A1110" s="14">
        <v>1105</v>
      </c>
      <c r="C1110" s="16"/>
      <c r="D1110" s="14" t="str">
        <f>IF(Sales[[#This Row],[Product ID]]="","",Sales[[#This Row],[Date]]&amp;Sales[[#This Row],[Invoice no]])</f>
        <v/>
      </c>
      <c r="E11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0" s="19" t="str">
        <f>IF(_xlfn.XLOOKUP(Sales[[#This Row],[Product Name]],Inventory[Product Name],Inventory[Sale Price],"")=0,"",_xlfn.XLOOKUP(Sales[[#This Row],[Product Name]],Inventory[Product Name],Inventory[Sale Price]))</f>
        <v/>
      </c>
      <c r="I1110" s="19" t="str">
        <f>IFERROR(G1110*H1110,"")</f>
        <v/>
      </c>
      <c r="J1110" s="19"/>
    </row>
    <row r="1111" spans="1:10" ht="21">
      <c r="A1111" s="14">
        <v>1106</v>
      </c>
      <c r="C1111" s="16"/>
      <c r="D1111" s="14" t="str">
        <f>IF(Sales[[#This Row],[Product ID]]="","",Sales[[#This Row],[Date]]&amp;Sales[[#This Row],[Invoice no]])</f>
        <v/>
      </c>
      <c r="E11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1" s="19" t="str">
        <f>IF(_xlfn.XLOOKUP(Sales[[#This Row],[Product Name]],Inventory[Product Name],Inventory[Sale Price],"")=0,"",_xlfn.XLOOKUP(Sales[[#This Row],[Product Name]],Inventory[Product Name],Inventory[Sale Price]))</f>
        <v/>
      </c>
      <c r="I1111" s="19" t="str">
        <f>IFERROR(G1111*H1111,"")</f>
        <v/>
      </c>
      <c r="J1111" s="19"/>
    </row>
    <row r="1112" spans="1:10" ht="21">
      <c r="A1112" s="14">
        <v>1107</v>
      </c>
      <c r="C1112" s="16"/>
      <c r="D1112" s="14" t="str">
        <f>IF(Sales[[#This Row],[Product ID]]="","",Sales[[#This Row],[Date]]&amp;Sales[[#This Row],[Invoice no]])</f>
        <v/>
      </c>
      <c r="E11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2" s="19" t="str">
        <f>IF(_xlfn.XLOOKUP(Sales[[#This Row],[Product Name]],Inventory[Product Name],Inventory[Sale Price],"")=0,"",_xlfn.XLOOKUP(Sales[[#This Row],[Product Name]],Inventory[Product Name],Inventory[Sale Price]))</f>
        <v/>
      </c>
      <c r="I1112" s="19" t="str">
        <f>IFERROR(G1112*H1112,"")</f>
        <v/>
      </c>
      <c r="J1112" s="19"/>
    </row>
    <row r="1113" spans="1:10" ht="21">
      <c r="A1113" s="14">
        <v>1108</v>
      </c>
      <c r="C1113" s="16"/>
      <c r="D1113" s="14" t="str">
        <f>IF(Sales[[#This Row],[Product ID]]="","",Sales[[#This Row],[Date]]&amp;Sales[[#This Row],[Invoice no]])</f>
        <v/>
      </c>
      <c r="E11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3" s="19" t="str">
        <f>IF(_xlfn.XLOOKUP(Sales[[#This Row],[Product Name]],Inventory[Product Name],Inventory[Sale Price],"")=0,"",_xlfn.XLOOKUP(Sales[[#This Row],[Product Name]],Inventory[Product Name],Inventory[Sale Price]))</f>
        <v/>
      </c>
      <c r="I1113" s="19" t="str">
        <f>IFERROR(G1113*H1113,"")</f>
        <v/>
      </c>
      <c r="J1113" s="19"/>
    </row>
    <row r="1114" spans="1:10" ht="21">
      <c r="A1114" s="14">
        <v>1109</v>
      </c>
      <c r="C1114" s="16"/>
      <c r="D1114" s="14" t="str">
        <f>IF(Sales[[#This Row],[Product ID]]="","",Sales[[#This Row],[Date]]&amp;Sales[[#This Row],[Invoice no]])</f>
        <v/>
      </c>
      <c r="E11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4" s="19" t="str">
        <f>IF(_xlfn.XLOOKUP(Sales[[#This Row],[Product Name]],Inventory[Product Name],Inventory[Sale Price],"")=0,"",_xlfn.XLOOKUP(Sales[[#This Row],[Product Name]],Inventory[Product Name],Inventory[Sale Price]))</f>
        <v/>
      </c>
      <c r="I1114" s="19" t="str">
        <f>IFERROR(G1114*H1114,"")</f>
        <v/>
      </c>
      <c r="J1114" s="19"/>
    </row>
    <row r="1115" spans="1:10" ht="21">
      <c r="A1115" s="14">
        <v>1110</v>
      </c>
      <c r="C1115" s="16"/>
      <c r="D1115" s="14" t="str">
        <f>IF(Sales[[#This Row],[Product ID]]="","",Sales[[#This Row],[Date]]&amp;Sales[[#This Row],[Invoice no]])</f>
        <v/>
      </c>
      <c r="E11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5" s="19" t="str">
        <f>IF(_xlfn.XLOOKUP(Sales[[#This Row],[Product Name]],Inventory[Product Name],Inventory[Sale Price],"")=0,"",_xlfn.XLOOKUP(Sales[[#This Row],[Product Name]],Inventory[Product Name],Inventory[Sale Price]))</f>
        <v/>
      </c>
      <c r="I1115" s="19" t="str">
        <f>IFERROR(G1115*H1115,"")</f>
        <v/>
      </c>
      <c r="J1115" s="19"/>
    </row>
    <row r="1116" spans="1:10" ht="21">
      <c r="A1116" s="14">
        <v>1111</v>
      </c>
      <c r="C1116" s="16"/>
      <c r="D1116" s="14" t="str">
        <f>IF(Sales[[#This Row],[Product ID]]="","",Sales[[#This Row],[Date]]&amp;Sales[[#This Row],[Invoice no]])</f>
        <v/>
      </c>
      <c r="E11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6" s="19" t="str">
        <f>IF(_xlfn.XLOOKUP(Sales[[#This Row],[Product Name]],Inventory[Product Name],Inventory[Sale Price],"")=0,"",_xlfn.XLOOKUP(Sales[[#This Row],[Product Name]],Inventory[Product Name],Inventory[Sale Price]))</f>
        <v/>
      </c>
      <c r="I1116" s="19" t="str">
        <f>IFERROR(G1116*H1116,"")</f>
        <v/>
      </c>
      <c r="J1116" s="19"/>
    </row>
    <row r="1117" spans="1:10" ht="21">
      <c r="A1117" s="14">
        <v>1112</v>
      </c>
      <c r="C1117" s="16"/>
      <c r="D1117" s="14" t="str">
        <f>IF(Sales[[#This Row],[Product ID]]="","",Sales[[#This Row],[Date]]&amp;Sales[[#This Row],[Invoice no]])</f>
        <v/>
      </c>
      <c r="E11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7" s="19" t="str">
        <f>IF(_xlfn.XLOOKUP(Sales[[#This Row],[Product Name]],Inventory[Product Name],Inventory[Sale Price],"")=0,"",_xlfn.XLOOKUP(Sales[[#This Row],[Product Name]],Inventory[Product Name],Inventory[Sale Price]))</f>
        <v/>
      </c>
      <c r="I1117" s="19" t="str">
        <f>IFERROR(G1117*H1117,"")</f>
        <v/>
      </c>
      <c r="J1117" s="19"/>
    </row>
    <row r="1118" spans="1:10" ht="21">
      <c r="A1118" s="14">
        <v>1113</v>
      </c>
      <c r="C1118" s="16"/>
      <c r="D1118" s="14" t="str">
        <f>IF(Sales[[#This Row],[Product ID]]="","",Sales[[#This Row],[Date]]&amp;Sales[[#This Row],[Invoice no]])</f>
        <v/>
      </c>
      <c r="E11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8" s="19" t="str">
        <f>IF(_xlfn.XLOOKUP(Sales[[#This Row],[Product Name]],Inventory[Product Name],Inventory[Sale Price],"")=0,"",_xlfn.XLOOKUP(Sales[[#This Row],[Product Name]],Inventory[Product Name],Inventory[Sale Price]))</f>
        <v/>
      </c>
      <c r="I1118" s="19" t="str">
        <f>IFERROR(G1118*H1118,"")</f>
        <v/>
      </c>
      <c r="J1118" s="19"/>
    </row>
    <row r="1119" spans="1:10" ht="21">
      <c r="A1119" s="14">
        <v>1114</v>
      </c>
      <c r="C1119" s="16"/>
      <c r="D1119" s="14" t="str">
        <f>IF(Sales[[#This Row],[Product ID]]="","",Sales[[#This Row],[Date]]&amp;Sales[[#This Row],[Invoice no]])</f>
        <v/>
      </c>
      <c r="E11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19" s="19" t="str">
        <f>IF(_xlfn.XLOOKUP(Sales[[#This Row],[Product Name]],Inventory[Product Name],Inventory[Sale Price],"")=0,"",_xlfn.XLOOKUP(Sales[[#This Row],[Product Name]],Inventory[Product Name],Inventory[Sale Price]))</f>
        <v/>
      </c>
      <c r="I1119" s="19" t="str">
        <f>IFERROR(G1119*H1119,"")</f>
        <v/>
      </c>
      <c r="J1119" s="19"/>
    </row>
    <row r="1120" spans="1:10" ht="21">
      <c r="A1120" s="14">
        <v>1115</v>
      </c>
      <c r="C1120" s="16"/>
      <c r="D1120" s="14" t="str">
        <f>IF(Sales[[#This Row],[Product ID]]="","",Sales[[#This Row],[Date]]&amp;Sales[[#This Row],[Invoice no]])</f>
        <v/>
      </c>
      <c r="E11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0" s="19" t="str">
        <f>IF(_xlfn.XLOOKUP(Sales[[#This Row],[Product Name]],Inventory[Product Name],Inventory[Sale Price],"")=0,"",_xlfn.XLOOKUP(Sales[[#This Row],[Product Name]],Inventory[Product Name],Inventory[Sale Price]))</f>
        <v/>
      </c>
      <c r="I1120" s="19" t="str">
        <f>IFERROR(G1120*H1120,"")</f>
        <v/>
      </c>
      <c r="J1120" s="19"/>
    </row>
    <row r="1121" spans="1:10" ht="21">
      <c r="A1121" s="14">
        <v>1116</v>
      </c>
      <c r="C1121" s="16"/>
      <c r="D1121" s="14" t="str">
        <f>IF(Sales[[#This Row],[Product ID]]="","",Sales[[#This Row],[Date]]&amp;Sales[[#This Row],[Invoice no]])</f>
        <v/>
      </c>
      <c r="E11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1" s="19" t="str">
        <f>IF(_xlfn.XLOOKUP(Sales[[#This Row],[Product Name]],Inventory[Product Name],Inventory[Sale Price],"")=0,"",_xlfn.XLOOKUP(Sales[[#This Row],[Product Name]],Inventory[Product Name],Inventory[Sale Price]))</f>
        <v/>
      </c>
      <c r="I1121" s="19" t="str">
        <f>IFERROR(G1121*H1121,"")</f>
        <v/>
      </c>
      <c r="J1121" s="19"/>
    </row>
    <row r="1122" spans="1:10" ht="21">
      <c r="A1122" s="14">
        <v>1117</v>
      </c>
      <c r="C1122" s="16"/>
      <c r="D1122" s="14" t="str">
        <f>IF(Sales[[#This Row],[Product ID]]="","",Sales[[#This Row],[Date]]&amp;Sales[[#This Row],[Invoice no]])</f>
        <v/>
      </c>
      <c r="E11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2" s="19" t="str">
        <f>IF(_xlfn.XLOOKUP(Sales[[#This Row],[Product Name]],Inventory[Product Name],Inventory[Sale Price],"")=0,"",_xlfn.XLOOKUP(Sales[[#This Row],[Product Name]],Inventory[Product Name],Inventory[Sale Price]))</f>
        <v/>
      </c>
      <c r="I1122" s="19" t="str">
        <f>IFERROR(G1122*H1122,"")</f>
        <v/>
      </c>
      <c r="J1122" s="19"/>
    </row>
    <row r="1123" spans="1:10" ht="21">
      <c r="A1123" s="14">
        <v>1118</v>
      </c>
      <c r="C1123" s="16"/>
      <c r="D1123" s="14" t="str">
        <f>IF(Sales[[#This Row],[Product ID]]="","",Sales[[#This Row],[Date]]&amp;Sales[[#This Row],[Invoice no]])</f>
        <v/>
      </c>
      <c r="E11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3" s="19" t="str">
        <f>IF(_xlfn.XLOOKUP(Sales[[#This Row],[Product Name]],Inventory[Product Name],Inventory[Sale Price],"")=0,"",_xlfn.XLOOKUP(Sales[[#This Row],[Product Name]],Inventory[Product Name],Inventory[Sale Price]))</f>
        <v/>
      </c>
      <c r="I1123" s="19" t="str">
        <f>IFERROR(G1123*H1123,"")</f>
        <v/>
      </c>
      <c r="J1123" s="19"/>
    </row>
    <row r="1124" spans="1:10" ht="21">
      <c r="A1124" s="14">
        <v>1119</v>
      </c>
      <c r="C1124" s="16"/>
      <c r="D1124" s="14" t="str">
        <f>IF(Sales[[#This Row],[Product ID]]="","",Sales[[#This Row],[Date]]&amp;Sales[[#This Row],[Invoice no]])</f>
        <v/>
      </c>
      <c r="E11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4" s="19" t="str">
        <f>IF(_xlfn.XLOOKUP(Sales[[#This Row],[Product Name]],Inventory[Product Name],Inventory[Sale Price],"")=0,"",_xlfn.XLOOKUP(Sales[[#This Row],[Product Name]],Inventory[Product Name],Inventory[Sale Price]))</f>
        <v/>
      </c>
      <c r="I1124" s="19" t="str">
        <f>IFERROR(G1124*H1124,"")</f>
        <v/>
      </c>
      <c r="J1124" s="19"/>
    </row>
    <row r="1125" spans="1:10" ht="21">
      <c r="A1125" s="14">
        <v>1120</v>
      </c>
      <c r="C1125" s="16"/>
      <c r="D1125" s="14" t="str">
        <f>IF(Sales[[#This Row],[Product ID]]="","",Sales[[#This Row],[Date]]&amp;Sales[[#This Row],[Invoice no]])</f>
        <v/>
      </c>
      <c r="E11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5" s="19" t="str">
        <f>IF(_xlfn.XLOOKUP(Sales[[#This Row],[Product Name]],Inventory[Product Name],Inventory[Sale Price],"")=0,"",_xlfn.XLOOKUP(Sales[[#This Row],[Product Name]],Inventory[Product Name],Inventory[Sale Price]))</f>
        <v/>
      </c>
      <c r="I1125" s="19" t="str">
        <f>IFERROR(G1125*H1125,"")</f>
        <v/>
      </c>
      <c r="J1125" s="19"/>
    </row>
    <row r="1126" spans="1:10" ht="21">
      <c r="A1126" s="14">
        <v>1121</v>
      </c>
      <c r="C1126" s="16"/>
      <c r="D1126" s="14" t="str">
        <f>IF(Sales[[#This Row],[Product ID]]="","",Sales[[#This Row],[Date]]&amp;Sales[[#This Row],[Invoice no]])</f>
        <v/>
      </c>
      <c r="E11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6" s="19" t="str">
        <f>IF(_xlfn.XLOOKUP(Sales[[#This Row],[Product Name]],Inventory[Product Name],Inventory[Sale Price],"")=0,"",_xlfn.XLOOKUP(Sales[[#This Row],[Product Name]],Inventory[Product Name],Inventory[Sale Price]))</f>
        <v/>
      </c>
      <c r="I1126" s="19" t="str">
        <f>IFERROR(G1126*H1126,"")</f>
        <v/>
      </c>
      <c r="J1126" s="19"/>
    </row>
    <row r="1127" spans="1:10" ht="21">
      <c r="A1127" s="14">
        <v>1122</v>
      </c>
      <c r="C1127" s="16"/>
      <c r="D1127" s="14" t="str">
        <f>IF(Sales[[#This Row],[Product ID]]="","",Sales[[#This Row],[Date]]&amp;Sales[[#This Row],[Invoice no]])</f>
        <v/>
      </c>
      <c r="E11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7" s="19" t="str">
        <f>IF(_xlfn.XLOOKUP(Sales[[#This Row],[Product Name]],Inventory[Product Name],Inventory[Sale Price],"")=0,"",_xlfn.XLOOKUP(Sales[[#This Row],[Product Name]],Inventory[Product Name],Inventory[Sale Price]))</f>
        <v/>
      </c>
      <c r="I1127" s="19" t="str">
        <f>IFERROR(G1127*H1127,"")</f>
        <v/>
      </c>
      <c r="J1127" s="19"/>
    </row>
    <row r="1128" spans="1:10" ht="21">
      <c r="A1128" s="14">
        <v>1123</v>
      </c>
      <c r="C1128" s="16"/>
      <c r="D1128" s="14" t="str">
        <f>IF(Sales[[#This Row],[Product ID]]="","",Sales[[#This Row],[Date]]&amp;Sales[[#This Row],[Invoice no]])</f>
        <v/>
      </c>
      <c r="E11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8" s="19" t="str">
        <f>IF(_xlfn.XLOOKUP(Sales[[#This Row],[Product Name]],Inventory[Product Name],Inventory[Sale Price],"")=0,"",_xlfn.XLOOKUP(Sales[[#This Row],[Product Name]],Inventory[Product Name],Inventory[Sale Price]))</f>
        <v/>
      </c>
      <c r="I1128" s="19" t="str">
        <f>IFERROR(G1128*H1128,"")</f>
        <v/>
      </c>
      <c r="J1128" s="19"/>
    </row>
    <row r="1129" spans="1:10" ht="21">
      <c r="A1129" s="14">
        <v>1124</v>
      </c>
      <c r="C1129" s="16"/>
      <c r="D1129" s="14" t="str">
        <f>IF(Sales[[#This Row],[Product ID]]="","",Sales[[#This Row],[Date]]&amp;Sales[[#This Row],[Invoice no]])</f>
        <v/>
      </c>
      <c r="E11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29" s="19" t="str">
        <f>IF(_xlfn.XLOOKUP(Sales[[#This Row],[Product Name]],Inventory[Product Name],Inventory[Sale Price],"")=0,"",_xlfn.XLOOKUP(Sales[[#This Row],[Product Name]],Inventory[Product Name],Inventory[Sale Price]))</f>
        <v/>
      </c>
      <c r="I1129" s="19" t="str">
        <f>IFERROR(G1129*H1129,"")</f>
        <v/>
      </c>
      <c r="J1129" s="19"/>
    </row>
    <row r="1130" spans="1:10" ht="21">
      <c r="A1130" s="14">
        <v>1125</v>
      </c>
      <c r="C1130" s="16"/>
      <c r="D1130" s="14" t="str">
        <f>IF(Sales[[#This Row],[Product ID]]="","",Sales[[#This Row],[Date]]&amp;Sales[[#This Row],[Invoice no]])</f>
        <v/>
      </c>
      <c r="E11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0" s="19" t="str">
        <f>IF(_xlfn.XLOOKUP(Sales[[#This Row],[Product Name]],Inventory[Product Name],Inventory[Sale Price],"")=0,"",_xlfn.XLOOKUP(Sales[[#This Row],[Product Name]],Inventory[Product Name],Inventory[Sale Price]))</f>
        <v/>
      </c>
      <c r="I1130" s="19" t="str">
        <f>IFERROR(G1130*H1130,"")</f>
        <v/>
      </c>
      <c r="J1130" s="19"/>
    </row>
    <row r="1131" spans="1:10" ht="21">
      <c r="A1131" s="14">
        <v>1126</v>
      </c>
      <c r="C1131" s="16"/>
      <c r="D1131" s="14" t="str">
        <f>IF(Sales[[#This Row],[Product ID]]="","",Sales[[#This Row],[Date]]&amp;Sales[[#This Row],[Invoice no]])</f>
        <v/>
      </c>
      <c r="E11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1" s="19" t="str">
        <f>IF(_xlfn.XLOOKUP(Sales[[#This Row],[Product Name]],Inventory[Product Name],Inventory[Sale Price],"")=0,"",_xlfn.XLOOKUP(Sales[[#This Row],[Product Name]],Inventory[Product Name],Inventory[Sale Price]))</f>
        <v/>
      </c>
      <c r="I1131" s="19" t="str">
        <f>IFERROR(G1131*H1131,"")</f>
        <v/>
      </c>
      <c r="J1131" s="19"/>
    </row>
    <row r="1132" spans="1:10" ht="21">
      <c r="A1132" s="14">
        <v>1127</v>
      </c>
      <c r="C1132" s="16"/>
      <c r="D1132" s="14" t="str">
        <f>IF(Sales[[#This Row],[Product ID]]="","",Sales[[#This Row],[Date]]&amp;Sales[[#This Row],[Invoice no]])</f>
        <v/>
      </c>
      <c r="E11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2" s="19" t="str">
        <f>IF(_xlfn.XLOOKUP(Sales[[#This Row],[Product Name]],Inventory[Product Name],Inventory[Sale Price],"")=0,"",_xlfn.XLOOKUP(Sales[[#This Row],[Product Name]],Inventory[Product Name],Inventory[Sale Price]))</f>
        <v/>
      </c>
      <c r="I1132" s="19" t="str">
        <f>IFERROR(G1132*H1132,"")</f>
        <v/>
      </c>
      <c r="J1132" s="19"/>
    </row>
    <row r="1133" spans="1:10" ht="21">
      <c r="A1133" s="14">
        <v>1128</v>
      </c>
      <c r="C1133" s="16"/>
      <c r="D1133" s="14" t="str">
        <f>IF(Sales[[#This Row],[Product ID]]="","",Sales[[#This Row],[Date]]&amp;Sales[[#This Row],[Invoice no]])</f>
        <v/>
      </c>
      <c r="E11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3" s="19" t="str">
        <f>IF(_xlfn.XLOOKUP(Sales[[#This Row],[Product Name]],Inventory[Product Name],Inventory[Sale Price],"")=0,"",_xlfn.XLOOKUP(Sales[[#This Row],[Product Name]],Inventory[Product Name],Inventory[Sale Price]))</f>
        <v/>
      </c>
      <c r="I1133" s="19" t="str">
        <f>IFERROR(G1133*H1133,"")</f>
        <v/>
      </c>
      <c r="J1133" s="19"/>
    </row>
    <row r="1134" spans="1:10" ht="21">
      <c r="A1134" s="14">
        <v>1129</v>
      </c>
      <c r="C1134" s="16"/>
      <c r="D1134" s="14" t="str">
        <f>IF(Sales[[#This Row],[Product ID]]="","",Sales[[#This Row],[Date]]&amp;Sales[[#This Row],[Invoice no]])</f>
        <v/>
      </c>
      <c r="E11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4" s="19" t="str">
        <f>IF(_xlfn.XLOOKUP(Sales[[#This Row],[Product Name]],Inventory[Product Name],Inventory[Sale Price],"")=0,"",_xlfn.XLOOKUP(Sales[[#This Row],[Product Name]],Inventory[Product Name],Inventory[Sale Price]))</f>
        <v/>
      </c>
      <c r="I1134" s="19" t="str">
        <f>IFERROR(G1134*H1134,"")</f>
        <v/>
      </c>
      <c r="J1134" s="19"/>
    </row>
    <row r="1135" spans="1:10" ht="21">
      <c r="A1135" s="14">
        <v>1130</v>
      </c>
      <c r="C1135" s="16"/>
      <c r="D1135" s="14" t="str">
        <f>IF(Sales[[#This Row],[Product ID]]="","",Sales[[#This Row],[Date]]&amp;Sales[[#This Row],[Invoice no]])</f>
        <v/>
      </c>
      <c r="E11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5" s="19" t="str">
        <f>IF(_xlfn.XLOOKUP(Sales[[#This Row],[Product Name]],Inventory[Product Name],Inventory[Sale Price],"")=0,"",_xlfn.XLOOKUP(Sales[[#This Row],[Product Name]],Inventory[Product Name],Inventory[Sale Price]))</f>
        <v/>
      </c>
      <c r="I1135" s="19" t="str">
        <f>IFERROR(G1135*H1135,"")</f>
        <v/>
      </c>
      <c r="J1135" s="19"/>
    </row>
    <row r="1136" spans="1:10" ht="21">
      <c r="A1136" s="14">
        <v>1131</v>
      </c>
      <c r="C1136" s="16"/>
      <c r="D1136" s="14" t="str">
        <f>IF(Sales[[#This Row],[Product ID]]="","",Sales[[#This Row],[Date]]&amp;Sales[[#This Row],[Invoice no]])</f>
        <v/>
      </c>
      <c r="E11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6" s="19" t="str">
        <f>IF(_xlfn.XLOOKUP(Sales[[#This Row],[Product Name]],Inventory[Product Name],Inventory[Sale Price],"")=0,"",_xlfn.XLOOKUP(Sales[[#This Row],[Product Name]],Inventory[Product Name],Inventory[Sale Price]))</f>
        <v/>
      </c>
      <c r="I1136" s="19" t="str">
        <f>IFERROR(G1136*H1136,"")</f>
        <v/>
      </c>
      <c r="J1136" s="19"/>
    </row>
    <row r="1137" spans="1:10" ht="21">
      <c r="A1137" s="14">
        <v>1132</v>
      </c>
      <c r="C1137" s="16"/>
      <c r="D1137" s="14" t="str">
        <f>IF(Sales[[#This Row],[Product ID]]="","",Sales[[#This Row],[Date]]&amp;Sales[[#This Row],[Invoice no]])</f>
        <v/>
      </c>
      <c r="E11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7" s="19" t="str">
        <f>IF(_xlfn.XLOOKUP(Sales[[#This Row],[Product Name]],Inventory[Product Name],Inventory[Sale Price],"")=0,"",_xlfn.XLOOKUP(Sales[[#This Row],[Product Name]],Inventory[Product Name],Inventory[Sale Price]))</f>
        <v/>
      </c>
      <c r="I1137" s="19" t="str">
        <f>IFERROR(G1137*H1137,"")</f>
        <v/>
      </c>
      <c r="J1137" s="19"/>
    </row>
    <row r="1138" spans="1:10" ht="21">
      <c r="A1138" s="14">
        <v>1133</v>
      </c>
      <c r="C1138" s="16"/>
      <c r="D1138" s="14" t="str">
        <f>IF(Sales[[#This Row],[Product ID]]="","",Sales[[#This Row],[Date]]&amp;Sales[[#This Row],[Invoice no]])</f>
        <v/>
      </c>
      <c r="E11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8" s="19" t="str">
        <f>IF(_xlfn.XLOOKUP(Sales[[#This Row],[Product Name]],Inventory[Product Name],Inventory[Sale Price],"")=0,"",_xlfn.XLOOKUP(Sales[[#This Row],[Product Name]],Inventory[Product Name],Inventory[Sale Price]))</f>
        <v/>
      </c>
      <c r="I1138" s="19" t="str">
        <f>IFERROR(G1138*H1138,"")</f>
        <v/>
      </c>
      <c r="J1138" s="19"/>
    </row>
    <row r="1139" spans="1:10" ht="21">
      <c r="A1139" s="14">
        <v>1134</v>
      </c>
      <c r="C1139" s="16"/>
      <c r="D1139" s="14" t="str">
        <f>IF(Sales[[#This Row],[Product ID]]="","",Sales[[#This Row],[Date]]&amp;Sales[[#This Row],[Invoice no]])</f>
        <v/>
      </c>
      <c r="E11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39" s="19" t="str">
        <f>IF(_xlfn.XLOOKUP(Sales[[#This Row],[Product Name]],Inventory[Product Name],Inventory[Sale Price],"")=0,"",_xlfn.XLOOKUP(Sales[[#This Row],[Product Name]],Inventory[Product Name],Inventory[Sale Price]))</f>
        <v/>
      </c>
      <c r="I1139" s="19" t="str">
        <f>IFERROR(G1139*H1139,"")</f>
        <v/>
      </c>
      <c r="J1139" s="19"/>
    </row>
    <row r="1140" spans="1:10" ht="21">
      <c r="A1140" s="14">
        <v>1135</v>
      </c>
      <c r="C1140" s="16"/>
      <c r="D1140" s="14" t="str">
        <f>IF(Sales[[#This Row],[Product ID]]="","",Sales[[#This Row],[Date]]&amp;Sales[[#This Row],[Invoice no]])</f>
        <v/>
      </c>
      <c r="E11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0" s="19" t="str">
        <f>IF(_xlfn.XLOOKUP(Sales[[#This Row],[Product Name]],Inventory[Product Name],Inventory[Sale Price],"")=0,"",_xlfn.XLOOKUP(Sales[[#This Row],[Product Name]],Inventory[Product Name],Inventory[Sale Price]))</f>
        <v/>
      </c>
      <c r="I1140" s="19" t="str">
        <f>IFERROR(G1140*H1140,"")</f>
        <v/>
      </c>
      <c r="J1140" s="19"/>
    </row>
    <row r="1141" spans="1:10" ht="21">
      <c r="A1141" s="14">
        <v>1136</v>
      </c>
      <c r="C1141" s="16"/>
      <c r="D1141" s="14" t="str">
        <f>IF(Sales[[#This Row],[Product ID]]="","",Sales[[#This Row],[Date]]&amp;Sales[[#This Row],[Invoice no]])</f>
        <v/>
      </c>
      <c r="E11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1" s="19" t="str">
        <f>IF(_xlfn.XLOOKUP(Sales[[#This Row],[Product Name]],Inventory[Product Name],Inventory[Sale Price],"")=0,"",_xlfn.XLOOKUP(Sales[[#This Row],[Product Name]],Inventory[Product Name],Inventory[Sale Price]))</f>
        <v/>
      </c>
      <c r="I1141" s="19" t="str">
        <f>IFERROR(G1141*H1141,"")</f>
        <v/>
      </c>
      <c r="J1141" s="19"/>
    </row>
    <row r="1142" spans="1:10" ht="21">
      <c r="A1142" s="14">
        <v>1137</v>
      </c>
      <c r="C1142" s="16"/>
      <c r="D1142" s="14" t="str">
        <f>IF(Sales[[#This Row],[Product ID]]="","",Sales[[#This Row],[Date]]&amp;Sales[[#This Row],[Invoice no]])</f>
        <v/>
      </c>
      <c r="E11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2" s="19" t="str">
        <f>IF(_xlfn.XLOOKUP(Sales[[#This Row],[Product Name]],Inventory[Product Name],Inventory[Sale Price],"")=0,"",_xlfn.XLOOKUP(Sales[[#This Row],[Product Name]],Inventory[Product Name],Inventory[Sale Price]))</f>
        <v/>
      </c>
      <c r="I1142" s="19" t="str">
        <f>IFERROR(G1142*H1142,"")</f>
        <v/>
      </c>
      <c r="J1142" s="19"/>
    </row>
    <row r="1143" spans="1:10" ht="21">
      <c r="A1143" s="14">
        <v>1138</v>
      </c>
      <c r="C1143" s="16"/>
      <c r="D1143" s="14" t="str">
        <f>IF(Sales[[#This Row],[Product ID]]="","",Sales[[#This Row],[Date]]&amp;Sales[[#This Row],[Invoice no]])</f>
        <v/>
      </c>
      <c r="E11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3" s="19" t="str">
        <f>IF(_xlfn.XLOOKUP(Sales[[#This Row],[Product Name]],Inventory[Product Name],Inventory[Sale Price],"")=0,"",_xlfn.XLOOKUP(Sales[[#This Row],[Product Name]],Inventory[Product Name],Inventory[Sale Price]))</f>
        <v/>
      </c>
      <c r="I1143" s="19" t="str">
        <f>IFERROR(G1143*H1143,"")</f>
        <v/>
      </c>
      <c r="J1143" s="19"/>
    </row>
    <row r="1144" spans="1:10" ht="21">
      <c r="A1144" s="14">
        <v>1139</v>
      </c>
      <c r="C1144" s="16"/>
      <c r="D1144" s="14" t="str">
        <f>IF(Sales[[#This Row],[Product ID]]="","",Sales[[#This Row],[Date]]&amp;Sales[[#This Row],[Invoice no]])</f>
        <v/>
      </c>
      <c r="E11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4" s="19" t="str">
        <f>IF(_xlfn.XLOOKUP(Sales[[#This Row],[Product Name]],Inventory[Product Name],Inventory[Sale Price],"")=0,"",_xlfn.XLOOKUP(Sales[[#This Row],[Product Name]],Inventory[Product Name],Inventory[Sale Price]))</f>
        <v/>
      </c>
      <c r="I1144" s="19" t="str">
        <f>IFERROR(G1144*H1144,"")</f>
        <v/>
      </c>
      <c r="J1144" s="19"/>
    </row>
    <row r="1145" spans="1:10" ht="21">
      <c r="A1145" s="14">
        <v>1140</v>
      </c>
      <c r="C1145" s="16"/>
      <c r="D1145" s="14" t="str">
        <f>IF(Sales[[#This Row],[Product ID]]="","",Sales[[#This Row],[Date]]&amp;Sales[[#This Row],[Invoice no]])</f>
        <v/>
      </c>
      <c r="E11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5" s="19" t="str">
        <f>IF(_xlfn.XLOOKUP(Sales[[#This Row],[Product Name]],Inventory[Product Name],Inventory[Sale Price],"")=0,"",_xlfn.XLOOKUP(Sales[[#This Row],[Product Name]],Inventory[Product Name],Inventory[Sale Price]))</f>
        <v/>
      </c>
      <c r="I1145" s="19" t="str">
        <f>IFERROR(G1145*H1145,"")</f>
        <v/>
      </c>
      <c r="J1145" s="19"/>
    </row>
    <row r="1146" spans="1:10" ht="21">
      <c r="A1146" s="14">
        <v>1141</v>
      </c>
      <c r="C1146" s="16"/>
      <c r="D1146" s="14" t="str">
        <f>IF(Sales[[#This Row],[Product ID]]="","",Sales[[#This Row],[Date]]&amp;Sales[[#This Row],[Invoice no]])</f>
        <v/>
      </c>
      <c r="E11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6" s="19" t="str">
        <f>IF(_xlfn.XLOOKUP(Sales[[#This Row],[Product Name]],Inventory[Product Name],Inventory[Sale Price],"")=0,"",_xlfn.XLOOKUP(Sales[[#This Row],[Product Name]],Inventory[Product Name],Inventory[Sale Price]))</f>
        <v/>
      </c>
      <c r="I1146" s="19" t="str">
        <f>IFERROR(G1146*H1146,"")</f>
        <v/>
      </c>
      <c r="J1146" s="19"/>
    </row>
    <row r="1147" spans="1:10" ht="21">
      <c r="A1147" s="14">
        <v>1142</v>
      </c>
      <c r="C1147" s="16"/>
      <c r="D1147" s="14" t="str">
        <f>IF(Sales[[#This Row],[Product ID]]="","",Sales[[#This Row],[Date]]&amp;Sales[[#This Row],[Invoice no]])</f>
        <v/>
      </c>
      <c r="E11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7" s="19" t="str">
        <f>IF(_xlfn.XLOOKUP(Sales[[#This Row],[Product Name]],Inventory[Product Name],Inventory[Sale Price],"")=0,"",_xlfn.XLOOKUP(Sales[[#This Row],[Product Name]],Inventory[Product Name],Inventory[Sale Price]))</f>
        <v/>
      </c>
      <c r="I1147" s="19" t="str">
        <f>IFERROR(G1147*H1147,"")</f>
        <v/>
      </c>
      <c r="J1147" s="19"/>
    </row>
    <row r="1148" spans="1:10" ht="21">
      <c r="A1148" s="14">
        <v>1143</v>
      </c>
      <c r="C1148" s="16"/>
      <c r="D1148" s="14" t="str">
        <f>IF(Sales[[#This Row],[Product ID]]="","",Sales[[#This Row],[Date]]&amp;Sales[[#This Row],[Invoice no]])</f>
        <v/>
      </c>
      <c r="E11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8" s="19" t="str">
        <f>IF(_xlfn.XLOOKUP(Sales[[#This Row],[Product Name]],Inventory[Product Name],Inventory[Sale Price],"")=0,"",_xlfn.XLOOKUP(Sales[[#This Row],[Product Name]],Inventory[Product Name],Inventory[Sale Price]))</f>
        <v/>
      </c>
      <c r="I1148" s="19" t="str">
        <f>IFERROR(G1148*H1148,"")</f>
        <v/>
      </c>
      <c r="J1148" s="19"/>
    </row>
    <row r="1149" spans="1:10" ht="21">
      <c r="A1149" s="14">
        <v>1144</v>
      </c>
      <c r="C1149" s="16"/>
      <c r="D1149" s="14" t="str">
        <f>IF(Sales[[#This Row],[Product ID]]="","",Sales[[#This Row],[Date]]&amp;Sales[[#This Row],[Invoice no]])</f>
        <v/>
      </c>
      <c r="E11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49" s="19" t="str">
        <f>IF(_xlfn.XLOOKUP(Sales[[#This Row],[Product Name]],Inventory[Product Name],Inventory[Sale Price],"")=0,"",_xlfn.XLOOKUP(Sales[[#This Row],[Product Name]],Inventory[Product Name],Inventory[Sale Price]))</f>
        <v/>
      </c>
      <c r="I1149" s="19" t="str">
        <f>IFERROR(G1149*H1149,"")</f>
        <v/>
      </c>
      <c r="J1149" s="19"/>
    </row>
    <row r="1150" spans="1:10" ht="21">
      <c r="A1150" s="14">
        <v>1145</v>
      </c>
      <c r="C1150" s="16"/>
      <c r="D1150" s="14" t="str">
        <f>IF(Sales[[#This Row],[Product ID]]="","",Sales[[#This Row],[Date]]&amp;Sales[[#This Row],[Invoice no]])</f>
        <v/>
      </c>
      <c r="E11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0" s="19" t="str">
        <f>IF(_xlfn.XLOOKUP(Sales[[#This Row],[Product Name]],Inventory[Product Name],Inventory[Sale Price],"")=0,"",_xlfn.XLOOKUP(Sales[[#This Row],[Product Name]],Inventory[Product Name],Inventory[Sale Price]))</f>
        <v/>
      </c>
      <c r="I1150" s="19" t="str">
        <f>IFERROR(G1150*H1150,"")</f>
        <v/>
      </c>
      <c r="J1150" s="19"/>
    </row>
    <row r="1151" spans="1:10" ht="21">
      <c r="A1151" s="14">
        <v>1146</v>
      </c>
      <c r="C1151" s="16"/>
      <c r="D1151" s="14" t="str">
        <f>IF(Sales[[#This Row],[Product ID]]="","",Sales[[#This Row],[Date]]&amp;Sales[[#This Row],[Invoice no]])</f>
        <v/>
      </c>
      <c r="E11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1" s="19" t="str">
        <f>IF(_xlfn.XLOOKUP(Sales[[#This Row],[Product Name]],Inventory[Product Name],Inventory[Sale Price],"")=0,"",_xlfn.XLOOKUP(Sales[[#This Row],[Product Name]],Inventory[Product Name],Inventory[Sale Price]))</f>
        <v/>
      </c>
      <c r="I1151" s="19" t="str">
        <f>IFERROR(G1151*H1151,"")</f>
        <v/>
      </c>
      <c r="J1151" s="19"/>
    </row>
    <row r="1152" spans="1:10" ht="21">
      <c r="A1152" s="14">
        <v>1147</v>
      </c>
      <c r="C1152" s="16"/>
      <c r="D1152" s="14" t="str">
        <f>IF(Sales[[#This Row],[Product ID]]="","",Sales[[#This Row],[Date]]&amp;Sales[[#This Row],[Invoice no]])</f>
        <v/>
      </c>
      <c r="E11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2" s="19" t="str">
        <f>IF(_xlfn.XLOOKUP(Sales[[#This Row],[Product Name]],Inventory[Product Name],Inventory[Sale Price],"")=0,"",_xlfn.XLOOKUP(Sales[[#This Row],[Product Name]],Inventory[Product Name],Inventory[Sale Price]))</f>
        <v/>
      </c>
      <c r="I1152" s="19" t="str">
        <f>IFERROR(G1152*H1152,"")</f>
        <v/>
      </c>
      <c r="J1152" s="19"/>
    </row>
    <row r="1153" spans="1:10" ht="21">
      <c r="A1153" s="14">
        <v>1148</v>
      </c>
      <c r="C1153" s="16"/>
      <c r="D1153" s="14" t="str">
        <f>IF(Sales[[#This Row],[Product ID]]="","",Sales[[#This Row],[Date]]&amp;Sales[[#This Row],[Invoice no]])</f>
        <v/>
      </c>
      <c r="E11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3" s="19" t="str">
        <f>IF(_xlfn.XLOOKUP(Sales[[#This Row],[Product Name]],Inventory[Product Name],Inventory[Sale Price],"")=0,"",_xlfn.XLOOKUP(Sales[[#This Row],[Product Name]],Inventory[Product Name],Inventory[Sale Price]))</f>
        <v/>
      </c>
      <c r="I1153" s="19" t="str">
        <f>IFERROR(G1153*H1153,"")</f>
        <v/>
      </c>
      <c r="J1153" s="19"/>
    </row>
    <row r="1154" spans="1:10" ht="21">
      <c r="A1154" s="14">
        <v>1149</v>
      </c>
      <c r="C1154" s="16"/>
      <c r="D1154" s="14" t="str">
        <f>IF(Sales[[#This Row],[Product ID]]="","",Sales[[#This Row],[Date]]&amp;Sales[[#This Row],[Invoice no]])</f>
        <v/>
      </c>
      <c r="E11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4" s="19" t="str">
        <f>IF(_xlfn.XLOOKUP(Sales[[#This Row],[Product Name]],Inventory[Product Name],Inventory[Sale Price],"")=0,"",_xlfn.XLOOKUP(Sales[[#This Row],[Product Name]],Inventory[Product Name],Inventory[Sale Price]))</f>
        <v/>
      </c>
      <c r="I1154" s="19" t="str">
        <f>IFERROR(G1154*H1154,"")</f>
        <v/>
      </c>
      <c r="J1154" s="19"/>
    </row>
    <row r="1155" spans="1:10" ht="21">
      <c r="A1155" s="14">
        <v>1150</v>
      </c>
      <c r="C1155" s="16"/>
      <c r="D1155" s="14" t="str">
        <f>IF(Sales[[#This Row],[Product ID]]="","",Sales[[#This Row],[Date]]&amp;Sales[[#This Row],[Invoice no]])</f>
        <v/>
      </c>
      <c r="E11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5" s="19" t="str">
        <f>IF(_xlfn.XLOOKUP(Sales[[#This Row],[Product Name]],Inventory[Product Name],Inventory[Sale Price],"")=0,"",_xlfn.XLOOKUP(Sales[[#This Row],[Product Name]],Inventory[Product Name],Inventory[Sale Price]))</f>
        <v/>
      </c>
      <c r="I1155" s="19" t="str">
        <f>IFERROR(G1155*H1155,"")</f>
        <v/>
      </c>
      <c r="J1155" s="19"/>
    </row>
    <row r="1156" spans="1:10" ht="21">
      <c r="A1156" s="14">
        <v>1151</v>
      </c>
      <c r="C1156" s="16"/>
      <c r="D1156" s="14" t="str">
        <f>IF(Sales[[#This Row],[Product ID]]="","",Sales[[#This Row],[Date]]&amp;Sales[[#This Row],[Invoice no]])</f>
        <v/>
      </c>
      <c r="E11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6" s="19" t="str">
        <f>IF(_xlfn.XLOOKUP(Sales[[#This Row],[Product Name]],Inventory[Product Name],Inventory[Sale Price],"")=0,"",_xlfn.XLOOKUP(Sales[[#This Row],[Product Name]],Inventory[Product Name],Inventory[Sale Price]))</f>
        <v/>
      </c>
      <c r="I1156" s="19" t="str">
        <f>IFERROR(G1156*H1156,"")</f>
        <v/>
      </c>
      <c r="J1156" s="19"/>
    </row>
    <row r="1157" spans="1:10" ht="21">
      <c r="A1157" s="14">
        <v>1152</v>
      </c>
      <c r="C1157" s="16"/>
      <c r="D1157" s="14" t="str">
        <f>IF(Sales[[#This Row],[Product ID]]="","",Sales[[#This Row],[Date]]&amp;Sales[[#This Row],[Invoice no]])</f>
        <v/>
      </c>
      <c r="E11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7" s="19" t="str">
        <f>IF(_xlfn.XLOOKUP(Sales[[#This Row],[Product Name]],Inventory[Product Name],Inventory[Sale Price],"")=0,"",_xlfn.XLOOKUP(Sales[[#This Row],[Product Name]],Inventory[Product Name],Inventory[Sale Price]))</f>
        <v/>
      </c>
      <c r="I1157" s="19" t="str">
        <f>IFERROR(G1157*H1157,"")</f>
        <v/>
      </c>
      <c r="J1157" s="19"/>
    </row>
    <row r="1158" spans="1:10" ht="21">
      <c r="A1158" s="14">
        <v>1153</v>
      </c>
      <c r="C1158" s="16"/>
      <c r="D1158" s="14" t="str">
        <f>IF(Sales[[#This Row],[Product ID]]="","",Sales[[#This Row],[Date]]&amp;Sales[[#This Row],[Invoice no]])</f>
        <v/>
      </c>
      <c r="E11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8" s="19" t="str">
        <f>IF(_xlfn.XLOOKUP(Sales[[#This Row],[Product Name]],Inventory[Product Name],Inventory[Sale Price],"")=0,"",_xlfn.XLOOKUP(Sales[[#This Row],[Product Name]],Inventory[Product Name],Inventory[Sale Price]))</f>
        <v/>
      </c>
      <c r="I1158" s="19" t="str">
        <f>IFERROR(G1158*H1158,"")</f>
        <v/>
      </c>
      <c r="J1158" s="19"/>
    </row>
    <row r="1159" spans="1:10" ht="21">
      <c r="A1159" s="14">
        <v>1154</v>
      </c>
      <c r="C1159" s="16"/>
      <c r="D1159" s="14" t="str">
        <f>IF(Sales[[#This Row],[Product ID]]="","",Sales[[#This Row],[Date]]&amp;Sales[[#This Row],[Invoice no]])</f>
        <v/>
      </c>
      <c r="E11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59" s="19" t="str">
        <f>IF(_xlfn.XLOOKUP(Sales[[#This Row],[Product Name]],Inventory[Product Name],Inventory[Sale Price],"")=0,"",_xlfn.XLOOKUP(Sales[[#This Row],[Product Name]],Inventory[Product Name],Inventory[Sale Price]))</f>
        <v/>
      </c>
      <c r="I1159" s="19" t="str">
        <f>IFERROR(G1159*H1159,"")</f>
        <v/>
      </c>
      <c r="J1159" s="19"/>
    </row>
    <row r="1160" spans="1:10" ht="21">
      <c r="A1160" s="14">
        <v>1155</v>
      </c>
      <c r="C1160" s="16"/>
      <c r="D1160" s="14" t="str">
        <f>IF(Sales[[#This Row],[Product ID]]="","",Sales[[#This Row],[Date]]&amp;Sales[[#This Row],[Invoice no]])</f>
        <v/>
      </c>
      <c r="E11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0" s="19" t="str">
        <f>IF(_xlfn.XLOOKUP(Sales[[#This Row],[Product Name]],Inventory[Product Name],Inventory[Sale Price],"")=0,"",_xlfn.XLOOKUP(Sales[[#This Row],[Product Name]],Inventory[Product Name],Inventory[Sale Price]))</f>
        <v/>
      </c>
      <c r="I1160" s="19" t="str">
        <f>IFERROR(G1160*H1160,"")</f>
        <v/>
      </c>
      <c r="J1160" s="19"/>
    </row>
    <row r="1161" spans="1:10" ht="21">
      <c r="A1161" s="14">
        <v>1156</v>
      </c>
      <c r="C1161" s="16"/>
      <c r="D1161" s="14" t="str">
        <f>IF(Sales[[#This Row],[Product ID]]="","",Sales[[#This Row],[Date]]&amp;Sales[[#This Row],[Invoice no]])</f>
        <v/>
      </c>
      <c r="E11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1" s="19" t="str">
        <f>IF(_xlfn.XLOOKUP(Sales[[#This Row],[Product Name]],Inventory[Product Name],Inventory[Sale Price],"")=0,"",_xlfn.XLOOKUP(Sales[[#This Row],[Product Name]],Inventory[Product Name],Inventory[Sale Price]))</f>
        <v/>
      </c>
      <c r="I1161" s="19" t="str">
        <f>IFERROR(G1161*H1161,"")</f>
        <v/>
      </c>
      <c r="J1161" s="19"/>
    </row>
    <row r="1162" spans="1:10" ht="21">
      <c r="A1162" s="14">
        <v>1157</v>
      </c>
      <c r="C1162" s="16"/>
      <c r="D1162" s="14" t="str">
        <f>IF(Sales[[#This Row],[Product ID]]="","",Sales[[#This Row],[Date]]&amp;Sales[[#This Row],[Invoice no]])</f>
        <v/>
      </c>
      <c r="E11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2" s="19" t="str">
        <f>IF(_xlfn.XLOOKUP(Sales[[#This Row],[Product Name]],Inventory[Product Name],Inventory[Sale Price],"")=0,"",_xlfn.XLOOKUP(Sales[[#This Row],[Product Name]],Inventory[Product Name],Inventory[Sale Price]))</f>
        <v/>
      </c>
      <c r="I1162" s="19" t="str">
        <f>IFERROR(G1162*H1162,"")</f>
        <v/>
      </c>
      <c r="J1162" s="19"/>
    </row>
    <row r="1163" spans="1:10" ht="21">
      <c r="A1163" s="14">
        <v>1158</v>
      </c>
      <c r="C1163" s="16"/>
      <c r="D1163" s="14" t="str">
        <f>IF(Sales[[#This Row],[Product ID]]="","",Sales[[#This Row],[Date]]&amp;Sales[[#This Row],[Invoice no]])</f>
        <v/>
      </c>
      <c r="E11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3" s="19" t="str">
        <f>IF(_xlfn.XLOOKUP(Sales[[#This Row],[Product Name]],Inventory[Product Name],Inventory[Sale Price],"")=0,"",_xlfn.XLOOKUP(Sales[[#This Row],[Product Name]],Inventory[Product Name],Inventory[Sale Price]))</f>
        <v/>
      </c>
      <c r="I1163" s="19" t="str">
        <f>IFERROR(G1163*H1163,"")</f>
        <v/>
      </c>
      <c r="J1163" s="19"/>
    </row>
    <row r="1164" spans="1:10" ht="21">
      <c r="A1164" s="14">
        <v>1159</v>
      </c>
      <c r="C1164" s="16"/>
      <c r="D1164" s="14" t="str">
        <f>IF(Sales[[#This Row],[Product ID]]="","",Sales[[#This Row],[Date]]&amp;Sales[[#This Row],[Invoice no]])</f>
        <v/>
      </c>
      <c r="E11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4" s="19" t="str">
        <f>IF(_xlfn.XLOOKUP(Sales[[#This Row],[Product Name]],Inventory[Product Name],Inventory[Sale Price],"")=0,"",_xlfn.XLOOKUP(Sales[[#This Row],[Product Name]],Inventory[Product Name],Inventory[Sale Price]))</f>
        <v/>
      </c>
      <c r="I1164" s="19" t="str">
        <f>IFERROR(G1164*H1164,"")</f>
        <v/>
      </c>
      <c r="J1164" s="19"/>
    </row>
    <row r="1165" spans="1:10" ht="21">
      <c r="A1165" s="14">
        <v>1160</v>
      </c>
      <c r="C1165" s="16"/>
      <c r="D1165" s="14" t="str">
        <f>IF(Sales[[#This Row],[Product ID]]="","",Sales[[#This Row],[Date]]&amp;Sales[[#This Row],[Invoice no]])</f>
        <v/>
      </c>
      <c r="E11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5" s="19" t="str">
        <f>IF(_xlfn.XLOOKUP(Sales[[#This Row],[Product Name]],Inventory[Product Name],Inventory[Sale Price],"")=0,"",_xlfn.XLOOKUP(Sales[[#This Row],[Product Name]],Inventory[Product Name],Inventory[Sale Price]))</f>
        <v/>
      </c>
      <c r="I1165" s="19" t="str">
        <f>IFERROR(G1165*H1165,"")</f>
        <v/>
      </c>
      <c r="J1165" s="19"/>
    </row>
    <row r="1166" spans="1:10" ht="21">
      <c r="A1166" s="14">
        <v>1161</v>
      </c>
      <c r="C1166" s="16"/>
      <c r="D1166" s="14" t="str">
        <f>IF(Sales[[#This Row],[Product ID]]="","",Sales[[#This Row],[Date]]&amp;Sales[[#This Row],[Invoice no]])</f>
        <v/>
      </c>
      <c r="E11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6" s="19" t="str">
        <f>IF(_xlfn.XLOOKUP(Sales[[#This Row],[Product Name]],Inventory[Product Name],Inventory[Sale Price],"")=0,"",_xlfn.XLOOKUP(Sales[[#This Row],[Product Name]],Inventory[Product Name],Inventory[Sale Price]))</f>
        <v/>
      </c>
      <c r="I1166" s="19" t="str">
        <f>IFERROR(G1166*H1166,"")</f>
        <v/>
      </c>
      <c r="J1166" s="19"/>
    </row>
    <row r="1167" spans="1:10" ht="21">
      <c r="A1167" s="14">
        <v>1162</v>
      </c>
      <c r="C1167" s="16"/>
      <c r="D1167" s="14" t="str">
        <f>IF(Sales[[#This Row],[Product ID]]="","",Sales[[#This Row],[Date]]&amp;Sales[[#This Row],[Invoice no]])</f>
        <v/>
      </c>
      <c r="E11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7" s="19" t="str">
        <f>IF(_xlfn.XLOOKUP(Sales[[#This Row],[Product Name]],Inventory[Product Name],Inventory[Sale Price],"")=0,"",_xlfn.XLOOKUP(Sales[[#This Row],[Product Name]],Inventory[Product Name],Inventory[Sale Price]))</f>
        <v/>
      </c>
      <c r="I1167" s="19" t="str">
        <f>IFERROR(G1167*H1167,"")</f>
        <v/>
      </c>
      <c r="J1167" s="19"/>
    </row>
    <row r="1168" spans="1:10" ht="21">
      <c r="A1168" s="14">
        <v>1163</v>
      </c>
      <c r="C1168" s="16"/>
      <c r="D1168" s="14" t="str">
        <f>IF(Sales[[#This Row],[Product ID]]="","",Sales[[#This Row],[Date]]&amp;Sales[[#This Row],[Invoice no]])</f>
        <v/>
      </c>
      <c r="E11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8" s="19" t="str">
        <f>IF(_xlfn.XLOOKUP(Sales[[#This Row],[Product Name]],Inventory[Product Name],Inventory[Sale Price],"")=0,"",_xlfn.XLOOKUP(Sales[[#This Row],[Product Name]],Inventory[Product Name],Inventory[Sale Price]))</f>
        <v/>
      </c>
      <c r="I1168" s="19" t="str">
        <f>IFERROR(G1168*H1168,"")</f>
        <v/>
      </c>
      <c r="J1168" s="19"/>
    </row>
    <row r="1169" spans="1:10" ht="21">
      <c r="A1169" s="14">
        <v>1164</v>
      </c>
      <c r="C1169" s="16"/>
      <c r="D1169" s="14" t="str">
        <f>IF(Sales[[#This Row],[Product ID]]="","",Sales[[#This Row],[Date]]&amp;Sales[[#This Row],[Invoice no]])</f>
        <v/>
      </c>
      <c r="E11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69" s="19" t="str">
        <f>IF(_xlfn.XLOOKUP(Sales[[#This Row],[Product Name]],Inventory[Product Name],Inventory[Sale Price],"")=0,"",_xlfn.XLOOKUP(Sales[[#This Row],[Product Name]],Inventory[Product Name],Inventory[Sale Price]))</f>
        <v/>
      </c>
      <c r="I1169" s="19" t="str">
        <f>IFERROR(G1169*H1169,"")</f>
        <v/>
      </c>
      <c r="J1169" s="19"/>
    </row>
    <row r="1170" spans="1:10" ht="21">
      <c r="A1170" s="14">
        <v>1165</v>
      </c>
      <c r="C1170" s="16"/>
      <c r="D1170" s="14" t="str">
        <f>IF(Sales[[#This Row],[Product ID]]="","",Sales[[#This Row],[Date]]&amp;Sales[[#This Row],[Invoice no]])</f>
        <v/>
      </c>
      <c r="E11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0" s="19" t="str">
        <f>IF(_xlfn.XLOOKUP(Sales[[#This Row],[Product Name]],Inventory[Product Name],Inventory[Sale Price],"")=0,"",_xlfn.XLOOKUP(Sales[[#This Row],[Product Name]],Inventory[Product Name],Inventory[Sale Price]))</f>
        <v/>
      </c>
      <c r="I1170" s="19" t="str">
        <f>IFERROR(G1170*H1170,"")</f>
        <v/>
      </c>
      <c r="J1170" s="19"/>
    </row>
    <row r="1171" spans="1:10" ht="21">
      <c r="A1171" s="14">
        <v>1166</v>
      </c>
      <c r="C1171" s="16"/>
      <c r="D1171" s="14" t="str">
        <f>IF(Sales[[#This Row],[Product ID]]="","",Sales[[#This Row],[Date]]&amp;Sales[[#This Row],[Invoice no]])</f>
        <v/>
      </c>
      <c r="E11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1" s="19" t="str">
        <f>IF(_xlfn.XLOOKUP(Sales[[#This Row],[Product Name]],Inventory[Product Name],Inventory[Sale Price],"")=0,"",_xlfn.XLOOKUP(Sales[[#This Row],[Product Name]],Inventory[Product Name],Inventory[Sale Price]))</f>
        <v/>
      </c>
      <c r="I1171" s="19" t="str">
        <f>IFERROR(G1171*H1171,"")</f>
        <v/>
      </c>
      <c r="J1171" s="19"/>
    </row>
    <row r="1172" spans="1:10" ht="21">
      <c r="A1172" s="14">
        <v>1167</v>
      </c>
      <c r="C1172" s="16"/>
      <c r="D1172" s="14" t="str">
        <f>IF(Sales[[#This Row],[Product ID]]="","",Sales[[#This Row],[Date]]&amp;Sales[[#This Row],[Invoice no]])</f>
        <v/>
      </c>
      <c r="E11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2" s="19" t="str">
        <f>IF(_xlfn.XLOOKUP(Sales[[#This Row],[Product Name]],Inventory[Product Name],Inventory[Sale Price],"")=0,"",_xlfn.XLOOKUP(Sales[[#This Row],[Product Name]],Inventory[Product Name],Inventory[Sale Price]))</f>
        <v/>
      </c>
      <c r="I1172" s="19" t="str">
        <f>IFERROR(G1172*H1172,"")</f>
        <v/>
      </c>
      <c r="J1172" s="19"/>
    </row>
    <row r="1173" spans="1:10" ht="21">
      <c r="A1173" s="14">
        <v>1168</v>
      </c>
      <c r="C1173" s="16"/>
      <c r="D1173" s="14" t="str">
        <f>IF(Sales[[#This Row],[Product ID]]="","",Sales[[#This Row],[Date]]&amp;Sales[[#This Row],[Invoice no]])</f>
        <v/>
      </c>
      <c r="E11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3" s="19" t="str">
        <f>IF(_xlfn.XLOOKUP(Sales[[#This Row],[Product Name]],Inventory[Product Name],Inventory[Sale Price],"")=0,"",_xlfn.XLOOKUP(Sales[[#This Row],[Product Name]],Inventory[Product Name],Inventory[Sale Price]))</f>
        <v/>
      </c>
      <c r="I1173" s="19" t="str">
        <f>IFERROR(G1173*H1173,"")</f>
        <v/>
      </c>
      <c r="J1173" s="19"/>
    </row>
    <row r="1174" spans="1:10" ht="21">
      <c r="A1174" s="14">
        <v>1169</v>
      </c>
      <c r="C1174" s="16"/>
      <c r="D1174" s="14" t="str">
        <f>IF(Sales[[#This Row],[Product ID]]="","",Sales[[#This Row],[Date]]&amp;Sales[[#This Row],[Invoice no]])</f>
        <v/>
      </c>
      <c r="E11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4" s="19" t="str">
        <f>IF(_xlfn.XLOOKUP(Sales[[#This Row],[Product Name]],Inventory[Product Name],Inventory[Sale Price],"")=0,"",_xlfn.XLOOKUP(Sales[[#This Row],[Product Name]],Inventory[Product Name],Inventory[Sale Price]))</f>
        <v/>
      </c>
      <c r="I1174" s="19" t="str">
        <f>IFERROR(G1174*H1174,"")</f>
        <v/>
      </c>
      <c r="J1174" s="19"/>
    </row>
    <row r="1175" spans="1:10" ht="21">
      <c r="A1175" s="14">
        <v>1170</v>
      </c>
      <c r="C1175" s="16"/>
      <c r="D1175" s="14" t="str">
        <f>IF(Sales[[#This Row],[Product ID]]="","",Sales[[#This Row],[Date]]&amp;Sales[[#This Row],[Invoice no]])</f>
        <v/>
      </c>
      <c r="E11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5" s="19" t="str">
        <f>IF(_xlfn.XLOOKUP(Sales[[#This Row],[Product Name]],Inventory[Product Name],Inventory[Sale Price],"")=0,"",_xlfn.XLOOKUP(Sales[[#This Row],[Product Name]],Inventory[Product Name],Inventory[Sale Price]))</f>
        <v/>
      </c>
      <c r="I1175" s="19" t="str">
        <f>IFERROR(G1175*H1175,"")</f>
        <v/>
      </c>
      <c r="J1175" s="19"/>
    </row>
    <row r="1176" spans="1:10" ht="21">
      <c r="A1176" s="14">
        <v>1171</v>
      </c>
      <c r="C1176" s="16"/>
      <c r="D1176" s="14" t="str">
        <f>IF(Sales[[#This Row],[Product ID]]="","",Sales[[#This Row],[Date]]&amp;Sales[[#This Row],[Invoice no]])</f>
        <v/>
      </c>
      <c r="E11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6" s="19" t="str">
        <f>IF(_xlfn.XLOOKUP(Sales[[#This Row],[Product Name]],Inventory[Product Name],Inventory[Sale Price],"")=0,"",_xlfn.XLOOKUP(Sales[[#This Row],[Product Name]],Inventory[Product Name],Inventory[Sale Price]))</f>
        <v/>
      </c>
      <c r="I1176" s="19" t="str">
        <f>IFERROR(G1176*H1176,"")</f>
        <v/>
      </c>
      <c r="J1176" s="19"/>
    </row>
    <row r="1177" spans="1:10" ht="21">
      <c r="A1177" s="14">
        <v>1172</v>
      </c>
      <c r="C1177" s="16"/>
      <c r="D1177" s="14" t="str">
        <f>IF(Sales[[#This Row],[Product ID]]="","",Sales[[#This Row],[Date]]&amp;Sales[[#This Row],[Invoice no]])</f>
        <v/>
      </c>
      <c r="E11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7" s="19" t="str">
        <f>IF(_xlfn.XLOOKUP(Sales[[#This Row],[Product Name]],Inventory[Product Name],Inventory[Sale Price],"")=0,"",_xlfn.XLOOKUP(Sales[[#This Row],[Product Name]],Inventory[Product Name],Inventory[Sale Price]))</f>
        <v/>
      </c>
      <c r="I1177" s="19" t="str">
        <f>IFERROR(G1177*H1177,"")</f>
        <v/>
      </c>
      <c r="J1177" s="19"/>
    </row>
    <row r="1178" spans="1:10" ht="21">
      <c r="A1178" s="14">
        <v>1173</v>
      </c>
      <c r="C1178" s="16"/>
      <c r="D1178" s="14" t="str">
        <f>IF(Sales[[#This Row],[Product ID]]="","",Sales[[#This Row],[Date]]&amp;Sales[[#This Row],[Invoice no]])</f>
        <v/>
      </c>
      <c r="E11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8" s="19" t="str">
        <f>IF(_xlfn.XLOOKUP(Sales[[#This Row],[Product Name]],Inventory[Product Name],Inventory[Sale Price],"")=0,"",_xlfn.XLOOKUP(Sales[[#This Row],[Product Name]],Inventory[Product Name],Inventory[Sale Price]))</f>
        <v/>
      </c>
      <c r="I1178" s="19" t="str">
        <f>IFERROR(G1178*H1178,"")</f>
        <v/>
      </c>
      <c r="J1178" s="19"/>
    </row>
    <row r="1179" spans="1:10" ht="21">
      <c r="A1179" s="14">
        <v>1174</v>
      </c>
      <c r="C1179" s="16"/>
      <c r="D1179" s="14" t="str">
        <f>IF(Sales[[#This Row],[Product ID]]="","",Sales[[#This Row],[Date]]&amp;Sales[[#This Row],[Invoice no]])</f>
        <v/>
      </c>
      <c r="E11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79" s="19" t="str">
        <f>IF(_xlfn.XLOOKUP(Sales[[#This Row],[Product Name]],Inventory[Product Name],Inventory[Sale Price],"")=0,"",_xlfn.XLOOKUP(Sales[[#This Row],[Product Name]],Inventory[Product Name],Inventory[Sale Price]))</f>
        <v/>
      </c>
      <c r="I1179" s="19" t="str">
        <f>IFERROR(G1179*H1179,"")</f>
        <v/>
      </c>
      <c r="J1179" s="19"/>
    </row>
    <row r="1180" spans="1:10" ht="21">
      <c r="A1180" s="14">
        <v>1175</v>
      </c>
      <c r="C1180" s="16"/>
      <c r="D1180" s="14" t="str">
        <f>IF(Sales[[#This Row],[Product ID]]="","",Sales[[#This Row],[Date]]&amp;Sales[[#This Row],[Invoice no]])</f>
        <v/>
      </c>
      <c r="E11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0" s="19" t="str">
        <f>IF(_xlfn.XLOOKUP(Sales[[#This Row],[Product Name]],Inventory[Product Name],Inventory[Sale Price],"")=0,"",_xlfn.XLOOKUP(Sales[[#This Row],[Product Name]],Inventory[Product Name],Inventory[Sale Price]))</f>
        <v/>
      </c>
      <c r="I1180" s="19" t="str">
        <f>IFERROR(G1180*H1180,"")</f>
        <v/>
      </c>
      <c r="J1180" s="19"/>
    </row>
    <row r="1181" spans="1:10" ht="21">
      <c r="A1181" s="14">
        <v>1176</v>
      </c>
      <c r="C1181" s="16"/>
      <c r="D1181" s="14" t="str">
        <f>IF(Sales[[#This Row],[Product ID]]="","",Sales[[#This Row],[Date]]&amp;Sales[[#This Row],[Invoice no]])</f>
        <v/>
      </c>
      <c r="E11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1" s="19" t="str">
        <f>IF(_xlfn.XLOOKUP(Sales[[#This Row],[Product Name]],Inventory[Product Name],Inventory[Sale Price],"")=0,"",_xlfn.XLOOKUP(Sales[[#This Row],[Product Name]],Inventory[Product Name],Inventory[Sale Price]))</f>
        <v/>
      </c>
      <c r="I1181" s="19" t="str">
        <f>IFERROR(G1181*H1181,"")</f>
        <v/>
      </c>
      <c r="J1181" s="19"/>
    </row>
    <row r="1182" spans="1:10" ht="21">
      <c r="A1182" s="14">
        <v>1177</v>
      </c>
      <c r="C1182" s="16"/>
      <c r="D1182" s="14" t="str">
        <f>IF(Sales[[#This Row],[Product ID]]="","",Sales[[#This Row],[Date]]&amp;Sales[[#This Row],[Invoice no]])</f>
        <v/>
      </c>
      <c r="E11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2" s="19" t="str">
        <f>IF(_xlfn.XLOOKUP(Sales[[#This Row],[Product Name]],Inventory[Product Name],Inventory[Sale Price],"")=0,"",_xlfn.XLOOKUP(Sales[[#This Row],[Product Name]],Inventory[Product Name],Inventory[Sale Price]))</f>
        <v/>
      </c>
      <c r="I1182" s="19" t="str">
        <f>IFERROR(G1182*H1182,"")</f>
        <v/>
      </c>
      <c r="J1182" s="19"/>
    </row>
    <row r="1183" spans="1:10" ht="21">
      <c r="A1183" s="14">
        <v>1178</v>
      </c>
      <c r="C1183" s="16"/>
      <c r="D1183" s="14" t="str">
        <f>IF(Sales[[#This Row],[Product ID]]="","",Sales[[#This Row],[Date]]&amp;Sales[[#This Row],[Invoice no]])</f>
        <v/>
      </c>
      <c r="E11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3" s="19" t="str">
        <f>IF(_xlfn.XLOOKUP(Sales[[#This Row],[Product Name]],Inventory[Product Name],Inventory[Sale Price],"")=0,"",_xlfn.XLOOKUP(Sales[[#This Row],[Product Name]],Inventory[Product Name],Inventory[Sale Price]))</f>
        <v/>
      </c>
      <c r="I1183" s="19" t="str">
        <f>IFERROR(G1183*H1183,"")</f>
        <v/>
      </c>
      <c r="J1183" s="19"/>
    </row>
    <row r="1184" spans="1:10" ht="21">
      <c r="A1184" s="14">
        <v>1179</v>
      </c>
      <c r="C1184" s="16"/>
      <c r="D1184" s="14" t="str">
        <f>IF(Sales[[#This Row],[Product ID]]="","",Sales[[#This Row],[Date]]&amp;Sales[[#This Row],[Invoice no]])</f>
        <v/>
      </c>
      <c r="E11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4" s="19" t="str">
        <f>IF(_xlfn.XLOOKUP(Sales[[#This Row],[Product Name]],Inventory[Product Name],Inventory[Sale Price],"")=0,"",_xlfn.XLOOKUP(Sales[[#This Row],[Product Name]],Inventory[Product Name],Inventory[Sale Price]))</f>
        <v/>
      </c>
      <c r="I1184" s="19" t="str">
        <f>IFERROR(G1184*H1184,"")</f>
        <v/>
      </c>
      <c r="J1184" s="19"/>
    </row>
    <row r="1185" spans="1:10" ht="21">
      <c r="A1185" s="14">
        <v>1180</v>
      </c>
      <c r="C1185" s="16"/>
      <c r="D1185" s="14" t="str">
        <f>IF(Sales[[#This Row],[Product ID]]="","",Sales[[#This Row],[Date]]&amp;Sales[[#This Row],[Invoice no]])</f>
        <v/>
      </c>
      <c r="E11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5" s="19" t="str">
        <f>IF(_xlfn.XLOOKUP(Sales[[#This Row],[Product Name]],Inventory[Product Name],Inventory[Sale Price],"")=0,"",_xlfn.XLOOKUP(Sales[[#This Row],[Product Name]],Inventory[Product Name],Inventory[Sale Price]))</f>
        <v/>
      </c>
      <c r="I1185" s="19" t="str">
        <f>IFERROR(G1185*H1185,"")</f>
        <v/>
      </c>
      <c r="J1185" s="19"/>
    </row>
    <row r="1186" spans="1:10" ht="21">
      <c r="A1186" s="14">
        <v>1181</v>
      </c>
      <c r="C1186" s="16"/>
      <c r="D1186" s="14" t="str">
        <f>IF(Sales[[#This Row],[Product ID]]="","",Sales[[#This Row],[Date]]&amp;Sales[[#This Row],[Invoice no]])</f>
        <v/>
      </c>
      <c r="E11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6" s="19" t="str">
        <f>IF(_xlfn.XLOOKUP(Sales[[#This Row],[Product Name]],Inventory[Product Name],Inventory[Sale Price],"")=0,"",_xlfn.XLOOKUP(Sales[[#This Row],[Product Name]],Inventory[Product Name],Inventory[Sale Price]))</f>
        <v/>
      </c>
      <c r="I1186" s="19" t="str">
        <f>IFERROR(G1186*H1186,"")</f>
        <v/>
      </c>
      <c r="J1186" s="19"/>
    </row>
    <row r="1187" spans="1:10" ht="21">
      <c r="A1187" s="14">
        <v>1182</v>
      </c>
      <c r="C1187" s="16"/>
      <c r="D1187" s="14" t="str">
        <f>IF(Sales[[#This Row],[Product ID]]="","",Sales[[#This Row],[Date]]&amp;Sales[[#This Row],[Invoice no]])</f>
        <v/>
      </c>
      <c r="E11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7" s="19" t="str">
        <f>IF(_xlfn.XLOOKUP(Sales[[#This Row],[Product Name]],Inventory[Product Name],Inventory[Sale Price],"")=0,"",_xlfn.XLOOKUP(Sales[[#This Row],[Product Name]],Inventory[Product Name],Inventory[Sale Price]))</f>
        <v/>
      </c>
      <c r="I1187" s="19" t="str">
        <f>IFERROR(G1187*H1187,"")</f>
        <v/>
      </c>
      <c r="J1187" s="19"/>
    </row>
    <row r="1188" spans="1:10" ht="21">
      <c r="A1188" s="14">
        <v>1183</v>
      </c>
      <c r="C1188" s="16"/>
      <c r="D1188" s="14" t="str">
        <f>IF(Sales[[#This Row],[Product ID]]="","",Sales[[#This Row],[Date]]&amp;Sales[[#This Row],[Invoice no]])</f>
        <v/>
      </c>
      <c r="E11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8" s="19" t="str">
        <f>IF(_xlfn.XLOOKUP(Sales[[#This Row],[Product Name]],Inventory[Product Name],Inventory[Sale Price],"")=0,"",_xlfn.XLOOKUP(Sales[[#This Row],[Product Name]],Inventory[Product Name],Inventory[Sale Price]))</f>
        <v/>
      </c>
      <c r="I1188" s="19" t="str">
        <f>IFERROR(G1188*H1188,"")</f>
        <v/>
      </c>
      <c r="J1188" s="19"/>
    </row>
    <row r="1189" spans="1:10" ht="21">
      <c r="A1189" s="14">
        <v>1184</v>
      </c>
      <c r="C1189" s="16"/>
      <c r="D1189" s="14" t="str">
        <f>IF(Sales[[#This Row],[Product ID]]="","",Sales[[#This Row],[Date]]&amp;Sales[[#This Row],[Invoice no]])</f>
        <v/>
      </c>
      <c r="E11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89" s="19" t="str">
        <f>IF(_xlfn.XLOOKUP(Sales[[#This Row],[Product Name]],Inventory[Product Name],Inventory[Sale Price],"")=0,"",_xlfn.XLOOKUP(Sales[[#This Row],[Product Name]],Inventory[Product Name],Inventory[Sale Price]))</f>
        <v/>
      </c>
      <c r="I1189" s="19" t="str">
        <f>IFERROR(G1189*H1189,"")</f>
        <v/>
      </c>
      <c r="J1189" s="19"/>
    </row>
    <row r="1190" spans="1:10" ht="21">
      <c r="A1190" s="14">
        <v>1185</v>
      </c>
      <c r="C1190" s="16"/>
      <c r="D1190" s="14" t="str">
        <f>IF(Sales[[#This Row],[Product ID]]="","",Sales[[#This Row],[Date]]&amp;Sales[[#This Row],[Invoice no]])</f>
        <v/>
      </c>
      <c r="E11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0" s="19" t="str">
        <f>IF(_xlfn.XLOOKUP(Sales[[#This Row],[Product Name]],Inventory[Product Name],Inventory[Sale Price],"")=0,"",_xlfn.XLOOKUP(Sales[[#This Row],[Product Name]],Inventory[Product Name],Inventory[Sale Price]))</f>
        <v/>
      </c>
      <c r="I1190" s="19" t="str">
        <f>IFERROR(G1190*H1190,"")</f>
        <v/>
      </c>
      <c r="J1190" s="19"/>
    </row>
    <row r="1191" spans="1:10" ht="21">
      <c r="A1191" s="14">
        <v>1186</v>
      </c>
      <c r="C1191" s="16"/>
      <c r="D1191" s="14" t="str">
        <f>IF(Sales[[#This Row],[Product ID]]="","",Sales[[#This Row],[Date]]&amp;Sales[[#This Row],[Invoice no]])</f>
        <v/>
      </c>
      <c r="E11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1" s="19" t="str">
        <f>IF(_xlfn.XLOOKUP(Sales[[#This Row],[Product Name]],Inventory[Product Name],Inventory[Sale Price],"")=0,"",_xlfn.XLOOKUP(Sales[[#This Row],[Product Name]],Inventory[Product Name],Inventory[Sale Price]))</f>
        <v/>
      </c>
      <c r="I1191" s="19" t="str">
        <f>IFERROR(G1191*H1191,"")</f>
        <v/>
      </c>
      <c r="J1191" s="19"/>
    </row>
    <row r="1192" spans="1:10" ht="21">
      <c r="A1192" s="14">
        <v>1187</v>
      </c>
      <c r="C1192" s="16"/>
      <c r="D1192" s="14" t="str">
        <f>IF(Sales[[#This Row],[Product ID]]="","",Sales[[#This Row],[Date]]&amp;Sales[[#This Row],[Invoice no]])</f>
        <v/>
      </c>
      <c r="E11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2" s="19" t="str">
        <f>IF(_xlfn.XLOOKUP(Sales[[#This Row],[Product Name]],Inventory[Product Name],Inventory[Sale Price],"")=0,"",_xlfn.XLOOKUP(Sales[[#This Row],[Product Name]],Inventory[Product Name],Inventory[Sale Price]))</f>
        <v/>
      </c>
      <c r="I1192" s="19" t="str">
        <f>IFERROR(G1192*H1192,"")</f>
        <v/>
      </c>
      <c r="J1192" s="19"/>
    </row>
    <row r="1193" spans="1:10" ht="21">
      <c r="A1193" s="14">
        <v>1188</v>
      </c>
      <c r="C1193" s="16"/>
      <c r="D1193" s="14" t="str">
        <f>IF(Sales[[#This Row],[Product ID]]="","",Sales[[#This Row],[Date]]&amp;Sales[[#This Row],[Invoice no]])</f>
        <v/>
      </c>
      <c r="E11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3" s="19" t="str">
        <f>IF(_xlfn.XLOOKUP(Sales[[#This Row],[Product Name]],Inventory[Product Name],Inventory[Sale Price],"")=0,"",_xlfn.XLOOKUP(Sales[[#This Row],[Product Name]],Inventory[Product Name],Inventory[Sale Price]))</f>
        <v/>
      </c>
      <c r="I1193" s="19" t="str">
        <f>IFERROR(G1193*H1193,"")</f>
        <v/>
      </c>
      <c r="J1193" s="19"/>
    </row>
    <row r="1194" spans="1:10" ht="21">
      <c r="A1194" s="14">
        <v>1189</v>
      </c>
      <c r="C1194" s="16"/>
      <c r="D1194" s="14" t="str">
        <f>IF(Sales[[#This Row],[Product ID]]="","",Sales[[#This Row],[Date]]&amp;Sales[[#This Row],[Invoice no]])</f>
        <v/>
      </c>
      <c r="E11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4" s="19" t="str">
        <f>IF(_xlfn.XLOOKUP(Sales[[#This Row],[Product Name]],Inventory[Product Name],Inventory[Sale Price],"")=0,"",_xlfn.XLOOKUP(Sales[[#This Row],[Product Name]],Inventory[Product Name],Inventory[Sale Price]))</f>
        <v/>
      </c>
      <c r="I1194" s="19" t="str">
        <f>IFERROR(G1194*H1194,"")</f>
        <v/>
      </c>
      <c r="J1194" s="19"/>
    </row>
    <row r="1195" spans="1:10" ht="21">
      <c r="A1195" s="14">
        <v>1190</v>
      </c>
      <c r="C1195" s="16"/>
      <c r="D1195" s="14" t="str">
        <f>IF(Sales[[#This Row],[Product ID]]="","",Sales[[#This Row],[Date]]&amp;Sales[[#This Row],[Invoice no]])</f>
        <v/>
      </c>
      <c r="E11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5" s="19" t="str">
        <f>IF(_xlfn.XLOOKUP(Sales[[#This Row],[Product Name]],Inventory[Product Name],Inventory[Sale Price],"")=0,"",_xlfn.XLOOKUP(Sales[[#This Row],[Product Name]],Inventory[Product Name],Inventory[Sale Price]))</f>
        <v/>
      </c>
      <c r="I1195" s="19" t="str">
        <f>IFERROR(G1195*H1195,"")</f>
        <v/>
      </c>
      <c r="J1195" s="19"/>
    </row>
    <row r="1196" spans="1:10" ht="21">
      <c r="A1196" s="14">
        <v>1191</v>
      </c>
      <c r="C1196" s="16"/>
      <c r="D1196" s="14" t="str">
        <f>IF(Sales[[#This Row],[Product ID]]="","",Sales[[#This Row],[Date]]&amp;Sales[[#This Row],[Invoice no]])</f>
        <v/>
      </c>
      <c r="E11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6" s="19" t="str">
        <f>IF(_xlfn.XLOOKUP(Sales[[#This Row],[Product Name]],Inventory[Product Name],Inventory[Sale Price],"")=0,"",_xlfn.XLOOKUP(Sales[[#This Row],[Product Name]],Inventory[Product Name],Inventory[Sale Price]))</f>
        <v/>
      </c>
      <c r="I1196" s="19" t="str">
        <f>IFERROR(G1196*H1196,"")</f>
        <v/>
      </c>
      <c r="J1196" s="19"/>
    </row>
    <row r="1197" spans="1:10" ht="21">
      <c r="A1197" s="14">
        <v>1192</v>
      </c>
      <c r="C1197" s="16"/>
      <c r="D1197" s="14" t="str">
        <f>IF(Sales[[#This Row],[Product ID]]="","",Sales[[#This Row],[Date]]&amp;Sales[[#This Row],[Invoice no]])</f>
        <v/>
      </c>
      <c r="E11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7" s="19" t="str">
        <f>IF(_xlfn.XLOOKUP(Sales[[#This Row],[Product Name]],Inventory[Product Name],Inventory[Sale Price],"")=0,"",_xlfn.XLOOKUP(Sales[[#This Row],[Product Name]],Inventory[Product Name],Inventory[Sale Price]))</f>
        <v/>
      </c>
      <c r="I1197" s="19" t="str">
        <f>IFERROR(G1197*H1197,"")</f>
        <v/>
      </c>
      <c r="J1197" s="19"/>
    </row>
    <row r="1198" spans="1:10" ht="21">
      <c r="A1198" s="14">
        <v>1193</v>
      </c>
      <c r="C1198" s="16"/>
      <c r="D1198" s="14" t="str">
        <f>IF(Sales[[#This Row],[Product ID]]="","",Sales[[#This Row],[Date]]&amp;Sales[[#This Row],[Invoice no]])</f>
        <v/>
      </c>
      <c r="E11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8" s="19" t="str">
        <f>IF(_xlfn.XLOOKUP(Sales[[#This Row],[Product Name]],Inventory[Product Name],Inventory[Sale Price],"")=0,"",_xlfn.XLOOKUP(Sales[[#This Row],[Product Name]],Inventory[Product Name],Inventory[Sale Price]))</f>
        <v/>
      </c>
      <c r="I1198" s="19" t="str">
        <f>IFERROR(G1198*H1198,"")</f>
        <v/>
      </c>
      <c r="J1198" s="19"/>
    </row>
    <row r="1199" spans="1:10" ht="21">
      <c r="A1199" s="14">
        <v>1194</v>
      </c>
      <c r="C1199" s="16"/>
      <c r="D1199" s="14" t="str">
        <f>IF(Sales[[#This Row],[Product ID]]="","",Sales[[#This Row],[Date]]&amp;Sales[[#This Row],[Invoice no]])</f>
        <v/>
      </c>
      <c r="E11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199" s="19" t="str">
        <f>IF(_xlfn.XLOOKUP(Sales[[#This Row],[Product Name]],Inventory[Product Name],Inventory[Sale Price],"")=0,"",_xlfn.XLOOKUP(Sales[[#This Row],[Product Name]],Inventory[Product Name],Inventory[Sale Price]))</f>
        <v/>
      </c>
      <c r="I1199" s="19" t="str">
        <f>IFERROR(G1199*H1199,"")</f>
        <v/>
      </c>
      <c r="J1199" s="19"/>
    </row>
    <row r="1200" spans="1:10" ht="21">
      <c r="A1200" s="14">
        <v>1195</v>
      </c>
      <c r="C1200" s="16"/>
      <c r="D1200" s="14" t="str">
        <f>IF(Sales[[#This Row],[Product ID]]="","",Sales[[#This Row],[Date]]&amp;Sales[[#This Row],[Invoice no]])</f>
        <v/>
      </c>
      <c r="E12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0" s="19" t="str">
        <f>IF(_xlfn.XLOOKUP(Sales[[#This Row],[Product Name]],Inventory[Product Name],Inventory[Sale Price],"")=0,"",_xlfn.XLOOKUP(Sales[[#This Row],[Product Name]],Inventory[Product Name],Inventory[Sale Price]))</f>
        <v/>
      </c>
      <c r="I1200" s="19" t="str">
        <f>IFERROR(G1200*H1200,"")</f>
        <v/>
      </c>
      <c r="J1200" s="19"/>
    </row>
    <row r="1201" spans="1:10" ht="21">
      <c r="A1201" s="14">
        <v>1196</v>
      </c>
      <c r="C1201" s="16"/>
      <c r="D1201" s="14" t="str">
        <f>IF(Sales[[#This Row],[Product ID]]="","",Sales[[#This Row],[Date]]&amp;Sales[[#This Row],[Invoice no]])</f>
        <v/>
      </c>
      <c r="E12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1" s="19" t="str">
        <f>IF(_xlfn.XLOOKUP(Sales[[#This Row],[Product Name]],Inventory[Product Name],Inventory[Sale Price],"")=0,"",_xlfn.XLOOKUP(Sales[[#This Row],[Product Name]],Inventory[Product Name],Inventory[Sale Price]))</f>
        <v/>
      </c>
      <c r="I1201" s="19" t="str">
        <f>IFERROR(G1201*H1201,"")</f>
        <v/>
      </c>
      <c r="J1201" s="19"/>
    </row>
    <row r="1202" spans="1:10" ht="21">
      <c r="A1202" s="14">
        <v>1197</v>
      </c>
      <c r="C1202" s="16"/>
      <c r="D1202" s="14" t="str">
        <f>IF(Sales[[#This Row],[Product ID]]="","",Sales[[#This Row],[Date]]&amp;Sales[[#This Row],[Invoice no]])</f>
        <v/>
      </c>
      <c r="E12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2" s="19" t="str">
        <f>IF(_xlfn.XLOOKUP(Sales[[#This Row],[Product Name]],Inventory[Product Name],Inventory[Sale Price],"")=0,"",_xlfn.XLOOKUP(Sales[[#This Row],[Product Name]],Inventory[Product Name],Inventory[Sale Price]))</f>
        <v/>
      </c>
      <c r="I1202" s="19" t="str">
        <f>IFERROR(G1202*H1202,"")</f>
        <v/>
      </c>
      <c r="J1202" s="19"/>
    </row>
    <row r="1203" spans="1:10" ht="21">
      <c r="A1203" s="14">
        <v>1198</v>
      </c>
      <c r="C1203" s="16"/>
      <c r="D1203" s="14" t="str">
        <f>IF(Sales[[#This Row],[Product ID]]="","",Sales[[#This Row],[Date]]&amp;Sales[[#This Row],[Invoice no]])</f>
        <v/>
      </c>
      <c r="E12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3" s="19" t="str">
        <f>IF(_xlfn.XLOOKUP(Sales[[#This Row],[Product Name]],Inventory[Product Name],Inventory[Sale Price],"")=0,"",_xlfn.XLOOKUP(Sales[[#This Row],[Product Name]],Inventory[Product Name],Inventory[Sale Price]))</f>
        <v/>
      </c>
      <c r="I1203" s="19" t="str">
        <f>IFERROR(G1203*H1203,"")</f>
        <v/>
      </c>
      <c r="J1203" s="19"/>
    </row>
    <row r="1204" spans="1:10" ht="21">
      <c r="A1204" s="14">
        <v>1199</v>
      </c>
      <c r="C1204" s="16"/>
      <c r="D1204" s="14" t="str">
        <f>IF(Sales[[#This Row],[Product ID]]="","",Sales[[#This Row],[Date]]&amp;Sales[[#This Row],[Invoice no]])</f>
        <v/>
      </c>
      <c r="E12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4" s="19" t="str">
        <f>IF(_xlfn.XLOOKUP(Sales[[#This Row],[Product Name]],Inventory[Product Name],Inventory[Sale Price],"")=0,"",_xlfn.XLOOKUP(Sales[[#This Row],[Product Name]],Inventory[Product Name],Inventory[Sale Price]))</f>
        <v/>
      </c>
      <c r="I1204" s="19" t="str">
        <f>IFERROR(G1204*H1204,"")</f>
        <v/>
      </c>
      <c r="J1204" s="19"/>
    </row>
    <row r="1205" spans="1:10" ht="21">
      <c r="A1205" s="14">
        <v>1200</v>
      </c>
      <c r="C1205" s="16"/>
      <c r="D1205" s="14" t="str">
        <f>IF(Sales[[#This Row],[Product ID]]="","",Sales[[#This Row],[Date]]&amp;Sales[[#This Row],[Invoice no]])</f>
        <v/>
      </c>
      <c r="E12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5" s="19" t="str">
        <f>IF(_xlfn.XLOOKUP(Sales[[#This Row],[Product Name]],Inventory[Product Name],Inventory[Sale Price],"")=0,"",_xlfn.XLOOKUP(Sales[[#This Row],[Product Name]],Inventory[Product Name],Inventory[Sale Price]))</f>
        <v/>
      </c>
      <c r="I1205" s="19" t="str">
        <f>IFERROR(G1205*H1205,"")</f>
        <v/>
      </c>
      <c r="J1205" s="19"/>
    </row>
    <row r="1206" spans="1:10" ht="21">
      <c r="A1206" s="14">
        <v>1201</v>
      </c>
      <c r="C1206" s="16"/>
      <c r="D1206" s="14" t="str">
        <f>IF(Sales[[#This Row],[Product ID]]="","",Sales[[#This Row],[Date]]&amp;Sales[[#This Row],[Invoice no]])</f>
        <v/>
      </c>
      <c r="E12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6" s="19" t="str">
        <f>IF(_xlfn.XLOOKUP(Sales[[#This Row],[Product Name]],Inventory[Product Name],Inventory[Sale Price],"")=0,"",_xlfn.XLOOKUP(Sales[[#This Row],[Product Name]],Inventory[Product Name],Inventory[Sale Price]))</f>
        <v/>
      </c>
      <c r="I1206" s="19" t="str">
        <f>IFERROR(G1206*H1206,"")</f>
        <v/>
      </c>
      <c r="J1206" s="19"/>
    </row>
    <row r="1207" spans="1:10" ht="21">
      <c r="A1207" s="14">
        <v>1202</v>
      </c>
      <c r="C1207" s="16"/>
      <c r="D1207" s="14" t="str">
        <f>IF(Sales[[#This Row],[Product ID]]="","",Sales[[#This Row],[Date]]&amp;Sales[[#This Row],[Invoice no]])</f>
        <v/>
      </c>
      <c r="E12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7" s="19" t="str">
        <f>IF(_xlfn.XLOOKUP(Sales[[#This Row],[Product Name]],Inventory[Product Name],Inventory[Sale Price],"")=0,"",_xlfn.XLOOKUP(Sales[[#This Row],[Product Name]],Inventory[Product Name],Inventory[Sale Price]))</f>
        <v/>
      </c>
      <c r="I1207" s="19" t="str">
        <f>IFERROR(G1207*H1207,"")</f>
        <v/>
      </c>
      <c r="J1207" s="19"/>
    </row>
    <row r="1208" spans="1:10" ht="21">
      <c r="A1208" s="14">
        <v>1203</v>
      </c>
      <c r="C1208" s="16"/>
      <c r="D1208" s="14" t="str">
        <f>IF(Sales[[#This Row],[Product ID]]="","",Sales[[#This Row],[Date]]&amp;Sales[[#This Row],[Invoice no]])</f>
        <v/>
      </c>
      <c r="E12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8" s="19" t="str">
        <f>IF(_xlfn.XLOOKUP(Sales[[#This Row],[Product Name]],Inventory[Product Name],Inventory[Sale Price],"")=0,"",_xlfn.XLOOKUP(Sales[[#This Row],[Product Name]],Inventory[Product Name],Inventory[Sale Price]))</f>
        <v/>
      </c>
      <c r="I1208" s="19" t="str">
        <f>IFERROR(G1208*H1208,"")</f>
        <v/>
      </c>
      <c r="J1208" s="19"/>
    </row>
    <row r="1209" spans="1:10" ht="21">
      <c r="A1209" s="14">
        <v>1204</v>
      </c>
      <c r="C1209" s="16"/>
      <c r="D1209" s="14" t="str">
        <f>IF(Sales[[#This Row],[Product ID]]="","",Sales[[#This Row],[Date]]&amp;Sales[[#This Row],[Invoice no]])</f>
        <v/>
      </c>
      <c r="E12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09" s="19" t="str">
        <f>IF(_xlfn.XLOOKUP(Sales[[#This Row],[Product Name]],Inventory[Product Name],Inventory[Sale Price],"")=0,"",_xlfn.XLOOKUP(Sales[[#This Row],[Product Name]],Inventory[Product Name],Inventory[Sale Price]))</f>
        <v/>
      </c>
      <c r="I1209" s="19" t="str">
        <f>IFERROR(G1209*H1209,"")</f>
        <v/>
      </c>
      <c r="J1209" s="19"/>
    </row>
    <row r="1210" spans="1:10" ht="21">
      <c r="A1210" s="14">
        <v>1205</v>
      </c>
      <c r="C1210" s="16"/>
      <c r="D1210" s="14" t="str">
        <f>IF(Sales[[#This Row],[Product ID]]="","",Sales[[#This Row],[Date]]&amp;Sales[[#This Row],[Invoice no]])</f>
        <v/>
      </c>
      <c r="E12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0" s="19" t="str">
        <f>IF(_xlfn.XLOOKUP(Sales[[#This Row],[Product Name]],Inventory[Product Name],Inventory[Sale Price],"")=0,"",_xlfn.XLOOKUP(Sales[[#This Row],[Product Name]],Inventory[Product Name],Inventory[Sale Price]))</f>
        <v/>
      </c>
      <c r="I1210" s="19" t="str">
        <f>IFERROR(G1210*H1210,"")</f>
        <v/>
      </c>
      <c r="J1210" s="19"/>
    </row>
    <row r="1211" spans="1:10" ht="21">
      <c r="A1211" s="14">
        <v>1206</v>
      </c>
      <c r="C1211" s="16"/>
      <c r="D1211" s="14" t="str">
        <f>IF(Sales[[#This Row],[Product ID]]="","",Sales[[#This Row],[Date]]&amp;Sales[[#This Row],[Invoice no]])</f>
        <v/>
      </c>
      <c r="E12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1" s="19" t="str">
        <f>IF(_xlfn.XLOOKUP(Sales[[#This Row],[Product Name]],Inventory[Product Name],Inventory[Sale Price],"")=0,"",_xlfn.XLOOKUP(Sales[[#This Row],[Product Name]],Inventory[Product Name],Inventory[Sale Price]))</f>
        <v/>
      </c>
      <c r="I1211" s="19" t="str">
        <f>IFERROR(G1211*H1211,"")</f>
        <v/>
      </c>
      <c r="J1211" s="19"/>
    </row>
    <row r="1212" spans="1:10" ht="21">
      <c r="A1212" s="14">
        <v>1207</v>
      </c>
      <c r="C1212" s="16"/>
      <c r="D1212" s="14" t="str">
        <f>IF(Sales[[#This Row],[Product ID]]="","",Sales[[#This Row],[Date]]&amp;Sales[[#This Row],[Invoice no]])</f>
        <v/>
      </c>
      <c r="E12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2" s="19" t="str">
        <f>IF(_xlfn.XLOOKUP(Sales[[#This Row],[Product Name]],Inventory[Product Name],Inventory[Sale Price],"")=0,"",_xlfn.XLOOKUP(Sales[[#This Row],[Product Name]],Inventory[Product Name],Inventory[Sale Price]))</f>
        <v/>
      </c>
      <c r="I1212" s="19" t="str">
        <f>IFERROR(G1212*H1212,"")</f>
        <v/>
      </c>
      <c r="J1212" s="19"/>
    </row>
    <row r="1213" spans="1:10" ht="21">
      <c r="A1213" s="14">
        <v>1208</v>
      </c>
      <c r="C1213" s="16"/>
      <c r="D1213" s="14" t="str">
        <f>IF(Sales[[#This Row],[Product ID]]="","",Sales[[#This Row],[Date]]&amp;Sales[[#This Row],[Invoice no]])</f>
        <v/>
      </c>
      <c r="E12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3" s="19" t="str">
        <f>IF(_xlfn.XLOOKUP(Sales[[#This Row],[Product Name]],Inventory[Product Name],Inventory[Sale Price],"")=0,"",_xlfn.XLOOKUP(Sales[[#This Row],[Product Name]],Inventory[Product Name],Inventory[Sale Price]))</f>
        <v/>
      </c>
      <c r="I1213" s="19" t="str">
        <f>IFERROR(G1213*H1213,"")</f>
        <v/>
      </c>
      <c r="J1213" s="19"/>
    </row>
    <row r="1214" spans="1:10" ht="21">
      <c r="A1214" s="14">
        <v>1209</v>
      </c>
      <c r="C1214" s="16"/>
      <c r="D1214" s="14" t="str">
        <f>IF(Sales[[#This Row],[Product ID]]="","",Sales[[#This Row],[Date]]&amp;Sales[[#This Row],[Invoice no]])</f>
        <v/>
      </c>
      <c r="E12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4" s="19" t="str">
        <f>IF(_xlfn.XLOOKUP(Sales[[#This Row],[Product Name]],Inventory[Product Name],Inventory[Sale Price],"")=0,"",_xlfn.XLOOKUP(Sales[[#This Row],[Product Name]],Inventory[Product Name],Inventory[Sale Price]))</f>
        <v/>
      </c>
      <c r="I1214" s="19" t="str">
        <f>IFERROR(G1214*H1214,"")</f>
        <v/>
      </c>
      <c r="J1214" s="19"/>
    </row>
    <row r="1215" spans="1:10" ht="21">
      <c r="A1215" s="14">
        <v>1210</v>
      </c>
      <c r="C1215" s="16"/>
      <c r="D1215" s="14" t="str">
        <f>IF(Sales[[#This Row],[Product ID]]="","",Sales[[#This Row],[Date]]&amp;Sales[[#This Row],[Invoice no]])</f>
        <v/>
      </c>
      <c r="E12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5" s="19" t="str">
        <f>IF(_xlfn.XLOOKUP(Sales[[#This Row],[Product Name]],Inventory[Product Name],Inventory[Sale Price],"")=0,"",_xlfn.XLOOKUP(Sales[[#This Row],[Product Name]],Inventory[Product Name],Inventory[Sale Price]))</f>
        <v/>
      </c>
      <c r="I1215" s="19" t="str">
        <f>IFERROR(G1215*H1215,"")</f>
        <v/>
      </c>
      <c r="J1215" s="19"/>
    </row>
    <row r="1216" spans="1:10" ht="21">
      <c r="A1216" s="14">
        <v>1211</v>
      </c>
      <c r="C1216" s="16"/>
      <c r="D1216" s="14" t="str">
        <f>IF(Sales[[#This Row],[Product ID]]="","",Sales[[#This Row],[Date]]&amp;Sales[[#This Row],[Invoice no]])</f>
        <v/>
      </c>
      <c r="E12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6" s="19" t="str">
        <f>IF(_xlfn.XLOOKUP(Sales[[#This Row],[Product Name]],Inventory[Product Name],Inventory[Sale Price],"")=0,"",_xlfn.XLOOKUP(Sales[[#This Row],[Product Name]],Inventory[Product Name],Inventory[Sale Price]))</f>
        <v/>
      </c>
      <c r="I1216" s="19" t="str">
        <f>IFERROR(G1216*H1216,"")</f>
        <v/>
      </c>
      <c r="J1216" s="19"/>
    </row>
    <row r="1217" spans="1:10" ht="21">
      <c r="A1217" s="14">
        <v>1212</v>
      </c>
      <c r="C1217" s="16"/>
      <c r="D1217" s="14" t="str">
        <f>IF(Sales[[#This Row],[Product ID]]="","",Sales[[#This Row],[Date]]&amp;Sales[[#This Row],[Invoice no]])</f>
        <v/>
      </c>
      <c r="E12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7" s="19" t="str">
        <f>IF(_xlfn.XLOOKUP(Sales[[#This Row],[Product Name]],Inventory[Product Name],Inventory[Sale Price],"")=0,"",_xlfn.XLOOKUP(Sales[[#This Row],[Product Name]],Inventory[Product Name],Inventory[Sale Price]))</f>
        <v/>
      </c>
      <c r="I1217" s="19" t="str">
        <f>IFERROR(G1217*H1217,"")</f>
        <v/>
      </c>
      <c r="J1217" s="19"/>
    </row>
    <row r="1218" spans="1:10" ht="21">
      <c r="A1218" s="14">
        <v>1213</v>
      </c>
      <c r="C1218" s="16"/>
      <c r="D1218" s="14" t="str">
        <f>IF(Sales[[#This Row],[Product ID]]="","",Sales[[#This Row],[Date]]&amp;Sales[[#This Row],[Invoice no]])</f>
        <v/>
      </c>
      <c r="E12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8" s="19" t="str">
        <f>IF(_xlfn.XLOOKUP(Sales[[#This Row],[Product Name]],Inventory[Product Name],Inventory[Sale Price],"")=0,"",_xlfn.XLOOKUP(Sales[[#This Row],[Product Name]],Inventory[Product Name],Inventory[Sale Price]))</f>
        <v/>
      </c>
      <c r="I1218" s="19" t="str">
        <f>IFERROR(G1218*H1218,"")</f>
        <v/>
      </c>
      <c r="J1218" s="19"/>
    </row>
    <row r="1219" spans="1:10" ht="21">
      <c r="A1219" s="14">
        <v>1214</v>
      </c>
      <c r="C1219" s="16"/>
      <c r="D1219" s="14" t="str">
        <f>IF(Sales[[#This Row],[Product ID]]="","",Sales[[#This Row],[Date]]&amp;Sales[[#This Row],[Invoice no]])</f>
        <v/>
      </c>
      <c r="E12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19" s="19" t="str">
        <f>IF(_xlfn.XLOOKUP(Sales[[#This Row],[Product Name]],Inventory[Product Name],Inventory[Sale Price],"")=0,"",_xlfn.XLOOKUP(Sales[[#This Row],[Product Name]],Inventory[Product Name],Inventory[Sale Price]))</f>
        <v/>
      </c>
      <c r="I1219" s="19" t="str">
        <f>IFERROR(G1219*H1219,"")</f>
        <v/>
      </c>
      <c r="J1219" s="19"/>
    </row>
    <row r="1220" spans="1:10" ht="21">
      <c r="A1220" s="14">
        <v>1215</v>
      </c>
      <c r="C1220" s="16"/>
      <c r="D1220" s="14" t="str">
        <f>IF(Sales[[#This Row],[Product ID]]="","",Sales[[#This Row],[Date]]&amp;Sales[[#This Row],[Invoice no]])</f>
        <v/>
      </c>
      <c r="E12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0" s="19" t="str">
        <f>IF(_xlfn.XLOOKUP(Sales[[#This Row],[Product Name]],Inventory[Product Name],Inventory[Sale Price],"")=0,"",_xlfn.XLOOKUP(Sales[[#This Row],[Product Name]],Inventory[Product Name],Inventory[Sale Price]))</f>
        <v/>
      </c>
      <c r="I1220" s="19" t="str">
        <f>IFERROR(G1220*H1220,"")</f>
        <v/>
      </c>
      <c r="J1220" s="19"/>
    </row>
    <row r="1221" spans="1:10" ht="21">
      <c r="A1221" s="14">
        <v>1216</v>
      </c>
      <c r="C1221" s="16"/>
      <c r="D1221" s="14" t="str">
        <f>IF(Sales[[#This Row],[Product ID]]="","",Sales[[#This Row],[Date]]&amp;Sales[[#This Row],[Invoice no]])</f>
        <v/>
      </c>
      <c r="E12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1" s="19" t="str">
        <f>IF(_xlfn.XLOOKUP(Sales[[#This Row],[Product Name]],Inventory[Product Name],Inventory[Sale Price],"")=0,"",_xlfn.XLOOKUP(Sales[[#This Row],[Product Name]],Inventory[Product Name],Inventory[Sale Price]))</f>
        <v/>
      </c>
      <c r="I1221" s="19" t="str">
        <f>IFERROR(G1221*H1221,"")</f>
        <v/>
      </c>
      <c r="J1221" s="19"/>
    </row>
    <row r="1222" spans="1:10" ht="21">
      <c r="A1222" s="14">
        <v>1217</v>
      </c>
      <c r="C1222" s="16"/>
      <c r="D1222" s="14" t="str">
        <f>IF(Sales[[#This Row],[Product ID]]="","",Sales[[#This Row],[Date]]&amp;Sales[[#This Row],[Invoice no]])</f>
        <v/>
      </c>
      <c r="E12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2" s="19" t="str">
        <f>IF(_xlfn.XLOOKUP(Sales[[#This Row],[Product Name]],Inventory[Product Name],Inventory[Sale Price],"")=0,"",_xlfn.XLOOKUP(Sales[[#This Row],[Product Name]],Inventory[Product Name],Inventory[Sale Price]))</f>
        <v/>
      </c>
      <c r="I1222" s="19" t="str">
        <f>IFERROR(G1222*H1222,"")</f>
        <v/>
      </c>
      <c r="J1222" s="19"/>
    </row>
    <row r="1223" spans="1:10" ht="21">
      <c r="A1223" s="14">
        <v>1218</v>
      </c>
      <c r="C1223" s="16"/>
      <c r="D1223" s="14" t="str">
        <f>IF(Sales[[#This Row],[Product ID]]="","",Sales[[#This Row],[Date]]&amp;Sales[[#This Row],[Invoice no]])</f>
        <v/>
      </c>
      <c r="E12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3" s="19" t="str">
        <f>IF(_xlfn.XLOOKUP(Sales[[#This Row],[Product Name]],Inventory[Product Name],Inventory[Sale Price],"")=0,"",_xlfn.XLOOKUP(Sales[[#This Row],[Product Name]],Inventory[Product Name],Inventory[Sale Price]))</f>
        <v/>
      </c>
      <c r="I1223" s="19" t="str">
        <f>IFERROR(G1223*H1223,"")</f>
        <v/>
      </c>
      <c r="J1223" s="19"/>
    </row>
    <row r="1224" spans="1:10" ht="21">
      <c r="A1224" s="14">
        <v>1219</v>
      </c>
      <c r="C1224" s="16"/>
      <c r="D1224" s="14" t="str">
        <f>IF(Sales[[#This Row],[Product ID]]="","",Sales[[#This Row],[Date]]&amp;Sales[[#This Row],[Invoice no]])</f>
        <v/>
      </c>
      <c r="E12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4" s="19" t="str">
        <f>IF(_xlfn.XLOOKUP(Sales[[#This Row],[Product Name]],Inventory[Product Name],Inventory[Sale Price],"")=0,"",_xlfn.XLOOKUP(Sales[[#This Row],[Product Name]],Inventory[Product Name],Inventory[Sale Price]))</f>
        <v/>
      </c>
      <c r="I1224" s="19" t="str">
        <f>IFERROR(G1224*H1224,"")</f>
        <v/>
      </c>
      <c r="J1224" s="19"/>
    </row>
    <row r="1225" spans="1:10" ht="21">
      <c r="A1225" s="14">
        <v>1220</v>
      </c>
      <c r="C1225" s="16"/>
      <c r="D1225" s="14" t="str">
        <f>IF(Sales[[#This Row],[Product ID]]="","",Sales[[#This Row],[Date]]&amp;Sales[[#This Row],[Invoice no]])</f>
        <v/>
      </c>
      <c r="E12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5" s="19" t="str">
        <f>IF(_xlfn.XLOOKUP(Sales[[#This Row],[Product Name]],Inventory[Product Name],Inventory[Sale Price],"")=0,"",_xlfn.XLOOKUP(Sales[[#This Row],[Product Name]],Inventory[Product Name],Inventory[Sale Price]))</f>
        <v/>
      </c>
      <c r="I1225" s="19" t="str">
        <f>IFERROR(G1225*H1225,"")</f>
        <v/>
      </c>
      <c r="J1225" s="19"/>
    </row>
    <row r="1226" spans="1:10" ht="21">
      <c r="A1226" s="14">
        <v>1221</v>
      </c>
      <c r="C1226" s="16"/>
      <c r="D1226" s="14" t="str">
        <f>IF(Sales[[#This Row],[Product ID]]="","",Sales[[#This Row],[Date]]&amp;Sales[[#This Row],[Invoice no]])</f>
        <v/>
      </c>
      <c r="E12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6" s="19" t="str">
        <f>IF(_xlfn.XLOOKUP(Sales[[#This Row],[Product Name]],Inventory[Product Name],Inventory[Sale Price],"")=0,"",_xlfn.XLOOKUP(Sales[[#This Row],[Product Name]],Inventory[Product Name],Inventory[Sale Price]))</f>
        <v/>
      </c>
      <c r="I1226" s="19" t="str">
        <f>IFERROR(G1226*H1226,"")</f>
        <v/>
      </c>
      <c r="J1226" s="19"/>
    </row>
    <row r="1227" spans="1:10" ht="21">
      <c r="A1227" s="14">
        <v>1222</v>
      </c>
      <c r="C1227" s="16"/>
      <c r="D1227" s="14" t="str">
        <f>IF(Sales[[#This Row],[Product ID]]="","",Sales[[#This Row],[Date]]&amp;Sales[[#This Row],[Invoice no]])</f>
        <v/>
      </c>
      <c r="E12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7" s="19" t="str">
        <f>IF(_xlfn.XLOOKUP(Sales[[#This Row],[Product Name]],Inventory[Product Name],Inventory[Sale Price],"")=0,"",_xlfn.XLOOKUP(Sales[[#This Row],[Product Name]],Inventory[Product Name],Inventory[Sale Price]))</f>
        <v/>
      </c>
      <c r="I1227" s="19" t="str">
        <f>IFERROR(G1227*H1227,"")</f>
        <v/>
      </c>
      <c r="J1227" s="19"/>
    </row>
    <row r="1228" spans="1:10" ht="21">
      <c r="A1228" s="14">
        <v>1223</v>
      </c>
      <c r="C1228" s="16"/>
      <c r="D1228" s="14" t="str">
        <f>IF(Sales[[#This Row],[Product ID]]="","",Sales[[#This Row],[Date]]&amp;Sales[[#This Row],[Invoice no]])</f>
        <v/>
      </c>
      <c r="E12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8" s="19" t="str">
        <f>IF(_xlfn.XLOOKUP(Sales[[#This Row],[Product Name]],Inventory[Product Name],Inventory[Sale Price],"")=0,"",_xlfn.XLOOKUP(Sales[[#This Row],[Product Name]],Inventory[Product Name],Inventory[Sale Price]))</f>
        <v/>
      </c>
      <c r="I1228" s="19" t="str">
        <f>IFERROR(G1228*H1228,"")</f>
        <v/>
      </c>
      <c r="J1228" s="19"/>
    </row>
    <row r="1229" spans="1:10" ht="21">
      <c r="A1229" s="14">
        <v>1224</v>
      </c>
      <c r="C1229" s="16"/>
      <c r="D1229" s="14" t="str">
        <f>IF(Sales[[#This Row],[Product ID]]="","",Sales[[#This Row],[Date]]&amp;Sales[[#This Row],[Invoice no]])</f>
        <v/>
      </c>
      <c r="E12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29" s="19" t="str">
        <f>IF(_xlfn.XLOOKUP(Sales[[#This Row],[Product Name]],Inventory[Product Name],Inventory[Sale Price],"")=0,"",_xlfn.XLOOKUP(Sales[[#This Row],[Product Name]],Inventory[Product Name],Inventory[Sale Price]))</f>
        <v/>
      </c>
      <c r="I1229" s="19" t="str">
        <f>IFERROR(G1229*H1229,"")</f>
        <v/>
      </c>
      <c r="J1229" s="19"/>
    </row>
    <row r="1230" spans="1:10" ht="21">
      <c r="A1230" s="14">
        <v>1225</v>
      </c>
      <c r="C1230" s="16"/>
      <c r="D1230" s="14" t="str">
        <f>IF(Sales[[#This Row],[Product ID]]="","",Sales[[#This Row],[Date]]&amp;Sales[[#This Row],[Invoice no]])</f>
        <v/>
      </c>
      <c r="E12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0" s="19" t="str">
        <f>IF(_xlfn.XLOOKUP(Sales[[#This Row],[Product Name]],Inventory[Product Name],Inventory[Sale Price],"")=0,"",_xlfn.XLOOKUP(Sales[[#This Row],[Product Name]],Inventory[Product Name],Inventory[Sale Price]))</f>
        <v/>
      </c>
      <c r="I1230" s="19" t="str">
        <f>IFERROR(G1230*H1230,"")</f>
        <v/>
      </c>
      <c r="J1230" s="19"/>
    </row>
    <row r="1231" spans="1:10" ht="21">
      <c r="A1231" s="14">
        <v>1226</v>
      </c>
      <c r="C1231" s="16"/>
      <c r="D1231" s="14" t="str">
        <f>IF(Sales[[#This Row],[Product ID]]="","",Sales[[#This Row],[Date]]&amp;Sales[[#This Row],[Invoice no]])</f>
        <v/>
      </c>
      <c r="E12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1" s="19" t="str">
        <f>IF(_xlfn.XLOOKUP(Sales[[#This Row],[Product Name]],Inventory[Product Name],Inventory[Sale Price],"")=0,"",_xlfn.XLOOKUP(Sales[[#This Row],[Product Name]],Inventory[Product Name],Inventory[Sale Price]))</f>
        <v/>
      </c>
      <c r="I1231" s="19" t="str">
        <f>IFERROR(G1231*H1231,"")</f>
        <v/>
      </c>
      <c r="J1231" s="19"/>
    </row>
    <row r="1232" spans="1:10" ht="21">
      <c r="A1232" s="14">
        <v>1227</v>
      </c>
      <c r="C1232" s="16"/>
      <c r="D1232" s="14" t="str">
        <f>IF(Sales[[#This Row],[Product ID]]="","",Sales[[#This Row],[Date]]&amp;Sales[[#This Row],[Invoice no]])</f>
        <v/>
      </c>
      <c r="E12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2" s="19" t="str">
        <f>IF(_xlfn.XLOOKUP(Sales[[#This Row],[Product Name]],Inventory[Product Name],Inventory[Sale Price],"")=0,"",_xlfn.XLOOKUP(Sales[[#This Row],[Product Name]],Inventory[Product Name],Inventory[Sale Price]))</f>
        <v/>
      </c>
      <c r="I1232" s="19" t="str">
        <f>IFERROR(G1232*H1232,"")</f>
        <v/>
      </c>
      <c r="J1232" s="19"/>
    </row>
    <row r="1233" spans="1:10" ht="21">
      <c r="A1233" s="14">
        <v>1228</v>
      </c>
      <c r="C1233" s="16"/>
      <c r="D1233" s="14" t="str">
        <f>IF(Sales[[#This Row],[Product ID]]="","",Sales[[#This Row],[Date]]&amp;Sales[[#This Row],[Invoice no]])</f>
        <v/>
      </c>
      <c r="E12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3" s="19" t="str">
        <f>IF(_xlfn.XLOOKUP(Sales[[#This Row],[Product Name]],Inventory[Product Name],Inventory[Sale Price],"")=0,"",_xlfn.XLOOKUP(Sales[[#This Row],[Product Name]],Inventory[Product Name],Inventory[Sale Price]))</f>
        <v/>
      </c>
      <c r="I1233" s="19" t="str">
        <f>IFERROR(G1233*H1233,"")</f>
        <v/>
      </c>
      <c r="J1233" s="19"/>
    </row>
    <row r="1234" spans="1:10" ht="21">
      <c r="A1234" s="14">
        <v>1229</v>
      </c>
      <c r="C1234" s="16"/>
      <c r="D1234" s="14" t="str">
        <f>IF(Sales[[#This Row],[Product ID]]="","",Sales[[#This Row],[Date]]&amp;Sales[[#This Row],[Invoice no]])</f>
        <v/>
      </c>
      <c r="E12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4" s="19" t="str">
        <f>IF(_xlfn.XLOOKUP(Sales[[#This Row],[Product Name]],Inventory[Product Name],Inventory[Sale Price],"")=0,"",_xlfn.XLOOKUP(Sales[[#This Row],[Product Name]],Inventory[Product Name],Inventory[Sale Price]))</f>
        <v/>
      </c>
      <c r="I1234" s="19" t="str">
        <f>IFERROR(G1234*H1234,"")</f>
        <v/>
      </c>
      <c r="J1234" s="19"/>
    </row>
    <row r="1235" spans="1:10" ht="21">
      <c r="A1235" s="14">
        <v>1230</v>
      </c>
      <c r="C1235" s="16"/>
      <c r="D1235" s="14" t="str">
        <f>IF(Sales[[#This Row],[Product ID]]="","",Sales[[#This Row],[Date]]&amp;Sales[[#This Row],[Invoice no]])</f>
        <v/>
      </c>
      <c r="E12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5" s="19" t="str">
        <f>IF(_xlfn.XLOOKUP(Sales[[#This Row],[Product Name]],Inventory[Product Name],Inventory[Sale Price],"")=0,"",_xlfn.XLOOKUP(Sales[[#This Row],[Product Name]],Inventory[Product Name],Inventory[Sale Price]))</f>
        <v/>
      </c>
      <c r="I1235" s="19" t="str">
        <f>IFERROR(G1235*H1235,"")</f>
        <v/>
      </c>
      <c r="J1235" s="19"/>
    </row>
    <row r="1236" spans="1:10" ht="21">
      <c r="A1236" s="14">
        <v>1231</v>
      </c>
      <c r="C1236" s="16"/>
      <c r="D1236" s="14" t="str">
        <f>IF(Sales[[#This Row],[Product ID]]="","",Sales[[#This Row],[Date]]&amp;Sales[[#This Row],[Invoice no]])</f>
        <v/>
      </c>
      <c r="E12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6" s="19" t="str">
        <f>IF(_xlfn.XLOOKUP(Sales[[#This Row],[Product Name]],Inventory[Product Name],Inventory[Sale Price],"")=0,"",_xlfn.XLOOKUP(Sales[[#This Row],[Product Name]],Inventory[Product Name],Inventory[Sale Price]))</f>
        <v/>
      </c>
      <c r="I1236" s="19" t="str">
        <f>IFERROR(G1236*H1236,"")</f>
        <v/>
      </c>
      <c r="J1236" s="19"/>
    </row>
    <row r="1237" spans="1:10" ht="21">
      <c r="A1237" s="14">
        <v>1232</v>
      </c>
      <c r="C1237" s="16"/>
      <c r="D1237" s="14" t="str">
        <f>IF(Sales[[#This Row],[Product ID]]="","",Sales[[#This Row],[Date]]&amp;Sales[[#This Row],[Invoice no]])</f>
        <v/>
      </c>
      <c r="E12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7" s="19" t="str">
        <f>IF(_xlfn.XLOOKUP(Sales[[#This Row],[Product Name]],Inventory[Product Name],Inventory[Sale Price],"")=0,"",_xlfn.XLOOKUP(Sales[[#This Row],[Product Name]],Inventory[Product Name],Inventory[Sale Price]))</f>
        <v/>
      </c>
      <c r="I1237" s="19" t="str">
        <f>IFERROR(G1237*H1237,"")</f>
        <v/>
      </c>
      <c r="J1237" s="19"/>
    </row>
    <row r="1238" spans="1:10" ht="21">
      <c r="A1238" s="14">
        <v>1233</v>
      </c>
      <c r="C1238" s="16"/>
      <c r="D1238" s="14" t="str">
        <f>IF(Sales[[#This Row],[Product ID]]="","",Sales[[#This Row],[Date]]&amp;Sales[[#This Row],[Invoice no]])</f>
        <v/>
      </c>
      <c r="E12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8" s="19" t="str">
        <f>IF(_xlfn.XLOOKUP(Sales[[#This Row],[Product Name]],Inventory[Product Name],Inventory[Sale Price],"")=0,"",_xlfn.XLOOKUP(Sales[[#This Row],[Product Name]],Inventory[Product Name],Inventory[Sale Price]))</f>
        <v/>
      </c>
      <c r="I1238" s="19" t="str">
        <f>IFERROR(G1238*H1238,"")</f>
        <v/>
      </c>
      <c r="J1238" s="19"/>
    </row>
    <row r="1239" spans="1:10" ht="21">
      <c r="A1239" s="14">
        <v>1234</v>
      </c>
      <c r="C1239" s="16"/>
      <c r="D1239" s="14" t="str">
        <f>IF(Sales[[#This Row],[Product ID]]="","",Sales[[#This Row],[Date]]&amp;Sales[[#This Row],[Invoice no]])</f>
        <v/>
      </c>
      <c r="E12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39" s="19" t="str">
        <f>IF(_xlfn.XLOOKUP(Sales[[#This Row],[Product Name]],Inventory[Product Name],Inventory[Sale Price],"")=0,"",_xlfn.XLOOKUP(Sales[[#This Row],[Product Name]],Inventory[Product Name],Inventory[Sale Price]))</f>
        <v/>
      </c>
      <c r="I1239" s="19" t="str">
        <f>IFERROR(G1239*H1239,"")</f>
        <v/>
      </c>
      <c r="J1239" s="19"/>
    </row>
    <row r="1240" spans="1:10" ht="21">
      <c r="A1240" s="14">
        <v>1235</v>
      </c>
      <c r="C1240" s="16"/>
      <c r="D1240" s="14" t="str">
        <f>IF(Sales[[#This Row],[Product ID]]="","",Sales[[#This Row],[Date]]&amp;Sales[[#This Row],[Invoice no]])</f>
        <v/>
      </c>
      <c r="E12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0" s="19" t="str">
        <f>IF(_xlfn.XLOOKUP(Sales[[#This Row],[Product Name]],Inventory[Product Name],Inventory[Sale Price],"")=0,"",_xlfn.XLOOKUP(Sales[[#This Row],[Product Name]],Inventory[Product Name],Inventory[Sale Price]))</f>
        <v/>
      </c>
      <c r="I1240" s="19" t="str">
        <f>IFERROR(G1240*H1240,"")</f>
        <v/>
      </c>
      <c r="J1240" s="19"/>
    </row>
    <row r="1241" spans="1:10" ht="21">
      <c r="A1241" s="14">
        <v>1236</v>
      </c>
      <c r="C1241" s="16"/>
      <c r="D1241" s="14" t="str">
        <f>IF(Sales[[#This Row],[Product ID]]="","",Sales[[#This Row],[Date]]&amp;Sales[[#This Row],[Invoice no]])</f>
        <v/>
      </c>
      <c r="E12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1" s="19" t="str">
        <f>IF(_xlfn.XLOOKUP(Sales[[#This Row],[Product Name]],Inventory[Product Name],Inventory[Sale Price],"")=0,"",_xlfn.XLOOKUP(Sales[[#This Row],[Product Name]],Inventory[Product Name],Inventory[Sale Price]))</f>
        <v/>
      </c>
      <c r="I1241" s="19" t="str">
        <f>IFERROR(G1241*H1241,"")</f>
        <v/>
      </c>
      <c r="J1241" s="19"/>
    </row>
    <row r="1242" spans="1:10" ht="21">
      <c r="A1242" s="14">
        <v>1237</v>
      </c>
      <c r="C1242" s="16"/>
      <c r="D1242" s="14" t="str">
        <f>IF(Sales[[#This Row],[Product ID]]="","",Sales[[#This Row],[Date]]&amp;Sales[[#This Row],[Invoice no]])</f>
        <v/>
      </c>
      <c r="E12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2" s="19" t="str">
        <f>IF(_xlfn.XLOOKUP(Sales[[#This Row],[Product Name]],Inventory[Product Name],Inventory[Sale Price],"")=0,"",_xlfn.XLOOKUP(Sales[[#This Row],[Product Name]],Inventory[Product Name],Inventory[Sale Price]))</f>
        <v/>
      </c>
      <c r="I1242" s="19" t="str">
        <f>IFERROR(G1242*H1242,"")</f>
        <v/>
      </c>
      <c r="J1242" s="19"/>
    </row>
    <row r="1243" spans="1:10" ht="21">
      <c r="A1243" s="14">
        <v>1238</v>
      </c>
      <c r="C1243" s="16"/>
      <c r="D1243" s="14" t="str">
        <f>IF(Sales[[#This Row],[Product ID]]="","",Sales[[#This Row],[Date]]&amp;Sales[[#This Row],[Invoice no]])</f>
        <v/>
      </c>
      <c r="E12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3" s="19" t="str">
        <f>IF(_xlfn.XLOOKUP(Sales[[#This Row],[Product Name]],Inventory[Product Name],Inventory[Sale Price],"")=0,"",_xlfn.XLOOKUP(Sales[[#This Row],[Product Name]],Inventory[Product Name],Inventory[Sale Price]))</f>
        <v/>
      </c>
      <c r="I1243" s="19" t="str">
        <f>IFERROR(G1243*H1243,"")</f>
        <v/>
      </c>
      <c r="J1243" s="19"/>
    </row>
    <row r="1244" spans="1:10" ht="21">
      <c r="A1244" s="14">
        <v>1239</v>
      </c>
      <c r="C1244" s="16"/>
      <c r="D1244" s="14" t="str">
        <f>IF(Sales[[#This Row],[Product ID]]="","",Sales[[#This Row],[Date]]&amp;Sales[[#This Row],[Invoice no]])</f>
        <v/>
      </c>
      <c r="E12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4" s="19" t="str">
        <f>IF(_xlfn.XLOOKUP(Sales[[#This Row],[Product Name]],Inventory[Product Name],Inventory[Sale Price],"")=0,"",_xlfn.XLOOKUP(Sales[[#This Row],[Product Name]],Inventory[Product Name],Inventory[Sale Price]))</f>
        <v/>
      </c>
      <c r="I1244" s="19" t="str">
        <f>IFERROR(G1244*H1244,"")</f>
        <v/>
      </c>
      <c r="J1244" s="19"/>
    </row>
    <row r="1245" spans="1:10" ht="21">
      <c r="A1245" s="14">
        <v>1240</v>
      </c>
      <c r="C1245" s="16"/>
      <c r="D1245" s="14" t="str">
        <f>IF(Sales[[#This Row],[Product ID]]="","",Sales[[#This Row],[Date]]&amp;Sales[[#This Row],[Invoice no]])</f>
        <v/>
      </c>
      <c r="E12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5" s="19" t="str">
        <f>IF(_xlfn.XLOOKUP(Sales[[#This Row],[Product Name]],Inventory[Product Name],Inventory[Sale Price],"")=0,"",_xlfn.XLOOKUP(Sales[[#This Row],[Product Name]],Inventory[Product Name],Inventory[Sale Price]))</f>
        <v/>
      </c>
      <c r="I1245" s="19" t="str">
        <f>IFERROR(G1245*H1245,"")</f>
        <v/>
      </c>
      <c r="J1245" s="19"/>
    </row>
    <row r="1246" spans="1:10" ht="21">
      <c r="A1246" s="14">
        <v>1241</v>
      </c>
      <c r="C1246" s="16"/>
      <c r="D1246" s="14" t="str">
        <f>IF(Sales[[#This Row],[Product ID]]="","",Sales[[#This Row],[Date]]&amp;Sales[[#This Row],[Invoice no]])</f>
        <v/>
      </c>
      <c r="E12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6" s="19" t="str">
        <f>IF(_xlfn.XLOOKUP(Sales[[#This Row],[Product Name]],Inventory[Product Name],Inventory[Sale Price],"")=0,"",_xlfn.XLOOKUP(Sales[[#This Row],[Product Name]],Inventory[Product Name],Inventory[Sale Price]))</f>
        <v/>
      </c>
      <c r="I1246" s="19" t="str">
        <f>IFERROR(G1246*H1246,"")</f>
        <v/>
      </c>
      <c r="J1246" s="19"/>
    </row>
    <row r="1247" spans="1:10" ht="21">
      <c r="A1247" s="14">
        <v>1242</v>
      </c>
      <c r="C1247" s="16"/>
      <c r="D1247" s="14" t="str">
        <f>IF(Sales[[#This Row],[Product ID]]="","",Sales[[#This Row],[Date]]&amp;Sales[[#This Row],[Invoice no]])</f>
        <v/>
      </c>
      <c r="E12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7" s="19" t="str">
        <f>IF(_xlfn.XLOOKUP(Sales[[#This Row],[Product Name]],Inventory[Product Name],Inventory[Sale Price],"")=0,"",_xlfn.XLOOKUP(Sales[[#This Row],[Product Name]],Inventory[Product Name],Inventory[Sale Price]))</f>
        <v/>
      </c>
      <c r="I1247" s="19" t="str">
        <f>IFERROR(G1247*H1247,"")</f>
        <v/>
      </c>
      <c r="J1247" s="19"/>
    </row>
    <row r="1248" spans="1:10" ht="21">
      <c r="A1248" s="14">
        <v>1243</v>
      </c>
      <c r="C1248" s="16"/>
      <c r="D1248" s="14" t="str">
        <f>IF(Sales[[#This Row],[Product ID]]="","",Sales[[#This Row],[Date]]&amp;Sales[[#This Row],[Invoice no]])</f>
        <v/>
      </c>
      <c r="E12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8" s="19" t="str">
        <f>IF(_xlfn.XLOOKUP(Sales[[#This Row],[Product Name]],Inventory[Product Name],Inventory[Sale Price],"")=0,"",_xlfn.XLOOKUP(Sales[[#This Row],[Product Name]],Inventory[Product Name],Inventory[Sale Price]))</f>
        <v/>
      </c>
      <c r="I1248" s="19" t="str">
        <f>IFERROR(G1248*H1248,"")</f>
        <v/>
      </c>
      <c r="J1248" s="19"/>
    </row>
    <row r="1249" spans="1:10" ht="21">
      <c r="A1249" s="14">
        <v>1244</v>
      </c>
      <c r="C1249" s="16"/>
      <c r="D1249" s="14" t="str">
        <f>IF(Sales[[#This Row],[Product ID]]="","",Sales[[#This Row],[Date]]&amp;Sales[[#This Row],[Invoice no]])</f>
        <v/>
      </c>
      <c r="E12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49" s="19" t="str">
        <f>IF(_xlfn.XLOOKUP(Sales[[#This Row],[Product Name]],Inventory[Product Name],Inventory[Sale Price],"")=0,"",_xlfn.XLOOKUP(Sales[[#This Row],[Product Name]],Inventory[Product Name],Inventory[Sale Price]))</f>
        <v/>
      </c>
      <c r="I1249" s="19" t="str">
        <f>IFERROR(G1249*H1249,"")</f>
        <v/>
      </c>
      <c r="J1249" s="19"/>
    </row>
    <row r="1250" spans="1:10" ht="21">
      <c r="A1250" s="14">
        <v>1245</v>
      </c>
      <c r="C1250" s="16"/>
      <c r="D1250" s="14" t="str">
        <f>IF(Sales[[#This Row],[Product ID]]="","",Sales[[#This Row],[Date]]&amp;Sales[[#This Row],[Invoice no]])</f>
        <v/>
      </c>
      <c r="E12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0" s="19" t="str">
        <f>IF(_xlfn.XLOOKUP(Sales[[#This Row],[Product Name]],Inventory[Product Name],Inventory[Sale Price],"")=0,"",_xlfn.XLOOKUP(Sales[[#This Row],[Product Name]],Inventory[Product Name],Inventory[Sale Price]))</f>
        <v/>
      </c>
      <c r="I1250" s="19" t="str">
        <f>IFERROR(G1250*H1250,"")</f>
        <v/>
      </c>
      <c r="J1250" s="19"/>
    </row>
    <row r="1251" spans="1:10" ht="21">
      <c r="A1251" s="14">
        <v>1246</v>
      </c>
      <c r="C1251" s="16"/>
      <c r="D1251" s="14" t="str">
        <f>IF(Sales[[#This Row],[Product ID]]="","",Sales[[#This Row],[Date]]&amp;Sales[[#This Row],[Invoice no]])</f>
        <v/>
      </c>
      <c r="E12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1" s="19" t="str">
        <f>IF(_xlfn.XLOOKUP(Sales[[#This Row],[Product Name]],Inventory[Product Name],Inventory[Sale Price],"")=0,"",_xlfn.XLOOKUP(Sales[[#This Row],[Product Name]],Inventory[Product Name],Inventory[Sale Price]))</f>
        <v/>
      </c>
      <c r="I1251" s="19" t="str">
        <f>IFERROR(G1251*H1251,"")</f>
        <v/>
      </c>
      <c r="J1251" s="19"/>
    </row>
    <row r="1252" spans="1:10" ht="21">
      <c r="A1252" s="14">
        <v>1247</v>
      </c>
      <c r="C1252" s="16"/>
      <c r="D1252" s="14" t="str">
        <f>IF(Sales[[#This Row],[Product ID]]="","",Sales[[#This Row],[Date]]&amp;Sales[[#This Row],[Invoice no]])</f>
        <v/>
      </c>
      <c r="E12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2" s="19" t="str">
        <f>IF(_xlfn.XLOOKUP(Sales[[#This Row],[Product Name]],Inventory[Product Name],Inventory[Sale Price],"")=0,"",_xlfn.XLOOKUP(Sales[[#This Row],[Product Name]],Inventory[Product Name],Inventory[Sale Price]))</f>
        <v/>
      </c>
      <c r="I1252" s="19" t="str">
        <f>IFERROR(G1252*H1252,"")</f>
        <v/>
      </c>
      <c r="J1252" s="19"/>
    </row>
    <row r="1253" spans="1:10" ht="21">
      <c r="A1253" s="14">
        <v>1248</v>
      </c>
      <c r="C1253" s="16"/>
      <c r="D1253" s="14" t="str">
        <f>IF(Sales[[#This Row],[Product ID]]="","",Sales[[#This Row],[Date]]&amp;Sales[[#This Row],[Invoice no]])</f>
        <v/>
      </c>
      <c r="E12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3" s="19" t="str">
        <f>IF(_xlfn.XLOOKUP(Sales[[#This Row],[Product Name]],Inventory[Product Name],Inventory[Sale Price],"")=0,"",_xlfn.XLOOKUP(Sales[[#This Row],[Product Name]],Inventory[Product Name],Inventory[Sale Price]))</f>
        <v/>
      </c>
      <c r="I1253" s="19" t="str">
        <f>IFERROR(G1253*H1253,"")</f>
        <v/>
      </c>
      <c r="J1253" s="19"/>
    </row>
    <row r="1254" spans="1:10" ht="21">
      <c r="A1254" s="14">
        <v>1249</v>
      </c>
      <c r="C1254" s="16"/>
      <c r="D1254" s="14" t="str">
        <f>IF(Sales[[#This Row],[Product ID]]="","",Sales[[#This Row],[Date]]&amp;Sales[[#This Row],[Invoice no]])</f>
        <v/>
      </c>
      <c r="E12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4" s="19" t="str">
        <f>IF(_xlfn.XLOOKUP(Sales[[#This Row],[Product Name]],Inventory[Product Name],Inventory[Sale Price],"")=0,"",_xlfn.XLOOKUP(Sales[[#This Row],[Product Name]],Inventory[Product Name],Inventory[Sale Price]))</f>
        <v/>
      </c>
      <c r="I1254" s="19" t="str">
        <f>IFERROR(G1254*H1254,"")</f>
        <v/>
      </c>
      <c r="J1254" s="19"/>
    </row>
    <row r="1255" spans="1:10" ht="21">
      <c r="A1255" s="14">
        <v>1250</v>
      </c>
      <c r="C1255" s="16"/>
      <c r="D1255" s="14" t="str">
        <f>IF(Sales[[#This Row],[Product ID]]="","",Sales[[#This Row],[Date]]&amp;Sales[[#This Row],[Invoice no]])</f>
        <v/>
      </c>
      <c r="E12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5" s="19" t="str">
        <f>IF(_xlfn.XLOOKUP(Sales[[#This Row],[Product Name]],Inventory[Product Name],Inventory[Sale Price],"")=0,"",_xlfn.XLOOKUP(Sales[[#This Row],[Product Name]],Inventory[Product Name],Inventory[Sale Price]))</f>
        <v/>
      </c>
      <c r="I1255" s="19" t="str">
        <f>IFERROR(G1255*H1255,"")</f>
        <v/>
      </c>
      <c r="J1255" s="19"/>
    </row>
    <row r="1256" spans="1:10" ht="21">
      <c r="A1256" s="14">
        <v>1251</v>
      </c>
      <c r="C1256" s="16"/>
      <c r="D1256" s="14" t="str">
        <f>IF(Sales[[#This Row],[Product ID]]="","",Sales[[#This Row],[Date]]&amp;Sales[[#This Row],[Invoice no]])</f>
        <v/>
      </c>
      <c r="E12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6" s="19" t="str">
        <f>IF(_xlfn.XLOOKUP(Sales[[#This Row],[Product Name]],Inventory[Product Name],Inventory[Sale Price],"")=0,"",_xlfn.XLOOKUP(Sales[[#This Row],[Product Name]],Inventory[Product Name],Inventory[Sale Price]))</f>
        <v/>
      </c>
      <c r="I1256" s="19" t="str">
        <f>IFERROR(G1256*H1256,"")</f>
        <v/>
      </c>
      <c r="J1256" s="19"/>
    </row>
    <row r="1257" spans="1:10" ht="21">
      <c r="A1257" s="14">
        <v>1252</v>
      </c>
      <c r="C1257" s="16"/>
      <c r="D1257" s="14" t="str">
        <f>IF(Sales[[#This Row],[Product ID]]="","",Sales[[#This Row],[Date]]&amp;Sales[[#This Row],[Invoice no]])</f>
        <v/>
      </c>
      <c r="E12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7" s="19" t="str">
        <f>IF(_xlfn.XLOOKUP(Sales[[#This Row],[Product Name]],Inventory[Product Name],Inventory[Sale Price],"")=0,"",_xlfn.XLOOKUP(Sales[[#This Row],[Product Name]],Inventory[Product Name],Inventory[Sale Price]))</f>
        <v/>
      </c>
      <c r="I1257" s="19" t="str">
        <f>IFERROR(G1257*H1257,"")</f>
        <v/>
      </c>
      <c r="J1257" s="19"/>
    </row>
    <row r="1258" spans="1:10" ht="21">
      <c r="A1258" s="14">
        <v>1253</v>
      </c>
      <c r="C1258" s="16"/>
      <c r="D1258" s="14" t="str">
        <f>IF(Sales[[#This Row],[Product ID]]="","",Sales[[#This Row],[Date]]&amp;Sales[[#This Row],[Invoice no]])</f>
        <v/>
      </c>
      <c r="E12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8" s="19" t="str">
        <f>IF(_xlfn.XLOOKUP(Sales[[#This Row],[Product Name]],Inventory[Product Name],Inventory[Sale Price],"")=0,"",_xlfn.XLOOKUP(Sales[[#This Row],[Product Name]],Inventory[Product Name],Inventory[Sale Price]))</f>
        <v/>
      </c>
      <c r="I1258" s="19" t="str">
        <f>IFERROR(G1258*H1258,"")</f>
        <v/>
      </c>
      <c r="J1258" s="19"/>
    </row>
    <row r="1259" spans="1:10" ht="21">
      <c r="A1259" s="14">
        <v>1254</v>
      </c>
      <c r="C1259" s="16"/>
      <c r="D1259" s="14" t="str">
        <f>IF(Sales[[#This Row],[Product ID]]="","",Sales[[#This Row],[Date]]&amp;Sales[[#This Row],[Invoice no]])</f>
        <v/>
      </c>
      <c r="E12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59" s="19" t="str">
        <f>IF(_xlfn.XLOOKUP(Sales[[#This Row],[Product Name]],Inventory[Product Name],Inventory[Sale Price],"")=0,"",_xlfn.XLOOKUP(Sales[[#This Row],[Product Name]],Inventory[Product Name],Inventory[Sale Price]))</f>
        <v/>
      </c>
      <c r="I1259" s="19" t="str">
        <f>IFERROR(G1259*H1259,"")</f>
        <v/>
      </c>
      <c r="J1259" s="19"/>
    </row>
    <row r="1260" spans="1:10" ht="21">
      <c r="A1260" s="14">
        <v>1255</v>
      </c>
      <c r="C1260" s="16"/>
      <c r="D1260" s="14" t="str">
        <f>IF(Sales[[#This Row],[Product ID]]="","",Sales[[#This Row],[Date]]&amp;Sales[[#This Row],[Invoice no]])</f>
        <v/>
      </c>
      <c r="E12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0" s="19" t="str">
        <f>IF(_xlfn.XLOOKUP(Sales[[#This Row],[Product Name]],Inventory[Product Name],Inventory[Sale Price],"")=0,"",_xlfn.XLOOKUP(Sales[[#This Row],[Product Name]],Inventory[Product Name],Inventory[Sale Price]))</f>
        <v/>
      </c>
      <c r="I1260" s="19" t="str">
        <f>IFERROR(G1260*H1260,"")</f>
        <v/>
      </c>
      <c r="J1260" s="19"/>
    </row>
    <row r="1261" spans="1:10" ht="21">
      <c r="A1261" s="14">
        <v>1256</v>
      </c>
      <c r="C1261" s="16"/>
      <c r="D1261" s="14" t="str">
        <f>IF(Sales[[#This Row],[Product ID]]="","",Sales[[#This Row],[Date]]&amp;Sales[[#This Row],[Invoice no]])</f>
        <v/>
      </c>
      <c r="E12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1" s="19" t="str">
        <f>IF(_xlfn.XLOOKUP(Sales[[#This Row],[Product Name]],Inventory[Product Name],Inventory[Sale Price],"")=0,"",_xlfn.XLOOKUP(Sales[[#This Row],[Product Name]],Inventory[Product Name],Inventory[Sale Price]))</f>
        <v/>
      </c>
      <c r="I1261" s="19" t="str">
        <f>IFERROR(G1261*H1261,"")</f>
        <v/>
      </c>
      <c r="J1261" s="19"/>
    </row>
    <row r="1262" spans="1:10" ht="21">
      <c r="A1262" s="14">
        <v>1257</v>
      </c>
      <c r="C1262" s="16"/>
      <c r="D1262" s="14" t="str">
        <f>IF(Sales[[#This Row],[Product ID]]="","",Sales[[#This Row],[Date]]&amp;Sales[[#This Row],[Invoice no]])</f>
        <v/>
      </c>
      <c r="E12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2" s="19" t="str">
        <f>IF(_xlfn.XLOOKUP(Sales[[#This Row],[Product Name]],Inventory[Product Name],Inventory[Sale Price],"")=0,"",_xlfn.XLOOKUP(Sales[[#This Row],[Product Name]],Inventory[Product Name],Inventory[Sale Price]))</f>
        <v/>
      </c>
      <c r="I1262" s="19" t="str">
        <f>IFERROR(G1262*H1262,"")</f>
        <v/>
      </c>
      <c r="J1262" s="19"/>
    </row>
    <row r="1263" spans="1:10" ht="21">
      <c r="A1263" s="14">
        <v>1258</v>
      </c>
      <c r="C1263" s="16"/>
      <c r="D1263" s="14" t="str">
        <f>IF(Sales[[#This Row],[Product ID]]="","",Sales[[#This Row],[Date]]&amp;Sales[[#This Row],[Invoice no]])</f>
        <v/>
      </c>
      <c r="E12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3" s="19" t="str">
        <f>IF(_xlfn.XLOOKUP(Sales[[#This Row],[Product Name]],Inventory[Product Name],Inventory[Sale Price],"")=0,"",_xlfn.XLOOKUP(Sales[[#This Row],[Product Name]],Inventory[Product Name],Inventory[Sale Price]))</f>
        <v/>
      </c>
      <c r="I1263" s="19" t="str">
        <f>IFERROR(G1263*H1263,"")</f>
        <v/>
      </c>
      <c r="J1263" s="19"/>
    </row>
    <row r="1264" spans="1:10" ht="21">
      <c r="A1264" s="14">
        <v>1259</v>
      </c>
      <c r="C1264" s="16"/>
      <c r="D1264" s="14" t="str">
        <f>IF(Sales[[#This Row],[Product ID]]="","",Sales[[#This Row],[Date]]&amp;Sales[[#This Row],[Invoice no]])</f>
        <v/>
      </c>
      <c r="E12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4" s="19" t="str">
        <f>IF(_xlfn.XLOOKUP(Sales[[#This Row],[Product Name]],Inventory[Product Name],Inventory[Sale Price],"")=0,"",_xlfn.XLOOKUP(Sales[[#This Row],[Product Name]],Inventory[Product Name],Inventory[Sale Price]))</f>
        <v/>
      </c>
      <c r="I1264" s="19" t="str">
        <f>IFERROR(G1264*H1264,"")</f>
        <v/>
      </c>
      <c r="J1264" s="19"/>
    </row>
    <row r="1265" spans="1:10" ht="21">
      <c r="A1265" s="14">
        <v>1260</v>
      </c>
      <c r="C1265" s="16"/>
      <c r="D1265" s="14" t="str">
        <f>IF(Sales[[#This Row],[Product ID]]="","",Sales[[#This Row],[Date]]&amp;Sales[[#This Row],[Invoice no]])</f>
        <v/>
      </c>
      <c r="E12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5" s="19" t="str">
        <f>IF(_xlfn.XLOOKUP(Sales[[#This Row],[Product Name]],Inventory[Product Name],Inventory[Sale Price],"")=0,"",_xlfn.XLOOKUP(Sales[[#This Row],[Product Name]],Inventory[Product Name],Inventory[Sale Price]))</f>
        <v/>
      </c>
      <c r="I1265" s="19" t="str">
        <f>IFERROR(G1265*H1265,"")</f>
        <v/>
      </c>
      <c r="J1265" s="19"/>
    </row>
    <row r="1266" spans="1:10" ht="21">
      <c r="A1266" s="14">
        <v>1261</v>
      </c>
      <c r="C1266" s="16"/>
      <c r="D1266" s="14" t="str">
        <f>IF(Sales[[#This Row],[Product ID]]="","",Sales[[#This Row],[Date]]&amp;Sales[[#This Row],[Invoice no]])</f>
        <v/>
      </c>
      <c r="E12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6" s="19" t="str">
        <f>IF(_xlfn.XLOOKUP(Sales[[#This Row],[Product Name]],Inventory[Product Name],Inventory[Sale Price],"")=0,"",_xlfn.XLOOKUP(Sales[[#This Row],[Product Name]],Inventory[Product Name],Inventory[Sale Price]))</f>
        <v/>
      </c>
      <c r="I1266" s="19" t="str">
        <f>IFERROR(G1266*H1266,"")</f>
        <v/>
      </c>
      <c r="J1266" s="19"/>
    </row>
    <row r="1267" spans="1:10" ht="21">
      <c r="A1267" s="14">
        <v>1262</v>
      </c>
      <c r="C1267" s="16"/>
      <c r="D1267" s="14" t="str">
        <f>IF(Sales[[#This Row],[Product ID]]="","",Sales[[#This Row],[Date]]&amp;Sales[[#This Row],[Invoice no]])</f>
        <v/>
      </c>
      <c r="E12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7" s="19" t="str">
        <f>IF(_xlfn.XLOOKUP(Sales[[#This Row],[Product Name]],Inventory[Product Name],Inventory[Sale Price],"")=0,"",_xlfn.XLOOKUP(Sales[[#This Row],[Product Name]],Inventory[Product Name],Inventory[Sale Price]))</f>
        <v/>
      </c>
      <c r="I1267" s="19" t="str">
        <f>IFERROR(G1267*H1267,"")</f>
        <v/>
      </c>
      <c r="J1267" s="19"/>
    </row>
    <row r="1268" spans="1:10" ht="21">
      <c r="A1268" s="14">
        <v>1263</v>
      </c>
      <c r="C1268" s="16"/>
      <c r="D1268" s="14" t="str">
        <f>IF(Sales[[#This Row],[Product ID]]="","",Sales[[#This Row],[Date]]&amp;Sales[[#This Row],[Invoice no]])</f>
        <v/>
      </c>
      <c r="E12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8" s="19" t="str">
        <f>IF(_xlfn.XLOOKUP(Sales[[#This Row],[Product Name]],Inventory[Product Name],Inventory[Sale Price],"")=0,"",_xlfn.XLOOKUP(Sales[[#This Row],[Product Name]],Inventory[Product Name],Inventory[Sale Price]))</f>
        <v/>
      </c>
      <c r="I1268" s="19" t="str">
        <f>IFERROR(G1268*H1268,"")</f>
        <v/>
      </c>
      <c r="J1268" s="19"/>
    </row>
    <row r="1269" spans="1:10" ht="21">
      <c r="A1269" s="14">
        <v>1264</v>
      </c>
      <c r="C1269" s="16"/>
      <c r="D1269" s="14" t="str">
        <f>IF(Sales[[#This Row],[Product ID]]="","",Sales[[#This Row],[Date]]&amp;Sales[[#This Row],[Invoice no]])</f>
        <v/>
      </c>
      <c r="E12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69" s="19" t="str">
        <f>IF(_xlfn.XLOOKUP(Sales[[#This Row],[Product Name]],Inventory[Product Name],Inventory[Sale Price],"")=0,"",_xlfn.XLOOKUP(Sales[[#This Row],[Product Name]],Inventory[Product Name],Inventory[Sale Price]))</f>
        <v/>
      </c>
      <c r="I1269" s="19" t="str">
        <f>IFERROR(G1269*H1269,"")</f>
        <v/>
      </c>
      <c r="J1269" s="19"/>
    </row>
    <row r="1270" spans="1:10" ht="21">
      <c r="A1270" s="14">
        <v>1265</v>
      </c>
      <c r="C1270" s="16"/>
      <c r="D1270" s="14" t="str">
        <f>IF(Sales[[#This Row],[Product ID]]="","",Sales[[#This Row],[Date]]&amp;Sales[[#This Row],[Invoice no]])</f>
        <v/>
      </c>
      <c r="E12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0" s="19" t="str">
        <f>IF(_xlfn.XLOOKUP(Sales[[#This Row],[Product Name]],Inventory[Product Name],Inventory[Sale Price],"")=0,"",_xlfn.XLOOKUP(Sales[[#This Row],[Product Name]],Inventory[Product Name],Inventory[Sale Price]))</f>
        <v/>
      </c>
      <c r="I1270" s="19" t="str">
        <f>IFERROR(G1270*H1270,"")</f>
        <v/>
      </c>
      <c r="J1270" s="19"/>
    </row>
    <row r="1271" spans="1:10" ht="21">
      <c r="A1271" s="14">
        <v>1266</v>
      </c>
      <c r="C1271" s="16"/>
      <c r="D1271" s="14" t="str">
        <f>IF(Sales[[#This Row],[Product ID]]="","",Sales[[#This Row],[Date]]&amp;Sales[[#This Row],[Invoice no]])</f>
        <v/>
      </c>
      <c r="E12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1" s="19" t="str">
        <f>IF(_xlfn.XLOOKUP(Sales[[#This Row],[Product Name]],Inventory[Product Name],Inventory[Sale Price],"")=0,"",_xlfn.XLOOKUP(Sales[[#This Row],[Product Name]],Inventory[Product Name],Inventory[Sale Price]))</f>
        <v/>
      </c>
      <c r="I1271" s="19" t="str">
        <f>IFERROR(G1271*H1271,"")</f>
        <v/>
      </c>
      <c r="J1271" s="19"/>
    </row>
    <row r="1272" spans="1:10" ht="21">
      <c r="A1272" s="14">
        <v>1267</v>
      </c>
      <c r="C1272" s="16"/>
      <c r="D1272" s="14" t="str">
        <f>IF(Sales[[#This Row],[Product ID]]="","",Sales[[#This Row],[Date]]&amp;Sales[[#This Row],[Invoice no]])</f>
        <v/>
      </c>
      <c r="E12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2" s="19" t="str">
        <f>IF(_xlfn.XLOOKUP(Sales[[#This Row],[Product Name]],Inventory[Product Name],Inventory[Sale Price],"")=0,"",_xlfn.XLOOKUP(Sales[[#This Row],[Product Name]],Inventory[Product Name],Inventory[Sale Price]))</f>
        <v/>
      </c>
      <c r="I1272" s="19" t="str">
        <f>IFERROR(G1272*H1272,"")</f>
        <v/>
      </c>
      <c r="J1272" s="19"/>
    </row>
    <row r="1273" spans="1:10" ht="21">
      <c r="A1273" s="14">
        <v>1268</v>
      </c>
      <c r="C1273" s="16"/>
      <c r="D1273" s="14" t="str">
        <f>IF(Sales[[#This Row],[Product ID]]="","",Sales[[#This Row],[Date]]&amp;Sales[[#This Row],[Invoice no]])</f>
        <v/>
      </c>
      <c r="E12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3" s="19" t="str">
        <f>IF(_xlfn.XLOOKUP(Sales[[#This Row],[Product Name]],Inventory[Product Name],Inventory[Sale Price],"")=0,"",_xlfn.XLOOKUP(Sales[[#This Row],[Product Name]],Inventory[Product Name],Inventory[Sale Price]))</f>
        <v/>
      </c>
      <c r="I1273" s="19" t="str">
        <f>IFERROR(G1273*H1273,"")</f>
        <v/>
      </c>
      <c r="J1273" s="19"/>
    </row>
    <row r="1274" spans="1:10" ht="21">
      <c r="A1274" s="14">
        <v>1269</v>
      </c>
      <c r="C1274" s="16"/>
      <c r="D1274" s="14" t="str">
        <f>IF(Sales[[#This Row],[Product ID]]="","",Sales[[#This Row],[Date]]&amp;Sales[[#This Row],[Invoice no]])</f>
        <v/>
      </c>
      <c r="E12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4" s="19" t="str">
        <f>IF(_xlfn.XLOOKUP(Sales[[#This Row],[Product Name]],Inventory[Product Name],Inventory[Sale Price],"")=0,"",_xlfn.XLOOKUP(Sales[[#This Row],[Product Name]],Inventory[Product Name],Inventory[Sale Price]))</f>
        <v/>
      </c>
      <c r="I1274" s="19" t="str">
        <f>IFERROR(G1274*H1274,"")</f>
        <v/>
      </c>
      <c r="J1274" s="19"/>
    </row>
    <row r="1275" spans="1:10" ht="21">
      <c r="A1275" s="14">
        <v>1270</v>
      </c>
      <c r="C1275" s="16"/>
      <c r="D1275" s="14" t="str">
        <f>IF(Sales[[#This Row],[Product ID]]="","",Sales[[#This Row],[Date]]&amp;Sales[[#This Row],[Invoice no]])</f>
        <v/>
      </c>
      <c r="E12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5" s="19" t="str">
        <f>IF(_xlfn.XLOOKUP(Sales[[#This Row],[Product Name]],Inventory[Product Name],Inventory[Sale Price],"")=0,"",_xlfn.XLOOKUP(Sales[[#This Row],[Product Name]],Inventory[Product Name],Inventory[Sale Price]))</f>
        <v/>
      </c>
      <c r="I1275" s="19" t="str">
        <f>IFERROR(G1275*H1275,"")</f>
        <v/>
      </c>
      <c r="J1275" s="19"/>
    </row>
    <row r="1276" spans="1:10" ht="21">
      <c r="A1276" s="14">
        <v>1271</v>
      </c>
      <c r="C1276" s="16"/>
      <c r="D1276" s="14" t="str">
        <f>IF(Sales[[#This Row],[Product ID]]="","",Sales[[#This Row],[Date]]&amp;Sales[[#This Row],[Invoice no]])</f>
        <v/>
      </c>
      <c r="E12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6" s="19" t="str">
        <f>IF(_xlfn.XLOOKUP(Sales[[#This Row],[Product Name]],Inventory[Product Name],Inventory[Sale Price],"")=0,"",_xlfn.XLOOKUP(Sales[[#This Row],[Product Name]],Inventory[Product Name],Inventory[Sale Price]))</f>
        <v/>
      </c>
      <c r="I1276" s="19" t="str">
        <f>IFERROR(G1276*H1276,"")</f>
        <v/>
      </c>
      <c r="J1276" s="19"/>
    </row>
    <row r="1277" spans="1:10" ht="21">
      <c r="A1277" s="14">
        <v>1272</v>
      </c>
      <c r="C1277" s="16"/>
      <c r="D1277" s="14" t="str">
        <f>IF(Sales[[#This Row],[Product ID]]="","",Sales[[#This Row],[Date]]&amp;Sales[[#This Row],[Invoice no]])</f>
        <v/>
      </c>
      <c r="E12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7" s="19" t="str">
        <f>IF(_xlfn.XLOOKUP(Sales[[#This Row],[Product Name]],Inventory[Product Name],Inventory[Sale Price],"")=0,"",_xlfn.XLOOKUP(Sales[[#This Row],[Product Name]],Inventory[Product Name],Inventory[Sale Price]))</f>
        <v/>
      </c>
      <c r="I1277" s="19" t="str">
        <f>IFERROR(G1277*H1277,"")</f>
        <v/>
      </c>
      <c r="J1277" s="19"/>
    </row>
    <row r="1278" spans="1:10" ht="21">
      <c r="A1278" s="14">
        <v>1273</v>
      </c>
      <c r="C1278" s="16"/>
      <c r="D1278" s="14" t="str">
        <f>IF(Sales[[#This Row],[Product ID]]="","",Sales[[#This Row],[Date]]&amp;Sales[[#This Row],[Invoice no]])</f>
        <v/>
      </c>
      <c r="E12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8" s="19" t="str">
        <f>IF(_xlfn.XLOOKUP(Sales[[#This Row],[Product Name]],Inventory[Product Name],Inventory[Sale Price],"")=0,"",_xlfn.XLOOKUP(Sales[[#This Row],[Product Name]],Inventory[Product Name],Inventory[Sale Price]))</f>
        <v/>
      </c>
      <c r="I1278" s="19" t="str">
        <f>IFERROR(G1278*H1278,"")</f>
        <v/>
      </c>
      <c r="J1278" s="19"/>
    </row>
    <row r="1279" spans="1:10" ht="21">
      <c r="A1279" s="14">
        <v>1274</v>
      </c>
      <c r="C1279" s="16"/>
      <c r="D1279" s="14" t="str">
        <f>IF(Sales[[#This Row],[Product ID]]="","",Sales[[#This Row],[Date]]&amp;Sales[[#This Row],[Invoice no]])</f>
        <v/>
      </c>
      <c r="E12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79" s="19" t="str">
        <f>IF(_xlfn.XLOOKUP(Sales[[#This Row],[Product Name]],Inventory[Product Name],Inventory[Sale Price],"")=0,"",_xlfn.XLOOKUP(Sales[[#This Row],[Product Name]],Inventory[Product Name],Inventory[Sale Price]))</f>
        <v/>
      </c>
      <c r="I1279" s="19" t="str">
        <f>IFERROR(G1279*H1279,"")</f>
        <v/>
      </c>
      <c r="J1279" s="19"/>
    </row>
    <row r="1280" spans="1:10" ht="21">
      <c r="A1280" s="14">
        <v>1275</v>
      </c>
      <c r="C1280" s="16"/>
      <c r="D1280" s="14" t="str">
        <f>IF(Sales[[#This Row],[Product ID]]="","",Sales[[#This Row],[Date]]&amp;Sales[[#This Row],[Invoice no]])</f>
        <v/>
      </c>
      <c r="E12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0" s="19" t="str">
        <f>IF(_xlfn.XLOOKUP(Sales[[#This Row],[Product Name]],Inventory[Product Name],Inventory[Sale Price],"")=0,"",_xlfn.XLOOKUP(Sales[[#This Row],[Product Name]],Inventory[Product Name],Inventory[Sale Price]))</f>
        <v/>
      </c>
      <c r="I1280" s="19" t="str">
        <f>IFERROR(G1280*H1280,"")</f>
        <v/>
      </c>
      <c r="J1280" s="19"/>
    </row>
    <row r="1281" spans="1:10" ht="21">
      <c r="A1281" s="14">
        <v>1276</v>
      </c>
      <c r="C1281" s="16"/>
      <c r="D1281" s="14" t="str">
        <f>IF(Sales[[#This Row],[Product ID]]="","",Sales[[#This Row],[Date]]&amp;Sales[[#This Row],[Invoice no]])</f>
        <v/>
      </c>
      <c r="E12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1" s="19" t="str">
        <f>IF(_xlfn.XLOOKUP(Sales[[#This Row],[Product Name]],Inventory[Product Name],Inventory[Sale Price],"")=0,"",_xlfn.XLOOKUP(Sales[[#This Row],[Product Name]],Inventory[Product Name],Inventory[Sale Price]))</f>
        <v/>
      </c>
      <c r="I1281" s="19" t="str">
        <f>IFERROR(G1281*H1281,"")</f>
        <v/>
      </c>
      <c r="J1281" s="19"/>
    </row>
    <row r="1282" spans="1:10" ht="21">
      <c r="A1282" s="14">
        <v>1277</v>
      </c>
      <c r="C1282" s="16"/>
      <c r="D1282" s="14" t="str">
        <f>IF(Sales[[#This Row],[Product ID]]="","",Sales[[#This Row],[Date]]&amp;Sales[[#This Row],[Invoice no]])</f>
        <v/>
      </c>
      <c r="E12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2" s="19" t="str">
        <f>IF(_xlfn.XLOOKUP(Sales[[#This Row],[Product Name]],Inventory[Product Name],Inventory[Sale Price],"")=0,"",_xlfn.XLOOKUP(Sales[[#This Row],[Product Name]],Inventory[Product Name],Inventory[Sale Price]))</f>
        <v/>
      </c>
      <c r="I1282" s="19" t="str">
        <f>IFERROR(G1282*H1282,"")</f>
        <v/>
      </c>
      <c r="J1282" s="19"/>
    </row>
    <row r="1283" spans="1:10" ht="21">
      <c r="A1283" s="14">
        <v>1278</v>
      </c>
      <c r="C1283" s="16"/>
      <c r="D1283" s="14" t="str">
        <f>IF(Sales[[#This Row],[Product ID]]="","",Sales[[#This Row],[Date]]&amp;Sales[[#This Row],[Invoice no]])</f>
        <v/>
      </c>
      <c r="E12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3" s="19" t="str">
        <f>IF(_xlfn.XLOOKUP(Sales[[#This Row],[Product Name]],Inventory[Product Name],Inventory[Sale Price],"")=0,"",_xlfn.XLOOKUP(Sales[[#This Row],[Product Name]],Inventory[Product Name],Inventory[Sale Price]))</f>
        <v/>
      </c>
      <c r="I1283" s="19" t="str">
        <f>IFERROR(G1283*H1283,"")</f>
        <v/>
      </c>
      <c r="J1283" s="19"/>
    </row>
    <row r="1284" spans="1:10" ht="21">
      <c r="A1284" s="14">
        <v>1279</v>
      </c>
      <c r="C1284" s="16"/>
      <c r="D1284" s="14" t="str">
        <f>IF(Sales[[#This Row],[Product ID]]="","",Sales[[#This Row],[Date]]&amp;Sales[[#This Row],[Invoice no]])</f>
        <v/>
      </c>
      <c r="E12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4" s="19" t="str">
        <f>IF(_xlfn.XLOOKUP(Sales[[#This Row],[Product Name]],Inventory[Product Name],Inventory[Sale Price],"")=0,"",_xlfn.XLOOKUP(Sales[[#This Row],[Product Name]],Inventory[Product Name],Inventory[Sale Price]))</f>
        <v/>
      </c>
      <c r="I1284" s="19" t="str">
        <f>IFERROR(G1284*H1284,"")</f>
        <v/>
      </c>
      <c r="J1284" s="19"/>
    </row>
    <row r="1285" spans="1:10" ht="21">
      <c r="A1285" s="14">
        <v>1280</v>
      </c>
      <c r="C1285" s="16"/>
      <c r="D1285" s="14" t="str">
        <f>IF(Sales[[#This Row],[Product ID]]="","",Sales[[#This Row],[Date]]&amp;Sales[[#This Row],[Invoice no]])</f>
        <v/>
      </c>
      <c r="E12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5" s="19" t="str">
        <f>IF(_xlfn.XLOOKUP(Sales[[#This Row],[Product Name]],Inventory[Product Name],Inventory[Sale Price],"")=0,"",_xlfn.XLOOKUP(Sales[[#This Row],[Product Name]],Inventory[Product Name],Inventory[Sale Price]))</f>
        <v/>
      </c>
      <c r="I1285" s="19" t="str">
        <f>IFERROR(G1285*H1285,"")</f>
        <v/>
      </c>
      <c r="J1285" s="19"/>
    </row>
    <row r="1286" spans="1:10" ht="21">
      <c r="A1286" s="14">
        <v>1281</v>
      </c>
      <c r="C1286" s="16"/>
      <c r="D1286" s="14" t="str">
        <f>IF(Sales[[#This Row],[Product ID]]="","",Sales[[#This Row],[Date]]&amp;Sales[[#This Row],[Invoice no]])</f>
        <v/>
      </c>
      <c r="E12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6" s="19" t="str">
        <f>IF(_xlfn.XLOOKUP(Sales[[#This Row],[Product Name]],Inventory[Product Name],Inventory[Sale Price],"")=0,"",_xlfn.XLOOKUP(Sales[[#This Row],[Product Name]],Inventory[Product Name],Inventory[Sale Price]))</f>
        <v/>
      </c>
      <c r="I1286" s="19" t="str">
        <f>IFERROR(G1286*H1286,"")</f>
        <v/>
      </c>
      <c r="J1286" s="19"/>
    </row>
    <row r="1287" spans="1:10" ht="21">
      <c r="A1287" s="14">
        <v>1282</v>
      </c>
      <c r="C1287" s="16"/>
      <c r="D1287" s="14" t="str">
        <f>IF(Sales[[#This Row],[Product ID]]="","",Sales[[#This Row],[Date]]&amp;Sales[[#This Row],[Invoice no]])</f>
        <v/>
      </c>
      <c r="E12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7" s="19" t="str">
        <f>IF(_xlfn.XLOOKUP(Sales[[#This Row],[Product Name]],Inventory[Product Name],Inventory[Sale Price],"")=0,"",_xlfn.XLOOKUP(Sales[[#This Row],[Product Name]],Inventory[Product Name],Inventory[Sale Price]))</f>
        <v/>
      </c>
      <c r="I1287" s="19" t="str">
        <f>IFERROR(G1287*H1287,"")</f>
        <v/>
      </c>
      <c r="J1287" s="19"/>
    </row>
    <row r="1288" spans="1:10" ht="21">
      <c r="A1288" s="14">
        <v>1283</v>
      </c>
      <c r="C1288" s="16"/>
      <c r="D1288" s="14" t="str">
        <f>IF(Sales[[#This Row],[Product ID]]="","",Sales[[#This Row],[Date]]&amp;Sales[[#This Row],[Invoice no]])</f>
        <v/>
      </c>
      <c r="E12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8" s="19" t="str">
        <f>IF(_xlfn.XLOOKUP(Sales[[#This Row],[Product Name]],Inventory[Product Name],Inventory[Sale Price],"")=0,"",_xlfn.XLOOKUP(Sales[[#This Row],[Product Name]],Inventory[Product Name],Inventory[Sale Price]))</f>
        <v/>
      </c>
      <c r="I1288" s="19" t="str">
        <f>IFERROR(G1288*H1288,"")</f>
        <v/>
      </c>
      <c r="J1288" s="19"/>
    </row>
    <row r="1289" spans="1:10" ht="21">
      <c r="A1289" s="14">
        <v>1284</v>
      </c>
      <c r="C1289" s="16"/>
      <c r="D1289" s="14" t="str">
        <f>IF(Sales[[#This Row],[Product ID]]="","",Sales[[#This Row],[Date]]&amp;Sales[[#This Row],[Invoice no]])</f>
        <v/>
      </c>
      <c r="E12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89" s="19" t="str">
        <f>IF(_xlfn.XLOOKUP(Sales[[#This Row],[Product Name]],Inventory[Product Name],Inventory[Sale Price],"")=0,"",_xlfn.XLOOKUP(Sales[[#This Row],[Product Name]],Inventory[Product Name],Inventory[Sale Price]))</f>
        <v/>
      </c>
      <c r="I1289" s="19" t="str">
        <f>IFERROR(G1289*H1289,"")</f>
        <v/>
      </c>
      <c r="J1289" s="19"/>
    </row>
    <row r="1290" spans="1:10" ht="21">
      <c r="A1290" s="14">
        <v>1285</v>
      </c>
      <c r="C1290" s="16"/>
      <c r="D1290" s="14" t="str">
        <f>IF(Sales[[#This Row],[Product ID]]="","",Sales[[#This Row],[Date]]&amp;Sales[[#This Row],[Invoice no]])</f>
        <v/>
      </c>
      <c r="E12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0" s="19" t="str">
        <f>IF(_xlfn.XLOOKUP(Sales[[#This Row],[Product Name]],Inventory[Product Name],Inventory[Sale Price],"")=0,"",_xlfn.XLOOKUP(Sales[[#This Row],[Product Name]],Inventory[Product Name],Inventory[Sale Price]))</f>
        <v/>
      </c>
      <c r="I1290" s="19" t="str">
        <f>IFERROR(G1290*H1290,"")</f>
        <v/>
      </c>
      <c r="J1290" s="19"/>
    </row>
    <row r="1291" spans="1:10" ht="21">
      <c r="A1291" s="14">
        <v>1286</v>
      </c>
      <c r="C1291" s="16"/>
      <c r="D1291" s="14" t="str">
        <f>IF(Sales[[#This Row],[Product ID]]="","",Sales[[#This Row],[Date]]&amp;Sales[[#This Row],[Invoice no]])</f>
        <v/>
      </c>
      <c r="E12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1" s="19" t="str">
        <f>IF(_xlfn.XLOOKUP(Sales[[#This Row],[Product Name]],Inventory[Product Name],Inventory[Sale Price],"")=0,"",_xlfn.XLOOKUP(Sales[[#This Row],[Product Name]],Inventory[Product Name],Inventory[Sale Price]))</f>
        <v/>
      </c>
      <c r="I1291" s="19" t="str">
        <f>IFERROR(G1291*H1291,"")</f>
        <v/>
      </c>
      <c r="J1291" s="19"/>
    </row>
    <row r="1292" spans="1:10" ht="21">
      <c r="A1292" s="14">
        <v>1287</v>
      </c>
      <c r="C1292" s="16"/>
      <c r="D1292" s="14" t="str">
        <f>IF(Sales[[#This Row],[Product ID]]="","",Sales[[#This Row],[Date]]&amp;Sales[[#This Row],[Invoice no]])</f>
        <v/>
      </c>
      <c r="E12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2" s="19" t="str">
        <f>IF(_xlfn.XLOOKUP(Sales[[#This Row],[Product Name]],Inventory[Product Name],Inventory[Sale Price],"")=0,"",_xlfn.XLOOKUP(Sales[[#This Row],[Product Name]],Inventory[Product Name],Inventory[Sale Price]))</f>
        <v/>
      </c>
      <c r="I1292" s="19" t="str">
        <f>IFERROR(G1292*H1292,"")</f>
        <v/>
      </c>
      <c r="J1292" s="19"/>
    </row>
    <row r="1293" spans="1:10" ht="21">
      <c r="A1293" s="14">
        <v>1288</v>
      </c>
      <c r="C1293" s="16"/>
      <c r="D1293" s="14" t="str">
        <f>IF(Sales[[#This Row],[Product ID]]="","",Sales[[#This Row],[Date]]&amp;Sales[[#This Row],[Invoice no]])</f>
        <v/>
      </c>
      <c r="E12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3" s="19" t="str">
        <f>IF(_xlfn.XLOOKUP(Sales[[#This Row],[Product Name]],Inventory[Product Name],Inventory[Sale Price],"")=0,"",_xlfn.XLOOKUP(Sales[[#This Row],[Product Name]],Inventory[Product Name],Inventory[Sale Price]))</f>
        <v/>
      </c>
      <c r="I1293" s="19" t="str">
        <f>IFERROR(G1293*H1293,"")</f>
        <v/>
      </c>
      <c r="J1293" s="19"/>
    </row>
    <row r="1294" spans="1:10" ht="21">
      <c r="A1294" s="14">
        <v>1289</v>
      </c>
      <c r="C1294" s="16"/>
      <c r="D1294" s="14" t="str">
        <f>IF(Sales[[#This Row],[Product ID]]="","",Sales[[#This Row],[Date]]&amp;Sales[[#This Row],[Invoice no]])</f>
        <v/>
      </c>
      <c r="E12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4" s="19" t="str">
        <f>IF(_xlfn.XLOOKUP(Sales[[#This Row],[Product Name]],Inventory[Product Name],Inventory[Sale Price],"")=0,"",_xlfn.XLOOKUP(Sales[[#This Row],[Product Name]],Inventory[Product Name],Inventory[Sale Price]))</f>
        <v/>
      </c>
      <c r="I1294" s="19" t="str">
        <f>IFERROR(G1294*H1294,"")</f>
        <v/>
      </c>
      <c r="J1294" s="19"/>
    </row>
    <row r="1295" spans="1:10" ht="21">
      <c r="A1295" s="14">
        <v>1290</v>
      </c>
      <c r="C1295" s="16"/>
      <c r="D1295" s="14" t="str">
        <f>IF(Sales[[#This Row],[Product ID]]="","",Sales[[#This Row],[Date]]&amp;Sales[[#This Row],[Invoice no]])</f>
        <v/>
      </c>
      <c r="E12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5" s="19" t="str">
        <f>IF(_xlfn.XLOOKUP(Sales[[#This Row],[Product Name]],Inventory[Product Name],Inventory[Sale Price],"")=0,"",_xlfn.XLOOKUP(Sales[[#This Row],[Product Name]],Inventory[Product Name],Inventory[Sale Price]))</f>
        <v/>
      </c>
      <c r="I1295" s="19" t="str">
        <f>IFERROR(G1295*H1295,"")</f>
        <v/>
      </c>
      <c r="J1295" s="19"/>
    </row>
    <row r="1296" spans="1:10" ht="21">
      <c r="A1296" s="14">
        <v>1291</v>
      </c>
      <c r="C1296" s="16"/>
      <c r="D1296" s="14" t="str">
        <f>IF(Sales[[#This Row],[Product ID]]="","",Sales[[#This Row],[Date]]&amp;Sales[[#This Row],[Invoice no]])</f>
        <v/>
      </c>
      <c r="E12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6" s="19" t="str">
        <f>IF(_xlfn.XLOOKUP(Sales[[#This Row],[Product Name]],Inventory[Product Name],Inventory[Sale Price],"")=0,"",_xlfn.XLOOKUP(Sales[[#This Row],[Product Name]],Inventory[Product Name],Inventory[Sale Price]))</f>
        <v/>
      </c>
      <c r="I1296" s="19" t="str">
        <f>IFERROR(G1296*H1296,"")</f>
        <v/>
      </c>
      <c r="J1296" s="19"/>
    </row>
    <row r="1297" spans="1:10" ht="21">
      <c r="A1297" s="14">
        <v>1292</v>
      </c>
      <c r="C1297" s="16"/>
      <c r="D1297" s="14" t="str">
        <f>IF(Sales[[#This Row],[Product ID]]="","",Sales[[#This Row],[Date]]&amp;Sales[[#This Row],[Invoice no]])</f>
        <v/>
      </c>
      <c r="E12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7" s="19" t="str">
        <f>IF(_xlfn.XLOOKUP(Sales[[#This Row],[Product Name]],Inventory[Product Name],Inventory[Sale Price],"")=0,"",_xlfn.XLOOKUP(Sales[[#This Row],[Product Name]],Inventory[Product Name],Inventory[Sale Price]))</f>
        <v/>
      </c>
      <c r="I1297" s="19" t="str">
        <f>IFERROR(G1297*H1297,"")</f>
        <v/>
      </c>
      <c r="J1297" s="19"/>
    </row>
    <row r="1298" spans="1:10" ht="21">
      <c r="A1298" s="14">
        <v>1293</v>
      </c>
      <c r="C1298" s="16"/>
      <c r="D1298" s="14" t="str">
        <f>IF(Sales[[#This Row],[Product ID]]="","",Sales[[#This Row],[Date]]&amp;Sales[[#This Row],[Invoice no]])</f>
        <v/>
      </c>
      <c r="E12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8" s="19" t="str">
        <f>IF(_xlfn.XLOOKUP(Sales[[#This Row],[Product Name]],Inventory[Product Name],Inventory[Sale Price],"")=0,"",_xlfn.XLOOKUP(Sales[[#This Row],[Product Name]],Inventory[Product Name],Inventory[Sale Price]))</f>
        <v/>
      </c>
      <c r="I1298" s="19" t="str">
        <f>IFERROR(G1298*H1298,"")</f>
        <v/>
      </c>
      <c r="J1298" s="19"/>
    </row>
    <row r="1299" spans="1:10" ht="21">
      <c r="A1299" s="14">
        <v>1294</v>
      </c>
      <c r="C1299" s="16"/>
      <c r="D1299" s="14" t="str">
        <f>IF(Sales[[#This Row],[Product ID]]="","",Sales[[#This Row],[Date]]&amp;Sales[[#This Row],[Invoice no]])</f>
        <v/>
      </c>
      <c r="E12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299" s="19" t="str">
        <f>IF(_xlfn.XLOOKUP(Sales[[#This Row],[Product Name]],Inventory[Product Name],Inventory[Sale Price],"")=0,"",_xlfn.XLOOKUP(Sales[[#This Row],[Product Name]],Inventory[Product Name],Inventory[Sale Price]))</f>
        <v/>
      </c>
      <c r="I1299" s="19" t="str">
        <f>IFERROR(G1299*H1299,"")</f>
        <v/>
      </c>
      <c r="J1299" s="19"/>
    </row>
    <row r="1300" spans="1:10" ht="21">
      <c r="A1300" s="14">
        <v>1295</v>
      </c>
      <c r="C1300" s="16"/>
      <c r="D1300" s="14" t="str">
        <f>IF(Sales[[#This Row],[Product ID]]="","",Sales[[#This Row],[Date]]&amp;Sales[[#This Row],[Invoice no]])</f>
        <v/>
      </c>
      <c r="E13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0" s="19" t="str">
        <f>IF(_xlfn.XLOOKUP(Sales[[#This Row],[Product Name]],Inventory[Product Name],Inventory[Sale Price],"")=0,"",_xlfn.XLOOKUP(Sales[[#This Row],[Product Name]],Inventory[Product Name],Inventory[Sale Price]))</f>
        <v/>
      </c>
      <c r="I1300" s="19" t="str">
        <f>IFERROR(G1300*H1300,"")</f>
        <v/>
      </c>
      <c r="J1300" s="19"/>
    </row>
    <row r="1301" spans="1:10" ht="21">
      <c r="A1301" s="14">
        <v>1296</v>
      </c>
      <c r="C1301" s="16"/>
      <c r="D1301" s="14" t="str">
        <f>IF(Sales[[#This Row],[Product ID]]="","",Sales[[#This Row],[Date]]&amp;Sales[[#This Row],[Invoice no]])</f>
        <v/>
      </c>
      <c r="E13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1" s="19" t="str">
        <f>IF(_xlfn.XLOOKUP(Sales[[#This Row],[Product Name]],Inventory[Product Name],Inventory[Sale Price],"")=0,"",_xlfn.XLOOKUP(Sales[[#This Row],[Product Name]],Inventory[Product Name],Inventory[Sale Price]))</f>
        <v/>
      </c>
      <c r="I1301" s="19" t="str">
        <f>IFERROR(G1301*H1301,"")</f>
        <v/>
      </c>
      <c r="J1301" s="19"/>
    </row>
    <row r="1302" spans="1:10" ht="21">
      <c r="A1302" s="14">
        <v>1297</v>
      </c>
      <c r="C1302" s="16"/>
      <c r="D1302" s="14" t="str">
        <f>IF(Sales[[#This Row],[Product ID]]="","",Sales[[#This Row],[Date]]&amp;Sales[[#This Row],[Invoice no]])</f>
        <v/>
      </c>
      <c r="E13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2" s="19" t="str">
        <f>IF(_xlfn.XLOOKUP(Sales[[#This Row],[Product Name]],Inventory[Product Name],Inventory[Sale Price],"")=0,"",_xlfn.XLOOKUP(Sales[[#This Row],[Product Name]],Inventory[Product Name],Inventory[Sale Price]))</f>
        <v/>
      </c>
      <c r="I1302" s="19" t="str">
        <f>IFERROR(G1302*H1302,"")</f>
        <v/>
      </c>
      <c r="J1302" s="19"/>
    </row>
    <row r="1303" spans="1:10" ht="21">
      <c r="A1303" s="14">
        <v>1298</v>
      </c>
      <c r="C1303" s="16"/>
      <c r="D1303" s="14" t="str">
        <f>IF(Sales[[#This Row],[Product ID]]="","",Sales[[#This Row],[Date]]&amp;Sales[[#This Row],[Invoice no]])</f>
        <v/>
      </c>
      <c r="E13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3" s="19" t="str">
        <f>IF(_xlfn.XLOOKUP(Sales[[#This Row],[Product Name]],Inventory[Product Name],Inventory[Sale Price],"")=0,"",_xlfn.XLOOKUP(Sales[[#This Row],[Product Name]],Inventory[Product Name],Inventory[Sale Price]))</f>
        <v/>
      </c>
      <c r="I1303" s="19" t="str">
        <f>IFERROR(G1303*H1303,"")</f>
        <v/>
      </c>
      <c r="J1303" s="19"/>
    </row>
    <row r="1304" spans="1:10" ht="21">
      <c r="A1304" s="14">
        <v>1299</v>
      </c>
      <c r="C1304" s="16"/>
      <c r="D1304" s="14" t="str">
        <f>IF(Sales[[#This Row],[Product ID]]="","",Sales[[#This Row],[Date]]&amp;Sales[[#This Row],[Invoice no]])</f>
        <v/>
      </c>
      <c r="E13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4" s="19" t="str">
        <f>IF(_xlfn.XLOOKUP(Sales[[#This Row],[Product Name]],Inventory[Product Name],Inventory[Sale Price],"")=0,"",_xlfn.XLOOKUP(Sales[[#This Row],[Product Name]],Inventory[Product Name],Inventory[Sale Price]))</f>
        <v/>
      </c>
      <c r="I1304" s="19" t="str">
        <f>IFERROR(G1304*H1304,"")</f>
        <v/>
      </c>
      <c r="J1304" s="19"/>
    </row>
    <row r="1305" spans="1:10" ht="21">
      <c r="A1305" s="14">
        <v>1300</v>
      </c>
      <c r="C1305" s="16"/>
      <c r="D1305" s="14" t="str">
        <f>IF(Sales[[#This Row],[Product ID]]="","",Sales[[#This Row],[Date]]&amp;Sales[[#This Row],[Invoice no]])</f>
        <v/>
      </c>
      <c r="E13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5" s="19" t="str">
        <f>IF(_xlfn.XLOOKUP(Sales[[#This Row],[Product Name]],Inventory[Product Name],Inventory[Sale Price],"")=0,"",_xlfn.XLOOKUP(Sales[[#This Row],[Product Name]],Inventory[Product Name],Inventory[Sale Price]))</f>
        <v/>
      </c>
      <c r="I1305" s="19" t="str">
        <f>IFERROR(G1305*H1305,"")</f>
        <v/>
      </c>
      <c r="J1305" s="19"/>
    </row>
    <row r="1306" spans="1:10" ht="21">
      <c r="A1306" s="14">
        <v>1301</v>
      </c>
      <c r="C1306" s="16"/>
      <c r="D1306" s="14" t="str">
        <f>IF(Sales[[#This Row],[Product ID]]="","",Sales[[#This Row],[Date]]&amp;Sales[[#This Row],[Invoice no]])</f>
        <v/>
      </c>
      <c r="E13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6" s="19" t="str">
        <f>IF(_xlfn.XLOOKUP(Sales[[#This Row],[Product Name]],Inventory[Product Name],Inventory[Sale Price],"")=0,"",_xlfn.XLOOKUP(Sales[[#This Row],[Product Name]],Inventory[Product Name],Inventory[Sale Price]))</f>
        <v/>
      </c>
      <c r="I1306" s="19" t="str">
        <f>IFERROR(G1306*H1306,"")</f>
        <v/>
      </c>
      <c r="J1306" s="19"/>
    </row>
    <row r="1307" spans="1:10" ht="21">
      <c r="A1307" s="14">
        <v>1302</v>
      </c>
      <c r="C1307" s="16"/>
      <c r="D1307" s="14" t="str">
        <f>IF(Sales[[#This Row],[Product ID]]="","",Sales[[#This Row],[Date]]&amp;Sales[[#This Row],[Invoice no]])</f>
        <v/>
      </c>
      <c r="E13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7" s="19" t="str">
        <f>IF(_xlfn.XLOOKUP(Sales[[#This Row],[Product Name]],Inventory[Product Name],Inventory[Sale Price],"")=0,"",_xlfn.XLOOKUP(Sales[[#This Row],[Product Name]],Inventory[Product Name],Inventory[Sale Price]))</f>
        <v/>
      </c>
      <c r="I1307" s="19" t="str">
        <f>IFERROR(G1307*H1307,"")</f>
        <v/>
      </c>
      <c r="J1307" s="19"/>
    </row>
    <row r="1308" spans="1:10" ht="21">
      <c r="A1308" s="14">
        <v>1303</v>
      </c>
      <c r="C1308" s="16"/>
      <c r="D1308" s="14" t="str">
        <f>IF(Sales[[#This Row],[Product ID]]="","",Sales[[#This Row],[Date]]&amp;Sales[[#This Row],[Invoice no]])</f>
        <v/>
      </c>
      <c r="E13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8" s="19" t="str">
        <f>IF(_xlfn.XLOOKUP(Sales[[#This Row],[Product Name]],Inventory[Product Name],Inventory[Sale Price],"")=0,"",_xlfn.XLOOKUP(Sales[[#This Row],[Product Name]],Inventory[Product Name],Inventory[Sale Price]))</f>
        <v/>
      </c>
      <c r="I1308" s="19" t="str">
        <f>IFERROR(G1308*H1308,"")</f>
        <v/>
      </c>
      <c r="J1308" s="19"/>
    </row>
    <row r="1309" spans="1:10" ht="21">
      <c r="A1309" s="14">
        <v>1304</v>
      </c>
      <c r="C1309" s="16"/>
      <c r="D1309" s="14" t="str">
        <f>IF(Sales[[#This Row],[Product ID]]="","",Sales[[#This Row],[Date]]&amp;Sales[[#This Row],[Invoice no]])</f>
        <v/>
      </c>
      <c r="E13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09" s="19" t="str">
        <f>IF(_xlfn.XLOOKUP(Sales[[#This Row],[Product Name]],Inventory[Product Name],Inventory[Sale Price],"")=0,"",_xlfn.XLOOKUP(Sales[[#This Row],[Product Name]],Inventory[Product Name],Inventory[Sale Price]))</f>
        <v/>
      </c>
      <c r="I1309" s="19" t="str">
        <f>IFERROR(G1309*H1309,"")</f>
        <v/>
      </c>
      <c r="J1309" s="19"/>
    </row>
    <row r="1310" spans="1:10" ht="21">
      <c r="A1310" s="14">
        <v>1305</v>
      </c>
      <c r="C1310" s="16"/>
      <c r="D1310" s="14" t="str">
        <f>IF(Sales[[#This Row],[Product ID]]="","",Sales[[#This Row],[Date]]&amp;Sales[[#This Row],[Invoice no]])</f>
        <v/>
      </c>
      <c r="E13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0" s="19" t="str">
        <f>IF(_xlfn.XLOOKUP(Sales[[#This Row],[Product Name]],Inventory[Product Name],Inventory[Sale Price],"")=0,"",_xlfn.XLOOKUP(Sales[[#This Row],[Product Name]],Inventory[Product Name],Inventory[Sale Price]))</f>
        <v/>
      </c>
      <c r="I1310" s="19" t="str">
        <f>IFERROR(G1310*H1310,"")</f>
        <v/>
      </c>
      <c r="J1310" s="19"/>
    </row>
    <row r="1311" spans="1:10" ht="21">
      <c r="A1311" s="14">
        <v>1306</v>
      </c>
      <c r="C1311" s="16"/>
      <c r="D1311" s="14" t="str">
        <f>IF(Sales[[#This Row],[Product ID]]="","",Sales[[#This Row],[Date]]&amp;Sales[[#This Row],[Invoice no]])</f>
        <v/>
      </c>
      <c r="E13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1" s="19" t="str">
        <f>IF(_xlfn.XLOOKUP(Sales[[#This Row],[Product Name]],Inventory[Product Name],Inventory[Sale Price],"")=0,"",_xlfn.XLOOKUP(Sales[[#This Row],[Product Name]],Inventory[Product Name],Inventory[Sale Price]))</f>
        <v/>
      </c>
      <c r="I1311" s="19" t="str">
        <f>IFERROR(G1311*H1311,"")</f>
        <v/>
      </c>
      <c r="J1311" s="19"/>
    </row>
    <row r="1312" spans="1:10" ht="21">
      <c r="A1312" s="14">
        <v>1307</v>
      </c>
      <c r="C1312" s="16"/>
      <c r="D1312" s="14" t="str">
        <f>IF(Sales[[#This Row],[Product ID]]="","",Sales[[#This Row],[Date]]&amp;Sales[[#This Row],[Invoice no]])</f>
        <v/>
      </c>
      <c r="E13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2" s="19" t="str">
        <f>IF(_xlfn.XLOOKUP(Sales[[#This Row],[Product Name]],Inventory[Product Name],Inventory[Sale Price],"")=0,"",_xlfn.XLOOKUP(Sales[[#This Row],[Product Name]],Inventory[Product Name],Inventory[Sale Price]))</f>
        <v/>
      </c>
      <c r="I1312" s="19" t="str">
        <f>IFERROR(G1312*H1312,"")</f>
        <v/>
      </c>
      <c r="J1312" s="19"/>
    </row>
    <row r="1313" spans="1:10" ht="21">
      <c r="A1313" s="14">
        <v>1308</v>
      </c>
      <c r="C1313" s="16"/>
      <c r="D1313" s="14" t="str">
        <f>IF(Sales[[#This Row],[Product ID]]="","",Sales[[#This Row],[Date]]&amp;Sales[[#This Row],[Invoice no]])</f>
        <v/>
      </c>
      <c r="E13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3" s="19" t="str">
        <f>IF(_xlfn.XLOOKUP(Sales[[#This Row],[Product Name]],Inventory[Product Name],Inventory[Sale Price],"")=0,"",_xlfn.XLOOKUP(Sales[[#This Row],[Product Name]],Inventory[Product Name],Inventory[Sale Price]))</f>
        <v/>
      </c>
      <c r="I1313" s="19" t="str">
        <f>IFERROR(G1313*H1313,"")</f>
        <v/>
      </c>
      <c r="J1313" s="19"/>
    </row>
    <row r="1314" spans="1:10" ht="21">
      <c r="A1314" s="14">
        <v>1309</v>
      </c>
      <c r="C1314" s="16"/>
      <c r="D1314" s="14" t="str">
        <f>IF(Sales[[#This Row],[Product ID]]="","",Sales[[#This Row],[Date]]&amp;Sales[[#This Row],[Invoice no]])</f>
        <v/>
      </c>
      <c r="E13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4" s="19" t="str">
        <f>IF(_xlfn.XLOOKUP(Sales[[#This Row],[Product Name]],Inventory[Product Name],Inventory[Sale Price],"")=0,"",_xlfn.XLOOKUP(Sales[[#This Row],[Product Name]],Inventory[Product Name],Inventory[Sale Price]))</f>
        <v/>
      </c>
      <c r="I1314" s="19" t="str">
        <f>IFERROR(G1314*H1314,"")</f>
        <v/>
      </c>
      <c r="J1314" s="19"/>
    </row>
    <row r="1315" spans="1:10" ht="21">
      <c r="A1315" s="14">
        <v>1310</v>
      </c>
      <c r="C1315" s="16"/>
      <c r="D1315" s="14" t="str">
        <f>IF(Sales[[#This Row],[Product ID]]="","",Sales[[#This Row],[Date]]&amp;Sales[[#This Row],[Invoice no]])</f>
        <v/>
      </c>
      <c r="E13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5" s="19" t="str">
        <f>IF(_xlfn.XLOOKUP(Sales[[#This Row],[Product Name]],Inventory[Product Name],Inventory[Sale Price],"")=0,"",_xlfn.XLOOKUP(Sales[[#This Row],[Product Name]],Inventory[Product Name],Inventory[Sale Price]))</f>
        <v/>
      </c>
      <c r="I1315" s="19" t="str">
        <f>IFERROR(G1315*H1315,"")</f>
        <v/>
      </c>
      <c r="J1315" s="19"/>
    </row>
    <row r="1316" spans="1:10" ht="21">
      <c r="A1316" s="14">
        <v>1311</v>
      </c>
      <c r="C1316" s="16"/>
      <c r="D1316" s="14" t="str">
        <f>IF(Sales[[#This Row],[Product ID]]="","",Sales[[#This Row],[Date]]&amp;Sales[[#This Row],[Invoice no]])</f>
        <v/>
      </c>
      <c r="E13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6" s="19" t="str">
        <f>IF(_xlfn.XLOOKUP(Sales[[#This Row],[Product Name]],Inventory[Product Name],Inventory[Sale Price],"")=0,"",_xlfn.XLOOKUP(Sales[[#This Row],[Product Name]],Inventory[Product Name],Inventory[Sale Price]))</f>
        <v/>
      </c>
      <c r="I1316" s="19" t="str">
        <f>IFERROR(G1316*H1316,"")</f>
        <v/>
      </c>
      <c r="J1316" s="19"/>
    </row>
    <row r="1317" spans="1:10" ht="21">
      <c r="A1317" s="14">
        <v>1312</v>
      </c>
      <c r="C1317" s="16"/>
      <c r="D1317" s="14" t="str">
        <f>IF(Sales[[#This Row],[Product ID]]="","",Sales[[#This Row],[Date]]&amp;Sales[[#This Row],[Invoice no]])</f>
        <v/>
      </c>
      <c r="E13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7" s="19" t="str">
        <f>IF(_xlfn.XLOOKUP(Sales[[#This Row],[Product Name]],Inventory[Product Name],Inventory[Sale Price],"")=0,"",_xlfn.XLOOKUP(Sales[[#This Row],[Product Name]],Inventory[Product Name],Inventory[Sale Price]))</f>
        <v/>
      </c>
      <c r="I1317" s="19" t="str">
        <f>IFERROR(G1317*H1317,"")</f>
        <v/>
      </c>
      <c r="J1317" s="19"/>
    </row>
    <row r="1318" spans="1:10" ht="21">
      <c r="A1318" s="14">
        <v>1313</v>
      </c>
      <c r="C1318" s="16"/>
      <c r="D1318" s="14" t="str">
        <f>IF(Sales[[#This Row],[Product ID]]="","",Sales[[#This Row],[Date]]&amp;Sales[[#This Row],[Invoice no]])</f>
        <v/>
      </c>
      <c r="E13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8" s="19" t="str">
        <f>IF(_xlfn.XLOOKUP(Sales[[#This Row],[Product Name]],Inventory[Product Name],Inventory[Sale Price],"")=0,"",_xlfn.XLOOKUP(Sales[[#This Row],[Product Name]],Inventory[Product Name],Inventory[Sale Price]))</f>
        <v/>
      </c>
      <c r="I1318" s="19" t="str">
        <f>IFERROR(G1318*H1318,"")</f>
        <v/>
      </c>
      <c r="J1318" s="19"/>
    </row>
    <row r="1319" spans="1:10" ht="21">
      <c r="A1319" s="14">
        <v>1314</v>
      </c>
      <c r="C1319" s="16"/>
      <c r="D1319" s="14" t="str">
        <f>IF(Sales[[#This Row],[Product ID]]="","",Sales[[#This Row],[Date]]&amp;Sales[[#This Row],[Invoice no]])</f>
        <v/>
      </c>
      <c r="E13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19" s="19" t="str">
        <f>IF(_xlfn.XLOOKUP(Sales[[#This Row],[Product Name]],Inventory[Product Name],Inventory[Sale Price],"")=0,"",_xlfn.XLOOKUP(Sales[[#This Row],[Product Name]],Inventory[Product Name],Inventory[Sale Price]))</f>
        <v/>
      </c>
      <c r="I1319" s="19" t="str">
        <f>IFERROR(G1319*H1319,"")</f>
        <v/>
      </c>
      <c r="J1319" s="19"/>
    </row>
    <row r="1320" spans="1:10" ht="21">
      <c r="A1320" s="14">
        <v>1315</v>
      </c>
      <c r="C1320" s="16"/>
      <c r="D1320" s="14" t="str">
        <f>IF(Sales[[#This Row],[Product ID]]="","",Sales[[#This Row],[Date]]&amp;Sales[[#This Row],[Invoice no]])</f>
        <v/>
      </c>
      <c r="E13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0" s="19" t="str">
        <f>IF(_xlfn.XLOOKUP(Sales[[#This Row],[Product Name]],Inventory[Product Name],Inventory[Sale Price],"")=0,"",_xlfn.XLOOKUP(Sales[[#This Row],[Product Name]],Inventory[Product Name],Inventory[Sale Price]))</f>
        <v/>
      </c>
      <c r="I1320" s="19" t="str">
        <f>IFERROR(G1320*H1320,"")</f>
        <v/>
      </c>
      <c r="J1320" s="19"/>
    </row>
    <row r="1321" spans="1:10" ht="21">
      <c r="A1321" s="14">
        <v>1316</v>
      </c>
      <c r="C1321" s="16"/>
      <c r="D1321" s="14" t="str">
        <f>IF(Sales[[#This Row],[Product ID]]="","",Sales[[#This Row],[Date]]&amp;Sales[[#This Row],[Invoice no]])</f>
        <v/>
      </c>
      <c r="E13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1" s="19" t="str">
        <f>IF(_xlfn.XLOOKUP(Sales[[#This Row],[Product Name]],Inventory[Product Name],Inventory[Sale Price],"")=0,"",_xlfn.XLOOKUP(Sales[[#This Row],[Product Name]],Inventory[Product Name],Inventory[Sale Price]))</f>
        <v/>
      </c>
      <c r="I1321" s="19" t="str">
        <f>IFERROR(G1321*H1321,"")</f>
        <v/>
      </c>
      <c r="J1321" s="19"/>
    </row>
    <row r="1322" spans="1:10" ht="21">
      <c r="A1322" s="14">
        <v>1317</v>
      </c>
      <c r="C1322" s="16"/>
      <c r="D1322" s="14" t="str">
        <f>IF(Sales[[#This Row],[Product ID]]="","",Sales[[#This Row],[Date]]&amp;Sales[[#This Row],[Invoice no]])</f>
        <v/>
      </c>
      <c r="E13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2" s="19" t="str">
        <f>IF(_xlfn.XLOOKUP(Sales[[#This Row],[Product Name]],Inventory[Product Name],Inventory[Sale Price],"")=0,"",_xlfn.XLOOKUP(Sales[[#This Row],[Product Name]],Inventory[Product Name],Inventory[Sale Price]))</f>
        <v/>
      </c>
      <c r="I1322" s="19" t="str">
        <f>IFERROR(G1322*H1322,"")</f>
        <v/>
      </c>
      <c r="J1322" s="19"/>
    </row>
    <row r="1323" spans="1:10" ht="21">
      <c r="A1323" s="14">
        <v>1318</v>
      </c>
      <c r="C1323" s="16"/>
      <c r="D1323" s="14" t="str">
        <f>IF(Sales[[#This Row],[Product ID]]="","",Sales[[#This Row],[Date]]&amp;Sales[[#This Row],[Invoice no]])</f>
        <v/>
      </c>
      <c r="E13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3" s="19" t="str">
        <f>IF(_xlfn.XLOOKUP(Sales[[#This Row],[Product Name]],Inventory[Product Name],Inventory[Sale Price],"")=0,"",_xlfn.XLOOKUP(Sales[[#This Row],[Product Name]],Inventory[Product Name],Inventory[Sale Price]))</f>
        <v/>
      </c>
      <c r="I1323" s="19" t="str">
        <f>IFERROR(G1323*H1323,"")</f>
        <v/>
      </c>
      <c r="J1323" s="19"/>
    </row>
    <row r="1324" spans="1:10" ht="21">
      <c r="A1324" s="14">
        <v>1319</v>
      </c>
      <c r="C1324" s="16"/>
      <c r="D1324" s="14" t="str">
        <f>IF(Sales[[#This Row],[Product ID]]="","",Sales[[#This Row],[Date]]&amp;Sales[[#This Row],[Invoice no]])</f>
        <v/>
      </c>
      <c r="E13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4" s="19" t="str">
        <f>IF(_xlfn.XLOOKUP(Sales[[#This Row],[Product Name]],Inventory[Product Name],Inventory[Sale Price],"")=0,"",_xlfn.XLOOKUP(Sales[[#This Row],[Product Name]],Inventory[Product Name],Inventory[Sale Price]))</f>
        <v/>
      </c>
      <c r="I1324" s="19" t="str">
        <f>IFERROR(G1324*H1324,"")</f>
        <v/>
      </c>
      <c r="J1324" s="19"/>
    </row>
    <row r="1325" spans="1:10" ht="21">
      <c r="A1325" s="14">
        <v>1320</v>
      </c>
      <c r="C1325" s="16"/>
      <c r="D1325" s="14" t="str">
        <f>IF(Sales[[#This Row],[Product ID]]="","",Sales[[#This Row],[Date]]&amp;Sales[[#This Row],[Invoice no]])</f>
        <v/>
      </c>
      <c r="E13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5" s="19" t="str">
        <f>IF(_xlfn.XLOOKUP(Sales[[#This Row],[Product Name]],Inventory[Product Name],Inventory[Sale Price],"")=0,"",_xlfn.XLOOKUP(Sales[[#This Row],[Product Name]],Inventory[Product Name],Inventory[Sale Price]))</f>
        <v/>
      </c>
      <c r="I1325" s="19" t="str">
        <f>IFERROR(G1325*H1325,"")</f>
        <v/>
      </c>
      <c r="J1325" s="19"/>
    </row>
    <row r="1326" spans="1:10" ht="21">
      <c r="A1326" s="14">
        <v>1321</v>
      </c>
      <c r="C1326" s="16"/>
      <c r="D1326" s="14" t="str">
        <f>IF(Sales[[#This Row],[Product ID]]="","",Sales[[#This Row],[Date]]&amp;Sales[[#This Row],[Invoice no]])</f>
        <v/>
      </c>
      <c r="E13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6" s="19" t="str">
        <f>IF(_xlfn.XLOOKUP(Sales[[#This Row],[Product Name]],Inventory[Product Name],Inventory[Sale Price],"")=0,"",_xlfn.XLOOKUP(Sales[[#This Row],[Product Name]],Inventory[Product Name],Inventory[Sale Price]))</f>
        <v/>
      </c>
      <c r="I1326" s="19" t="str">
        <f>IFERROR(G1326*H1326,"")</f>
        <v/>
      </c>
      <c r="J1326" s="19"/>
    </row>
    <row r="1327" spans="1:10" ht="21">
      <c r="A1327" s="14">
        <v>1322</v>
      </c>
      <c r="C1327" s="16"/>
      <c r="D1327" s="14" t="str">
        <f>IF(Sales[[#This Row],[Product ID]]="","",Sales[[#This Row],[Date]]&amp;Sales[[#This Row],[Invoice no]])</f>
        <v/>
      </c>
      <c r="E13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7" s="19" t="str">
        <f>IF(_xlfn.XLOOKUP(Sales[[#This Row],[Product Name]],Inventory[Product Name],Inventory[Sale Price],"")=0,"",_xlfn.XLOOKUP(Sales[[#This Row],[Product Name]],Inventory[Product Name],Inventory[Sale Price]))</f>
        <v/>
      </c>
      <c r="I1327" s="19" t="str">
        <f>IFERROR(G1327*H1327,"")</f>
        <v/>
      </c>
      <c r="J1327" s="19"/>
    </row>
    <row r="1328" spans="1:10" ht="21">
      <c r="A1328" s="14">
        <v>1323</v>
      </c>
      <c r="C1328" s="16"/>
      <c r="D1328" s="14" t="str">
        <f>IF(Sales[[#This Row],[Product ID]]="","",Sales[[#This Row],[Date]]&amp;Sales[[#This Row],[Invoice no]])</f>
        <v/>
      </c>
      <c r="E13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8" s="19" t="str">
        <f>IF(_xlfn.XLOOKUP(Sales[[#This Row],[Product Name]],Inventory[Product Name],Inventory[Sale Price],"")=0,"",_xlfn.XLOOKUP(Sales[[#This Row],[Product Name]],Inventory[Product Name],Inventory[Sale Price]))</f>
        <v/>
      </c>
      <c r="I1328" s="19" t="str">
        <f>IFERROR(G1328*H1328,"")</f>
        <v/>
      </c>
      <c r="J1328" s="19"/>
    </row>
    <row r="1329" spans="1:10" ht="21">
      <c r="A1329" s="14">
        <v>1324</v>
      </c>
      <c r="C1329" s="16"/>
      <c r="D1329" s="14" t="str">
        <f>IF(Sales[[#This Row],[Product ID]]="","",Sales[[#This Row],[Date]]&amp;Sales[[#This Row],[Invoice no]])</f>
        <v/>
      </c>
      <c r="E13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29" s="19" t="str">
        <f>IF(_xlfn.XLOOKUP(Sales[[#This Row],[Product Name]],Inventory[Product Name],Inventory[Sale Price],"")=0,"",_xlfn.XLOOKUP(Sales[[#This Row],[Product Name]],Inventory[Product Name],Inventory[Sale Price]))</f>
        <v/>
      </c>
      <c r="I1329" s="19" t="str">
        <f>IFERROR(G1329*H1329,"")</f>
        <v/>
      </c>
      <c r="J1329" s="19"/>
    </row>
    <row r="1330" spans="1:10" ht="21">
      <c r="A1330" s="14">
        <v>1325</v>
      </c>
      <c r="C1330" s="16"/>
      <c r="D1330" s="14" t="str">
        <f>IF(Sales[[#This Row],[Product ID]]="","",Sales[[#This Row],[Date]]&amp;Sales[[#This Row],[Invoice no]])</f>
        <v/>
      </c>
      <c r="E13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0" s="19" t="str">
        <f>IF(_xlfn.XLOOKUP(Sales[[#This Row],[Product Name]],Inventory[Product Name],Inventory[Sale Price],"")=0,"",_xlfn.XLOOKUP(Sales[[#This Row],[Product Name]],Inventory[Product Name],Inventory[Sale Price]))</f>
        <v/>
      </c>
      <c r="I1330" s="19" t="str">
        <f>IFERROR(G1330*H1330,"")</f>
        <v/>
      </c>
      <c r="J1330" s="19"/>
    </row>
    <row r="1331" spans="1:10" ht="21">
      <c r="A1331" s="14">
        <v>1326</v>
      </c>
      <c r="C1331" s="16"/>
      <c r="D1331" s="14" t="str">
        <f>IF(Sales[[#This Row],[Product ID]]="","",Sales[[#This Row],[Date]]&amp;Sales[[#This Row],[Invoice no]])</f>
        <v/>
      </c>
      <c r="E13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1" s="19" t="str">
        <f>IF(_xlfn.XLOOKUP(Sales[[#This Row],[Product Name]],Inventory[Product Name],Inventory[Sale Price],"")=0,"",_xlfn.XLOOKUP(Sales[[#This Row],[Product Name]],Inventory[Product Name],Inventory[Sale Price]))</f>
        <v/>
      </c>
      <c r="I1331" s="19" t="str">
        <f>IFERROR(G1331*H1331,"")</f>
        <v/>
      </c>
      <c r="J1331" s="19"/>
    </row>
    <row r="1332" spans="1:10" ht="21">
      <c r="A1332" s="14">
        <v>1327</v>
      </c>
      <c r="C1332" s="16"/>
      <c r="D1332" s="14" t="str">
        <f>IF(Sales[[#This Row],[Product ID]]="","",Sales[[#This Row],[Date]]&amp;Sales[[#This Row],[Invoice no]])</f>
        <v/>
      </c>
      <c r="E13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2" s="19" t="str">
        <f>IF(_xlfn.XLOOKUP(Sales[[#This Row],[Product Name]],Inventory[Product Name],Inventory[Sale Price],"")=0,"",_xlfn.XLOOKUP(Sales[[#This Row],[Product Name]],Inventory[Product Name],Inventory[Sale Price]))</f>
        <v/>
      </c>
      <c r="I1332" s="19" t="str">
        <f>IFERROR(G1332*H1332,"")</f>
        <v/>
      </c>
      <c r="J1332" s="19"/>
    </row>
    <row r="1333" spans="1:10" ht="21">
      <c r="A1333" s="14">
        <v>1328</v>
      </c>
      <c r="C1333" s="16"/>
      <c r="D1333" s="14" t="str">
        <f>IF(Sales[[#This Row],[Product ID]]="","",Sales[[#This Row],[Date]]&amp;Sales[[#This Row],[Invoice no]])</f>
        <v/>
      </c>
      <c r="E13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3" s="19" t="str">
        <f>IF(_xlfn.XLOOKUP(Sales[[#This Row],[Product Name]],Inventory[Product Name],Inventory[Sale Price],"")=0,"",_xlfn.XLOOKUP(Sales[[#This Row],[Product Name]],Inventory[Product Name],Inventory[Sale Price]))</f>
        <v/>
      </c>
      <c r="I1333" s="19" t="str">
        <f>IFERROR(G1333*H1333,"")</f>
        <v/>
      </c>
      <c r="J1333" s="19"/>
    </row>
    <row r="1334" spans="1:10" ht="21">
      <c r="A1334" s="14">
        <v>1329</v>
      </c>
      <c r="C1334" s="16"/>
      <c r="D1334" s="14" t="str">
        <f>IF(Sales[[#This Row],[Product ID]]="","",Sales[[#This Row],[Date]]&amp;Sales[[#This Row],[Invoice no]])</f>
        <v/>
      </c>
      <c r="E13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4" s="19" t="str">
        <f>IF(_xlfn.XLOOKUP(Sales[[#This Row],[Product Name]],Inventory[Product Name],Inventory[Sale Price],"")=0,"",_xlfn.XLOOKUP(Sales[[#This Row],[Product Name]],Inventory[Product Name],Inventory[Sale Price]))</f>
        <v/>
      </c>
      <c r="I1334" s="19" t="str">
        <f>IFERROR(G1334*H1334,"")</f>
        <v/>
      </c>
      <c r="J1334" s="19"/>
    </row>
    <row r="1335" spans="1:10" ht="21">
      <c r="A1335" s="14">
        <v>1330</v>
      </c>
      <c r="C1335" s="16"/>
      <c r="D1335" s="14" t="str">
        <f>IF(Sales[[#This Row],[Product ID]]="","",Sales[[#This Row],[Date]]&amp;Sales[[#This Row],[Invoice no]])</f>
        <v/>
      </c>
      <c r="E13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5" s="19" t="str">
        <f>IF(_xlfn.XLOOKUP(Sales[[#This Row],[Product Name]],Inventory[Product Name],Inventory[Sale Price],"")=0,"",_xlfn.XLOOKUP(Sales[[#This Row],[Product Name]],Inventory[Product Name],Inventory[Sale Price]))</f>
        <v/>
      </c>
      <c r="I1335" s="19" t="str">
        <f>IFERROR(G1335*H1335,"")</f>
        <v/>
      </c>
      <c r="J1335" s="19"/>
    </row>
    <row r="1336" spans="1:10" ht="21">
      <c r="A1336" s="14">
        <v>1331</v>
      </c>
      <c r="C1336" s="16"/>
      <c r="D1336" s="14" t="str">
        <f>IF(Sales[[#This Row],[Product ID]]="","",Sales[[#This Row],[Date]]&amp;Sales[[#This Row],[Invoice no]])</f>
        <v/>
      </c>
      <c r="E13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6" s="19" t="str">
        <f>IF(_xlfn.XLOOKUP(Sales[[#This Row],[Product Name]],Inventory[Product Name],Inventory[Sale Price],"")=0,"",_xlfn.XLOOKUP(Sales[[#This Row],[Product Name]],Inventory[Product Name],Inventory[Sale Price]))</f>
        <v/>
      </c>
      <c r="I1336" s="19" t="str">
        <f>IFERROR(G1336*H1336,"")</f>
        <v/>
      </c>
      <c r="J1336" s="19"/>
    </row>
    <row r="1337" spans="1:10" ht="21">
      <c r="A1337" s="14">
        <v>1332</v>
      </c>
      <c r="C1337" s="16"/>
      <c r="D1337" s="14" t="str">
        <f>IF(Sales[[#This Row],[Product ID]]="","",Sales[[#This Row],[Date]]&amp;Sales[[#This Row],[Invoice no]])</f>
        <v/>
      </c>
      <c r="E13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7" s="19" t="str">
        <f>IF(_xlfn.XLOOKUP(Sales[[#This Row],[Product Name]],Inventory[Product Name],Inventory[Sale Price],"")=0,"",_xlfn.XLOOKUP(Sales[[#This Row],[Product Name]],Inventory[Product Name],Inventory[Sale Price]))</f>
        <v/>
      </c>
      <c r="I1337" s="19" t="str">
        <f>IFERROR(G1337*H1337,"")</f>
        <v/>
      </c>
      <c r="J1337" s="19"/>
    </row>
    <row r="1338" spans="1:10" ht="21">
      <c r="A1338" s="14">
        <v>1333</v>
      </c>
      <c r="C1338" s="16"/>
      <c r="D1338" s="14" t="str">
        <f>IF(Sales[[#This Row],[Product ID]]="","",Sales[[#This Row],[Date]]&amp;Sales[[#This Row],[Invoice no]])</f>
        <v/>
      </c>
      <c r="E13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8" s="19" t="str">
        <f>IF(_xlfn.XLOOKUP(Sales[[#This Row],[Product Name]],Inventory[Product Name],Inventory[Sale Price],"")=0,"",_xlfn.XLOOKUP(Sales[[#This Row],[Product Name]],Inventory[Product Name],Inventory[Sale Price]))</f>
        <v/>
      </c>
      <c r="I1338" s="19" t="str">
        <f>IFERROR(G1338*H1338,"")</f>
        <v/>
      </c>
      <c r="J1338" s="19"/>
    </row>
    <row r="1339" spans="1:10" ht="21">
      <c r="A1339" s="14">
        <v>1334</v>
      </c>
      <c r="C1339" s="16"/>
      <c r="D1339" s="14" t="str">
        <f>IF(Sales[[#This Row],[Product ID]]="","",Sales[[#This Row],[Date]]&amp;Sales[[#This Row],[Invoice no]])</f>
        <v/>
      </c>
      <c r="E13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39" s="19" t="str">
        <f>IF(_xlfn.XLOOKUP(Sales[[#This Row],[Product Name]],Inventory[Product Name],Inventory[Sale Price],"")=0,"",_xlfn.XLOOKUP(Sales[[#This Row],[Product Name]],Inventory[Product Name],Inventory[Sale Price]))</f>
        <v/>
      </c>
      <c r="I1339" s="19" t="str">
        <f>IFERROR(G1339*H1339,"")</f>
        <v/>
      </c>
      <c r="J1339" s="19"/>
    </row>
    <row r="1340" spans="1:10" ht="21">
      <c r="A1340" s="14">
        <v>1335</v>
      </c>
      <c r="C1340" s="16"/>
      <c r="D1340" s="14" t="str">
        <f>IF(Sales[[#This Row],[Product ID]]="","",Sales[[#This Row],[Date]]&amp;Sales[[#This Row],[Invoice no]])</f>
        <v/>
      </c>
      <c r="E13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0" s="19" t="str">
        <f>IF(_xlfn.XLOOKUP(Sales[[#This Row],[Product Name]],Inventory[Product Name],Inventory[Sale Price],"")=0,"",_xlfn.XLOOKUP(Sales[[#This Row],[Product Name]],Inventory[Product Name],Inventory[Sale Price]))</f>
        <v/>
      </c>
      <c r="I1340" s="19" t="str">
        <f>IFERROR(G1340*H1340,"")</f>
        <v/>
      </c>
      <c r="J1340" s="19"/>
    </row>
    <row r="1341" spans="1:10" ht="21">
      <c r="A1341" s="14">
        <v>1336</v>
      </c>
      <c r="C1341" s="16"/>
      <c r="D1341" s="14" t="str">
        <f>IF(Sales[[#This Row],[Product ID]]="","",Sales[[#This Row],[Date]]&amp;Sales[[#This Row],[Invoice no]])</f>
        <v/>
      </c>
      <c r="E13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1" s="19" t="str">
        <f>IF(_xlfn.XLOOKUP(Sales[[#This Row],[Product Name]],Inventory[Product Name],Inventory[Sale Price],"")=0,"",_xlfn.XLOOKUP(Sales[[#This Row],[Product Name]],Inventory[Product Name],Inventory[Sale Price]))</f>
        <v/>
      </c>
      <c r="I1341" s="19" t="str">
        <f>IFERROR(G1341*H1341,"")</f>
        <v/>
      </c>
      <c r="J1341" s="19"/>
    </row>
    <row r="1342" spans="1:10" ht="21">
      <c r="A1342" s="14">
        <v>1337</v>
      </c>
      <c r="C1342" s="16"/>
      <c r="D1342" s="14" t="str">
        <f>IF(Sales[[#This Row],[Product ID]]="","",Sales[[#This Row],[Date]]&amp;Sales[[#This Row],[Invoice no]])</f>
        <v/>
      </c>
      <c r="E13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2" s="19" t="str">
        <f>IF(_xlfn.XLOOKUP(Sales[[#This Row],[Product Name]],Inventory[Product Name],Inventory[Sale Price],"")=0,"",_xlfn.XLOOKUP(Sales[[#This Row],[Product Name]],Inventory[Product Name],Inventory[Sale Price]))</f>
        <v/>
      </c>
      <c r="I1342" s="19" t="str">
        <f>IFERROR(G1342*H1342,"")</f>
        <v/>
      </c>
      <c r="J1342" s="19"/>
    </row>
    <row r="1343" spans="1:10" ht="21">
      <c r="A1343" s="14">
        <v>1338</v>
      </c>
      <c r="C1343" s="16"/>
      <c r="D1343" s="14" t="str">
        <f>IF(Sales[[#This Row],[Product ID]]="","",Sales[[#This Row],[Date]]&amp;Sales[[#This Row],[Invoice no]])</f>
        <v/>
      </c>
      <c r="E13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3" s="19" t="str">
        <f>IF(_xlfn.XLOOKUP(Sales[[#This Row],[Product Name]],Inventory[Product Name],Inventory[Sale Price],"")=0,"",_xlfn.XLOOKUP(Sales[[#This Row],[Product Name]],Inventory[Product Name],Inventory[Sale Price]))</f>
        <v/>
      </c>
      <c r="I1343" s="19" t="str">
        <f>IFERROR(G1343*H1343,"")</f>
        <v/>
      </c>
      <c r="J1343" s="19"/>
    </row>
    <row r="1344" spans="1:10" ht="21">
      <c r="A1344" s="14">
        <v>1339</v>
      </c>
      <c r="C1344" s="16"/>
      <c r="D1344" s="14" t="str">
        <f>IF(Sales[[#This Row],[Product ID]]="","",Sales[[#This Row],[Date]]&amp;Sales[[#This Row],[Invoice no]])</f>
        <v/>
      </c>
      <c r="E13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4" s="19" t="str">
        <f>IF(_xlfn.XLOOKUP(Sales[[#This Row],[Product Name]],Inventory[Product Name],Inventory[Sale Price],"")=0,"",_xlfn.XLOOKUP(Sales[[#This Row],[Product Name]],Inventory[Product Name],Inventory[Sale Price]))</f>
        <v/>
      </c>
      <c r="I1344" s="19" t="str">
        <f>IFERROR(G1344*H1344,"")</f>
        <v/>
      </c>
      <c r="J1344" s="19"/>
    </row>
    <row r="1345" spans="1:10" ht="21">
      <c r="A1345" s="14">
        <v>1340</v>
      </c>
      <c r="C1345" s="16"/>
      <c r="D1345" s="14" t="str">
        <f>IF(Sales[[#This Row],[Product ID]]="","",Sales[[#This Row],[Date]]&amp;Sales[[#This Row],[Invoice no]])</f>
        <v/>
      </c>
      <c r="E13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5" s="19" t="str">
        <f>IF(_xlfn.XLOOKUP(Sales[[#This Row],[Product Name]],Inventory[Product Name],Inventory[Sale Price],"")=0,"",_xlfn.XLOOKUP(Sales[[#This Row],[Product Name]],Inventory[Product Name],Inventory[Sale Price]))</f>
        <v/>
      </c>
      <c r="I1345" s="19" t="str">
        <f>IFERROR(G1345*H1345,"")</f>
        <v/>
      </c>
      <c r="J1345" s="19"/>
    </row>
    <row r="1346" spans="1:10" ht="21">
      <c r="A1346" s="14">
        <v>1341</v>
      </c>
      <c r="C1346" s="16"/>
      <c r="D1346" s="14" t="str">
        <f>IF(Sales[[#This Row],[Product ID]]="","",Sales[[#This Row],[Date]]&amp;Sales[[#This Row],[Invoice no]])</f>
        <v/>
      </c>
      <c r="E13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6" s="19" t="str">
        <f>IF(_xlfn.XLOOKUP(Sales[[#This Row],[Product Name]],Inventory[Product Name],Inventory[Sale Price],"")=0,"",_xlfn.XLOOKUP(Sales[[#This Row],[Product Name]],Inventory[Product Name],Inventory[Sale Price]))</f>
        <v/>
      </c>
      <c r="I1346" s="19" t="str">
        <f>IFERROR(G1346*H1346,"")</f>
        <v/>
      </c>
      <c r="J1346" s="19"/>
    </row>
    <row r="1347" spans="1:10" ht="21">
      <c r="A1347" s="14">
        <v>1342</v>
      </c>
      <c r="C1347" s="16"/>
      <c r="D1347" s="14" t="str">
        <f>IF(Sales[[#This Row],[Product ID]]="","",Sales[[#This Row],[Date]]&amp;Sales[[#This Row],[Invoice no]])</f>
        <v/>
      </c>
      <c r="E13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7" s="19" t="str">
        <f>IF(_xlfn.XLOOKUP(Sales[[#This Row],[Product Name]],Inventory[Product Name],Inventory[Sale Price],"")=0,"",_xlfn.XLOOKUP(Sales[[#This Row],[Product Name]],Inventory[Product Name],Inventory[Sale Price]))</f>
        <v/>
      </c>
      <c r="I1347" s="19" t="str">
        <f>IFERROR(G1347*H1347,"")</f>
        <v/>
      </c>
      <c r="J1347" s="19"/>
    </row>
    <row r="1348" spans="1:10" ht="21">
      <c r="A1348" s="14">
        <v>1343</v>
      </c>
      <c r="C1348" s="16"/>
      <c r="D1348" s="14" t="str">
        <f>IF(Sales[[#This Row],[Product ID]]="","",Sales[[#This Row],[Date]]&amp;Sales[[#This Row],[Invoice no]])</f>
        <v/>
      </c>
      <c r="E13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8" s="19" t="str">
        <f>IF(_xlfn.XLOOKUP(Sales[[#This Row],[Product Name]],Inventory[Product Name],Inventory[Sale Price],"")=0,"",_xlfn.XLOOKUP(Sales[[#This Row],[Product Name]],Inventory[Product Name],Inventory[Sale Price]))</f>
        <v/>
      </c>
      <c r="I1348" s="19" t="str">
        <f>IFERROR(G1348*H1348,"")</f>
        <v/>
      </c>
      <c r="J1348" s="19"/>
    </row>
    <row r="1349" spans="1:10" ht="21">
      <c r="A1349" s="14">
        <v>1344</v>
      </c>
      <c r="C1349" s="16"/>
      <c r="D1349" s="14" t="str">
        <f>IF(Sales[[#This Row],[Product ID]]="","",Sales[[#This Row],[Date]]&amp;Sales[[#This Row],[Invoice no]])</f>
        <v/>
      </c>
      <c r="E13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49" s="19" t="str">
        <f>IF(_xlfn.XLOOKUP(Sales[[#This Row],[Product Name]],Inventory[Product Name],Inventory[Sale Price],"")=0,"",_xlfn.XLOOKUP(Sales[[#This Row],[Product Name]],Inventory[Product Name],Inventory[Sale Price]))</f>
        <v/>
      </c>
      <c r="I1349" s="19" t="str">
        <f>IFERROR(G1349*H1349,"")</f>
        <v/>
      </c>
      <c r="J1349" s="19"/>
    </row>
    <row r="1350" spans="1:10" ht="21">
      <c r="A1350" s="14">
        <v>1345</v>
      </c>
      <c r="C1350" s="16"/>
      <c r="D1350" s="14" t="str">
        <f>IF(Sales[[#This Row],[Product ID]]="","",Sales[[#This Row],[Date]]&amp;Sales[[#This Row],[Invoice no]])</f>
        <v/>
      </c>
      <c r="E13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0" s="19" t="str">
        <f>IF(_xlfn.XLOOKUP(Sales[[#This Row],[Product Name]],Inventory[Product Name],Inventory[Sale Price],"")=0,"",_xlfn.XLOOKUP(Sales[[#This Row],[Product Name]],Inventory[Product Name],Inventory[Sale Price]))</f>
        <v/>
      </c>
      <c r="I1350" s="19" t="str">
        <f>IFERROR(G1350*H1350,"")</f>
        <v/>
      </c>
      <c r="J1350" s="19"/>
    </row>
    <row r="1351" spans="1:10" ht="21">
      <c r="A1351" s="14">
        <v>1346</v>
      </c>
      <c r="C1351" s="16"/>
      <c r="D1351" s="14" t="str">
        <f>IF(Sales[[#This Row],[Product ID]]="","",Sales[[#This Row],[Date]]&amp;Sales[[#This Row],[Invoice no]])</f>
        <v/>
      </c>
      <c r="E13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1" s="19" t="str">
        <f>IF(_xlfn.XLOOKUP(Sales[[#This Row],[Product Name]],Inventory[Product Name],Inventory[Sale Price],"")=0,"",_xlfn.XLOOKUP(Sales[[#This Row],[Product Name]],Inventory[Product Name],Inventory[Sale Price]))</f>
        <v/>
      </c>
      <c r="I1351" s="19" t="str">
        <f>IFERROR(G1351*H1351,"")</f>
        <v/>
      </c>
      <c r="J1351" s="19"/>
    </row>
    <row r="1352" spans="1:10" ht="21">
      <c r="A1352" s="14">
        <v>1347</v>
      </c>
      <c r="C1352" s="16"/>
      <c r="D1352" s="14" t="str">
        <f>IF(Sales[[#This Row],[Product ID]]="","",Sales[[#This Row],[Date]]&amp;Sales[[#This Row],[Invoice no]])</f>
        <v/>
      </c>
      <c r="E13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2" s="19" t="str">
        <f>IF(_xlfn.XLOOKUP(Sales[[#This Row],[Product Name]],Inventory[Product Name],Inventory[Sale Price],"")=0,"",_xlfn.XLOOKUP(Sales[[#This Row],[Product Name]],Inventory[Product Name],Inventory[Sale Price]))</f>
        <v/>
      </c>
      <c r="I1352" s="19" t="str">
        <f>IFERROR(G1352*H1352,"")</f>
        <v/>
      </c>
      <c r="J1352" s="19"/>
    </row>
    <row r="1353" spans="1:10" ht="21">
      <c r="A1353" s="14">
        <v>1348</v>
      </c>
      <c r="C1353" s="16"/>
      <c r="D1353" s="14" t="str">
        <f>IF(Sales[[#This Row],[Product ID]]="","",Sales[[#This Row],[Date]]&amp;Sales[[#This Row],[Invoice no]])</f>
        <v/>
      </c>
      <c r="E13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3" s="19" t="str">
        <f>IF(_xlfn.XLOOKUP(Sales[[#This Row],[Product Name]],Inventory[Product Name],Inventory[Sale Price],"")=0,"",_xlfn.XLOOKUP(Sales[[#This Row],[Product Name]],Inventory[Product Name],Inventory[Sale Price]))</f>
        <v/>
      </c>
      <c r="I1353" s="19" t="str">
        <f>IFERROR(G1353*H1353,"")</f>
        <v/>
      </c>
      <c r="J1353" s="19"/>
    </row>
    <row r="1354" spans="1:10" ht="21">
      <c r="A1354" s="14">
        <v>1349</v>
      </c>
      <c r="C1354" s="16"/>
      <c r="D1354" s="14" t="str">
        <f>IF(Sales[[#This Row],[Product ID]]="","",Sales[[#This Row],[Date]]&amp;Sales[[#This Row],[Invoice no]])</f>
        <v/>
      </c>
      <c r="E13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4" s="19" t="str">
        <f>IF(_xlfn.XLOOKUP(Sales[[#This Row],[Product Name]],Inventory[Product Name],Inventory[Sale Price],"")=0,"",_xlfn.XLOOKUP(Sales[[#This Row],[Product Name]],Inventory[Product Name],Inventory[Sale Price]))</f>
        <v/>
      </c>
      <c r="I1354" s="19" t="str">
        <f>IFERROR(G1354*H1354,"")</f>
        <v/>
      </c>
      <c r="J1354" s="19"/>
    </row>
    <row r="1355" spans="1:10" ht="21">
      <c r="A1355" s="14">
        <v>1350</v>
      </c>
      <c r="C1355" s="16"/>
      <c r="D1355" s="14" t="str">
        <f>IF(Sales[[#This Row],[Product ID]]="","",Sales[[#This Row],[Date]]&amp;Sales[[#This Row],[Invoice no]])</f>
        <v/>
      </c>
      <c r="E13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5" s="19" t="str">
        <f>IF(_xlfn.XLOOKUP(Sales[[#This Row],[Product Name]],Inventory[Product Name],Inventory[Sale Price],"")=0,"",_xlfn.XLOOKUP(Sales[[#This Row],[Product Name]],Inventory[Product Name],Inventory[Sale Price]))</f>
        <v/>
      </c>
      <c r="I1355" s="19" t="str">
        <f>IFERROR(G1355*H1355,"")</f>
        <v/>
      </c>
      <c r="J1355" s="19"/>
    </row>
    <row r="1356" spans="1:10" ht="21">
      <c r="A1356" s="14">
        <v>1351</v>
      </c>
      <c r="C1356" s="16"/>
      <c r="D1356" s="14" t="str">
        <f>IF(Sales[[#This Row],[Product ID]]="","",Sales[[#This Row],[Date]]&amp;Sales[[#This Row],[Invoice no]])</f>
        <v/>
      </c>
      <c r="E13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6" s="19" t="str">
        <f>IF(_xlfn.XLOOKUP(Sales[[#This Row],[Product Name]],Inventory[Product Name],Inventory[Sale Price],"")=0,"",_xlfn.XLOOKUP(Sales[[#This Row],[Product Name]],Inventory[Product Name],Inventory[Sale Price]))</f>
        <v/>
      </c>
      <c r="I1356" s="19" t="str">
        <f>IFERROR(G1356*H1356,"")</f>
        <v/>
      </c>
      <c r="J1356" s="19"/>
    </row>
    <row r="1357" spans="1:10" ht="21">
      <c r="A1357" s="14">
        <v>1352</v>
      </c>
      <c r="C1357" s="16"/>
      <c r="D1357" s="14" t="str">
        <f>IF(Sales[[#This Row],[Product ID]]="","",Sales[[#This Row],[Date]]&amp;Sales[[#This Row],[Invoice no]])</f>
        <v/>
      </c>
      <c r="E13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7" s="19" t="str">
        <f>IF(_xlfn.XLOOKUP(Sales[[#This Row],[Product Name]],Inventory[Product Name],Inventory[Sale Price],"")=0,"",_xlfn.XLOOKUP(Sales[[#This Row],[Product Name]],Inventory[Product Name],Inventory[Sale Price]))</f>
        <v/>
      </c>
      <c r="I1357" s="19" t="str">
        <f>IFERROR(G1357*H1357,"")</f>
        <v/>
      </c>
      <c r="J1357" s="19"/>
    </row>
    <row r="1358" spans="1:10" ht="21">
      <c r="A1358" s="14">
        <v>1353</v>
      </c>
      <c r="C1358" s="16"/>
      <c r="D1358" s="14" t="str">
        <f>IF(Sales[[#This Row],[Product ID]]="","",Sales[[#This Row],[Date]]&amp;Sales[[#This Row],[Invoice no]])</f>
        <v/>
      </c>
      <c r="E13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8" s="19" t="str">
        <f>IF(_xlfn.XLOOKUP(Sales[[#This Row],[Product Name]],Inventory[Product Name],Inventory[Sale Price],"")=0,"",_xlfn.XLOOKUP(Sales[[#This Row],[Product Name]],Inventory[Product Name],Inventory[Sale Price]))</f>
        <v/>
      </c>
      <c r="I1358" s="19" t="str">
        <f>IFERROR(G1358*H1358,"")</f>
        <v/>
      </c>
      <c r="J1358" s="19"/>
    </row>
    <row r="1359" spans="1:10" ht="21">
      <c r="A1359" s="14">
        <v>1354</v>
      </c>
      <c r="C1359" s="16"/>
      <c r="D1359" s="14" t="str">
        <f>IF(Sales[[#This Row],[Product ID]]="","",Sales[[#This Row],[Date]]&amp;Sales[[#This Row],[Invoice no]])</f>
        <v/>
      </c>
      <c r="E13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59" s="19" t="str">
        <f>IF(_xlfn.XLOOKUP(Sales[[#This Row],[Product Name]],Inventory[Product Name],Inventory[Sale Price],"")=0,"",_xlfn.XLOOKUP(Sales[[#This Row],[Product Name]],Inventory[Product Name],Inventory[Sale Price]))</f>
        <v/>
      </c>
      <c r="I1359" s="19" t="str">
        <f>IFERROR(G1359*H1359,"")</f>
        <v/>
      </c>
      <c r="J1359" s="19"/>
    </row>
    <row r="1360" spans="1:10" ht="21">
      <c r="A1360" s="14">
        <v>1355</v>
      </c>
      <c r="C1360" s="16"/>
      <c r="D1360" s="14" t="str">
        <f>IF(Sales[[#This Row],[Product ID]]="","",Sales[[#This Row],[Date]]&amp;Sales[[#This Row],[Invoice no]])</f>
        <v/>
      </c>
      <c r="E13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0" s="19" t="str">
        <f>IF(_xlfn.XLOOKUP(Sales[[#This Row],[Product Name]],Inventory[Product Name],Inventory[Sale Price],"")=0,"",_xlfn.XLOOKUP(Sales[[#This Row],[Product Name]],Inventory[Product Name],Inventory[Sale Price]))</f>
        <v/>
      </c>
      <c r="I1360" s="19" t="str">
        <f>IFERROR(G1360*H1360,"")</f>
        <v/>
      </c>
      <c r="J1360" s="19"/>
    </row>
    <row r="1361" spans="1:10" ht="21">
      <c r="A1361" s="14">
        <v>1356</v>
      </c>
      <c r="C1361" s="16"/>
      <c r="D1361" s="14" t="str">
        <f>IF(Sales[[#This Row],[Product ID]]="","",Sales[[#This Row],[Date]]&amp;Sales[[#This Row],[Invoice no]])</f>
        <v/>
      </c>
      <c r="E13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1" s="19" t="str">
        <f>IF(_xlfn.XLOOKUP(Sales[[#This Row],[Product Name]],Inventory[Product Name],Inventory[Sale Price],"")=0,"",_xlfn.XLOOKUP(Sales[[#This Row],[Product Name]],Inventory[Product Name],Inventory[Sale Price]))</f>
        <v/>
      </c>
      <c r="I1361" s="19" t="str">
        <f>IFERROR(G1361*H1361,"")</f>
        <v/>
      </c>
      <c r="J1361" s="19"/>
    </row>
    <row r="1362" spans="1:10" ht="21">
      <c r="A1362" s="14">
        <v>1357</v>
      </c>
      <c r="C1362" s="16"/>
      <c r="D1362" s="14" t="str">
        <f>IF(Sales[[#This Row],[Product ID]]="","",Sales[[#This Row],[Date]]&amp;Sales[[#This Row],[Invoice no]])</f>
        <v/>
      </c>
      <c r="E13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2" s="19" t="str">
        <f>IF(_xlfn.XLOOKUP(Sales[[#This Row],[Product Name]],Inventory[Product Name],Inventory[Sale Price],"")=0,"",_xlfn.XLOOKUP(Sales[[#This Row],[Product Name]],Inventory[Product Name],Inventory[Sale Price]))</f>
        <v/>
      </c>
      <c r="I1362" s="19" t="str">
        <f>IFERROR(G1362*H1362,"")</f>
        <v/>
      </c>
      <c r="J1362" s="19"/>
    </row>
    <row r="1363" spans="1:10" ht="21">
      <c r="A1363" s="14">
        <v>1358</v>
      </c>
      <c r="C1363" s="16"/>
      <c r="D1363" s="14" t="str">
        <f>IF(Sales[[#This Row],[Product ID]]="","",Sales[[#This Row],[Date]]&amp;Sales[[#This Row],[Invoice no]])</f>
        <v/>
      </c>
      <c r="E13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3" s="19" t="str">
        <f>IF(_xlfn.XLOOKUP(Sales[[#This Row],[Product Name]],Inventory[Product Name],Inventory[Sale Price],"")=0,"",_xlfn.XLOOKUP(Sales[[#This Row],[Product Name]],Inventory[Product Name],Inventory[Sale Price]))</f>
        <v/>
      </c>
      <c r="I1363" s="19" t="str">
        <f>IFERROR(G1363*H1363,"")</f>
        <v/>
      </c>
      <c r="J1363" s="19"/>
    </row>
    <row r="1364" spans="1:10" ht="21">
      <c r="A1364" s="14">
        <v>1359</v>
      </c>
      <c r="C1364" s="16"/>
      <c r="D1364" s="14" t="str">
        <f>IF(Sales[[#This Row],[Product ID]]="","",Sales[[#This Row],[Date]]&amp;Sales[[#This Row],[Invoice no]])</f>
        <v/>
      </c>
      <c r="E13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4" s="19" t="str">
        <f>IF(_xlfn.XLOOKUP(Sales[[#This Row],[Product Name]],Inventory[Product Name],Inventory[Sale Price],"")=0,"",_xlfn.XLOOKUP(Sales[[#This Row],[Product Name]],Inventory[Product Name],Inventory[Sale Price]))</f>
        <v/>
      </c>
      <c r="I1364" s="19" t="str">
        <f>IFERROR(G1364*H1364,"")</f>
        <v/>
      </c>
      <c r="J1364" s="19"/>
    </row>
    <row r="1365" spans="1:10" ht="21">
      <c r="A1365" s="14">
        <v>1360</v>
      </c>
      <c r="C1365" s="16"/>
      <c r="D1365" s="14" t="str">
        <f>IF(Sales[[#This Row],[Product ID]]="","",Sales[[#This Row],[Date]]&amp;Sales[[#This Row],[Invoice no]])</f>
        <v/>
      </c>
      <c r="E13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5" s="19" t="str">
        <f>IF(_xlfn.XLOOKUP(Sales[[#This Row],[Product Name]],Inventory[Product Name],Inventory[Sale Price],"")=0,"",_xlfn.XLOOKUP(Sales[[#This Row],[Product Name]],Inventory[Product Name],Inventory[Sale Price]))</f>
        <v/>
      </c>
      <c r="I1365" s="19" t="str">
        <f>IFERROR(G1365*H1365,"")</f>
        <v/>
      </c>
      <c r="J1365" s="19"/>
    </row>
    <row r="1366" spans="1:10" ht="21">
      <c r="A1366" s="14">
        <v>1361</v>
      </c>
      <c r="C1366" s="16"/>
      <c r="D1366" s="14" t="str">
        <f>IF(Sales[[#This Row],[Product ID]]="","",Sales[[#This Row],[Date]]&amp;Sales[[#This Row],[Invoice no]])</f>
        <v/>
      </c>
      <c r="E13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6" s="19" t="str">
        <f>IF(_xlfn.XLOOKUP(Sales[[#This Row],[Product Name]],Inventory[Product Name],Inventory[Sale Price],"")=0,"",_xlfn.XLOOKUP(Sales[[#This Row],[Product Name]],Inventory[Product Name],Inventory[Sale Price]))</f>
        <v/>
      </c>
      <c r="I1366" s="19" t="str">
        <f>IFERROR(G1366*H1366,"")</f>
        <v/>
      </c>
      <c r="J1366" s="19"/>
    </row>
    <row r="1367" spans="1:10" ht="21">
      <c r="A1367" s="14">
        <v>1362</v>
      </c>
      <c r="C1367" s="16"/>
      <c r="D1367" s="14" t="str">
        <f>IF(Sales[[#This Row],[Product ID]]="","",Sales[[#This Row],[Date]]&amp;Sales[[#This Row],[Invoice no]])</f>
        <v/>
      </c>
      <c r="E13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7" s="19" t="str">
        <f>IF(_xlfn.XLOOKUP(Sales[[#This Row],[Product Name]],Inventory[Product Name],Inventory[Sale Price],"")=0,"",_xlfn.XLOOKUP(Sales[[#This Row],[Product Name]],Inventory[Product Name],Inventory[Sale Price]))</f>
        <v/>
      </c>
      <c r="I1367" s="19" t="str">
        <f>IFERROR(G1367*H1367,"")</f>
        <v/>
      </c>
      <c r="J1367" s="19"/>
    </row>
    <row r="1368" spans="1:10" ht="21">
      <c r="A1368" s="14">
        <v>1363</v>
      </c>
      <c r="C1368" s="16"/>
      <c r="D1368" s="14" t="str">
        <f>IF(Sales[[#This Row],[Product ID]]="","",Sales[[#This Row],[Date]]&amp;Sales[[#This Row],[Invoice no]])</f>
        <v/>
      </c>
      <c r="E13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8" s="19" t="str">
        <f>IF(_xlfn.XLOOKUP(Sales[[#This Row],[Product Name]],Inventory[Product Name],Inventory[Sale Price],"")=0,"",_xlfn.XLOOKUP(Sales[[#This Row],[Product Name]],Inventory[Product Name],Inventory[Sale Price]))</f>
        <v/>
      </c>
      <c r="I1368" s="19" t="str">
        <f>IFERROR(G1368*H1368,"")</f>
        <v/>
      </c>
      <c r="J1368" s="19"/>
    </row>
    <row r="1369" spans="1:10" ht="21">
      <c r="A1369" s="14">
        <v>1364</v>
      </c>
      <c r="C1369" s="16"/>
      <c r="D1369" s="14" t="str">
        <f>IF(Sales[[#This Row],[Product ID]]="","",Sales[[#This Row],[Date]]&amp;Sales[[#This Row],[Invoice no]])</f>
        <v/>
      </c>
      <c r="E13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69" s="19" t="str">
        <f>IF(_xlfn.XLOOKUP(Sales[[#This Row],[Product Name]],Inventory[Product Name],Inventory[Sale Price],"")=0,"",_xlfn.XLOOKUP(Sales[[#This Row],[Product Name]],Inventory[Product Name],Inventory[Sale Price]))</f>
        <v/>
      </c>
      <c r="I1369" s="19" t="str">
        <f>IFERROR(G1369*H1369,"")</f>
        <v/>
      </c>
      <c r="J1369" s="19"/>
    </row>
    <row r="1370" spans="1:10" ht="21">
      <c r="A1370" s="14">
        <v>1365</v>
      </c>
      <c r="C1370" s="16"/>
      <c r="D1370" s="14" t="str">
        <f>IF(Sales[[#This Row],[Product ID]]="","",Sales[[#This Row],[Date]]&amp;Sales[[#This Row],[Invoice no]])</f>
        <v/>
      </c>
      <c r="E13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0" s="19" t="str">
        <f>IF(_xlfn.XLOOKUP(Sales[[#This Row],[Product Name]],Inventory[Product Name],Inventory[Sale Price],"")=0,"",_xlfn.XLOOKUP(Sales[[#This Row],[Product Name]],Inventory[Product Name],Inventory[Sale Price]))</f>
        <v/>
      </c>
      <c r="I1370" s="19" t="str">
        <f>IFERROR(G1370*H1370,"")</f>
        <v/>
      </c>
      <c r="J1370" s="19"/>
    </row>
    <row r="1371" spans="1:10" ht="21">
      <c r="A1371" s="14">
        <v>1366</v>
      </c>
      <c r="C1371" s="16"/>
      <c r="D1371" s="14" t="str">
        <f>IF(Sales[[#This Row],[Product ID]]="","",Sales[[#This Row],[Date]]&amp;Sales[[#This Row],[Invoice no]])</f>
        <v/>
      </c>
      <c r="E13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1" s="19" t="str">
        <f>IF(_xlfn.XLOOKUP(Sales[[#This Row],[Product Name]],Inventory[Product Name],Inventory[Sale Price],"")=0,"",_xlfn.XLOOKUP(Sales[[#This Row],[Product Name]],Inventory[Product Name],Inventory[Sale Price]))</f>
        <v/>
      </c>
      <c r="I1371" s="19" t="str">
        <f>IFERROR(G1371*H1371,"")</f>
        <v/>
      </c>
      <c r="J1371" s="19"/>
    </row>
    <row r="1372" spans="1:10" ht="21">
      <c r="A1372" s="14">
        <v>1367</v>
      </c>
      <c r="C1372" s="16"/>
      <c r="D1372" s="14" t="str">
        <f>IF(Sales[[#This Row],[Product ID]]="","",Sales[[#This Row],[Date]]&amp;Sales[[#This Row],[Invoice no]])</f>
        <v/>
      </c>
      <c r="E13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2" s="19" t="str">
        <f>IF(_xlfn.XLOOKUP(Sales[[#This Row],[Product Name]],Inventory[Product Name],Inventory[Sale Price],"")=0,"",_xlfn.XLOOKUP(Sales[[#This Row],[Product Name]],Inventory[Product Name],Inventory[Sale Price]))</f>
        <v/>
      </c>
      <c r="I1372" s="19" t="str">
        <f>IFERROR(G1372*H1372,"")</f>
        <v/>
      </c>
      <c r="J1372" s="19"/>
    </row>
    <row r="1373" spans="1:10" ht="21">
      <c r="A1373" s="14">
        <v>1368</v>
      </c>
      <c r="C1373" s="16"/>
      <c r="D1373" s="14" t="str">
        <f>IF(Sales[[#This Row],[Product ID]]="","",Sales[[#This Row],[Date]]&amp;Sales[[#This Row],[Invoice no]])</f>
        <v/>
      </c>
      <c r="E13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3" s="19" t="str">
        <f>IF(_xlfn.XLOOKUP(Sales[[#This Row],[Product Name]],Inventory[Product Name],Inventory[Sale Price],"")=0,"",_xlfn.XLOOKUP(Sales[[#This Row],[Product Name]],Inventory[Product Name],Inventory[Sale Price]))</f>
        <v/>
      </c>
      <c r="I1373" s="19" t="str">
        <f>IFERROR(G1373*H1373,"")</f>
        <v/>
      </c>
      <c r="J1373" s="19"/>
    </row>
    <row r="1374" spans="1:10" ht="21">
      <c r="A1374" s="14">
        <v>1369</v>
      </c>
      <c r="C1374" s="16"/>
      <c r="D1374" s="14" t="str">
        <f>IF(Sales[[#This Row],[Product ID]]="","",Sales[[#This Row],[Date]]&amp;Sales[[#This Row],[Invoice no]])</f>
        <v/>
      </c>
      <c r="E13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4" s="19" t="str">
        <f>IF(_xlfn.XLOOKUP(Sales[[#This Row],[Product Name]],Inventory[Product Name],Inventory[Sale Price],"")=0,"",_xlfn.XLOOKUP(Sales[[#This Row],[Product Name]],Inventory[Product Name],Inventory[Sale Price]))</f>
        <v/>
      </c>
      <c r="I1374" s="19" t="str">
        <f>IFERROR(G1374*H1374,"")</f>
        <v/>
      </c>
      <c r="J1374" s="19"/>
    </row>
    <row r="1375" spans="1:10" ht="21">
      <c r="A1375" s="14">
        <v>1370</v>
      </c>
      <c r="C1375" s="16"/>
      <c r="D1375" s="14" t="str">
        <f>IF(Sales[[#This Row],[Product ID]]="","",Sales[[#This Row],[Date]]&amp;Sales[[#This Row],[Invoice no]])</f>
        <v/>
      </c>
      <c r="E13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5" s="19" t="str">
        <f>IF(_xlfn.XLOOKUP(Sales[[#This Row],[Product Name]],Inventory[Product Name],Inventory[Sale Price],"")=0,"",_xlfn.XLOOKUP(Sales[[#This Row],[Product Name]],Inventory[Product Name],Inventory[Sale Price]))</f>
        <v/>
      </c>
      <c r="I1375" s="19" t="str">
        <f>IFERROR(G1375*H1375,"")</f>
        <v/>
      </c>
      <c r="J1375" s="19"/>
    </row>
    <row r="1376" spans="1:10" ht="21">
      <c r="A1376" s="14">
        <v>1371</v>
      </c>
      <c r="C1376" s="16"/>
      <c r="D1376" s="14" t="str">
        <f>IF(Sales[[#This Row],[Product ID]]="","",Sales[[#This Row],[Date]]&amp;Sales[[#This Row],[Invoice no]])</f>
        <v/>
      </c>
      <c r="E13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6" s="19" t="str">
        <f>IF(_xlfn.XLOOKUP(Sales[[#This Row],[Product Name]],Inventory[Product Name],Inventory[Sale Price],"")=0,"",_xlfn.XLOOKUP(Sales[[#This Row],[Product Name]],Inventory[Product Name],Inventory[Sale Price]))</f>
        <v/>
      </c>
      <c r="I1376" s="19" t="str">
        <f>IFERROR(G1376*H1376,"")</f>
        <v/>
      </c>
      <c r="J1376" s="19"/>
    </row>
    <row r="1377" spans="1:10" ht="21">
      <c r="A1377" s="14">
        <v>1372</v>
      </c>
      <c r="C1377" s="16"/>
      <c r="D1377" s="14" t="str">
        <f>IF(Sales[[#This Row],[Product ID]]="","",Sales[[#This Row],[Date]]&amp;Sales[[#This Row],[Invoice no]])</f>
        <v/>
      </c>
      <c r="E13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7" s="19" t="str">
        <f>IF(_xlfn.XLOOKUP(Sales[[#This Row],[Product Name]],Inventory[Product Name],Inventory[Sale Price],"")=0,"",_xlfn.XLOOKUP(Sales[[#This Row],[Product Name]],Inventory[Product Name],Inventory[Sale Price]))</f>
        <v/>
      </c>
      <c r="I1377" s="19" t="str">
        <f>IFERROR(G1377*H1377,"")</f>
        <v/>
      </c>
      <c r="J1377" s="19"/>
    </row>
    <row r="1378" spans="1:10" ht="21">
      <c r="A1378" s="14">
        <v>1373</v>
      </c>
      <c r="C1378" s="16"/>
      <c r="D1378" s="14" t="str">
        <f>IF(Sales[[#This Row],[Product ID]]="","",Sales[[#This Row],[Date]]&amp;Sales[[#This Row],[Invoice no]])</f>
        <v/>
      </c>
      <c r="E13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8" s="19" t="str">
        <f>IF(_xlfn.XLOOKUP(Sales[[#This Row],[Product Name]],Inventory[Product Name],Inventory[Sale Price],"")=0,"",_xlfn.XLOOKUP(Sales[[#This Row],[Product Name]],Inventory[Product Name],Inventory[Sale Price]))</f>
        <v/>
      </c>
      <c r="I1378" s="19" t="str">
        <f>IFERROR(G1378*H1378,"")</f>
        <v/>
      </c>
      <c r="J1378" s="19"/>
    </row>
    <row r="1379" spans="1:10" ht="21">
      <c r="A1379" s="14">
        <v>1374</v>
      </c>
      <c r="C1379" s="16"/>
      <c r="D1379" s="14" t="str">
        <f>IF(Sales[[#This Row],[Product ID]]="","",Sales[[#This Row],[Date]]&amp;Sales[[#This Row],[Invoice no]])</f>
        <v/>
      </c>
      <c r="E13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79" s="19" t="str">
        <f>IF(_xlfn.XLOOKUP(Sales[[#This Row],[Product Name]],Inventory[Product Name],Inventory[Sale Price],"")=0,"",_xlfn.XLOOKUP(Sales[[#This Row],[Product Name]],Inventory[Product Name],Inventory[Sale Price]))</f>
        <v/>
      </c>
      <c r="I1379" s="19" t="str">
        <f>IFERROR(G1379*H1379,"")</f>
        <v/>
      </c>
      <c r="J1379" s="19"/>
    </row>
    <row r="1380" spans="1:10" ht="21">
      <c r="A1380" s="14">
        <v>1375</v>
      </c>
      <c r="C1380" s="16"/>
      <c r="D1380" s="14" t="str">
        <f>IF(Sales[[#This Row],[Product ID]]="","",Sales[[#This Row],[Date]]&amp;Sales[[#This Row],[Invoice no]])</f>
        <v/>
      </c>
      <c r="E13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0" s="19" t="str">
        <f>IF(_xlfn.XLOOKUP(Sales[[#This Row],[Product Name]],Inventory[Product Name],Inventory[Sale Price],"")=0,"",_xlfn.XLOOKUP(Sales[[#This Row],[Product Name]],Inventory[Product Name],Inventory[Sale Price]))</f>
        <v/>
      </c>
      <c r="I1380" s="19" t="str">
        <f>IFERROR(G1380*H1380,"")</f>
        <v/>
      </c>
      <c r="J1380" s="19"/>
    </row>
    <row r="1381" spans="1:10" ht="21">
      <c r="A1381" s="14">
        <v>1376</v>
      </c>
      <c r="C1381" s="16"/>
      <c r="D1381" s="14" t="str">
        <f>IF(Sales[[#This Row],[Product ID]]="","",Sales[[#This Row],[Date]]&amp;Sales[[#This Row],[Invoice no]])</f>
        <v/>
      </c>
      <c r="E13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1" s="19" t="str">
        <f>IF(_xlfn.XLOOKUP(Sales[[#This Row],[Product Name]],Inventory[Product Name],Inventory[Sale Price],"")=0,"",_xlfn.XLOOKUP(Sales[[#This Row],[Product Name]],Inventory[Product Name],Inventory[Sale Price]))</f>
        <v/>
      </c>
      <c r="I1381" s="19" t="str">
        <f>IFERROR(G1381*H1381,"")</f>
        <v/>
      </c>
      <c r="J1381" s="19"/>
    </row>
    <row r="1382" spans="1:10" ht="21">
      <c r="A1382" s="14">
        <v>1377</v>
      </c>
      <c r="C1382" s="16"/>
      <c r="D1382" s="14" t="str">
        <f>IF(Sales[[#This Row],[Product ID]]="","",Sales[[#This Row],[Date]]&amp;Sales[[#This Row],[Invoice no]])</f>
        <v/>
      </c>
      <c r="E13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2" s="19" t="str">
        <f>IF(_xlfn.XLOOKUP(Sales[[#This Row],[Product Name]],Inventory[Product Name],Inventory[Sale Price],"")=0,"",_xlfn.XLOOKUP(Sales[[#This Row],[Product Name]],Inventory[Product Name],Inventory[Sale Price]))</f>
        <v/>
      </c>
      <c r="I1382" s="19" t="str">
        <f>IFERROR(G1382*H1382,"")</f>
        <v/>
      </c>
      <c r="J1382" s="19"/>
    </row>
    <row r="1383" spans="1:10" ht="21">
      <c r="A1383" s="14">
        <v>1378</v>
      </c>
      <c r="C1383" s="16"/>
      <c r="D1383" s="14" t="str">
        <f>IF(Sales[[#This Row],[Product ID]]="","",Sales[[#This Row],[Date]]&amp;Sales[[#This Row],[Invoice no]])</f>
        <v/>
      </c>
      <c r="E13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3" s="19" t="str">
        <f>IF(_xlfn.XLOOKUP(Sales[[#This Row],[Product Name]],Inventory[Product Name],Inventory[Sale Price],"")=0,"",_xlfn.XLOOKUP(Sales[[#This Row],[Product Name]],Inventory[Product Name],Inventory[Sale Price]))</f>
        <v/>
      </c>
      <c r="I1383" s="19" t="str">
        <f>IFERROR(G1383*H1383,"")</f>
        <v/>
      </c>
      <c r="J1383" s="19"/>
    </row>
    <row r="1384" spans="1:10" ht="21">
      <c r="A1384" s="14">
        <v>1379</v>
      </c>
      <c r="C1384" s="16"/>
      <c r="D1384" s="14" t="str">
        <f>IF(Sales[[#This Row],[Product ID]]="","",Sales[[#This Row],[Date]]&amp;Sales[[#This Row],[Invoice no]])</f>
        <v/>
      </c>
      <c r="E13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4" s="19" t="str">
        <f>IF(_xlfn.XLOOKUP(Sales[[#This Row],[Product Name]],Inventory[Product Name],Inventory[Sale Price],"")=0,"",_xlfn.XLOOKUP(Sales[[#This Row],[Product Name]],Inventory[Product Name],Inventory[Sale Price]))</f>
        <v/>
      </c>
      <c r="I1384" s="19" t="str">
        <f>IFERROR(G1384*H1384,"")</f>
        <v/>
      </c>
      <c r="J1384" s="19"/>
    </row>
    <row r="1385" spans="1:10" ht="21">
      <c r="A1385" s="14">
        <v>1380</v>
      </c>
      <c r="C1385" s="16"/>
      <c r="D1385" s="14" t="str">
        <f>IF(Sales[[#This Row],[Product ID]]="","",Sales[[#This Row],[Date]]&amp;Sales[[#This Row],[Invoice no]])</f>
        <v/>
      </c>
      <c r="E13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5" s="19" t="str">
        <f>IF(_xlfn.XLOOKUP(Sales[[#This Row],[Product Name]],Inventory[Product Name],Inventory[Sale Price],"")=0,"",_xlfn.XLOOKUP(Sales[[#This Row],[Product Name]],Inventory[Product Name],Inventory[Sale Price]))</f>
        <v/>
      </c>
      <c r="I1385" s="19" t="str">
        <f>IFERROR(G1385*H1385,"")</f>
        <v/>
      </c>
      <c r="J1385" s="19"/>
    </row>
    <row r="1386" spans="1:10" ht="21">
      <c r="A1386" s="14">
        <v>1381</v>
      </c>
      <c r="C1386" s="16"/>
      <c r="D1386" s="14" t="str">
        <f>IF(Sales[[#This Row],[Product ID]]="","",Sales[[#This Row],[Date]]&amp;Sales[[#This Row],[Invoice no]])</f>
        <v/>
      </c>
      <c r="E13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6" s="19" t="str">
        <f>IF(_xlfn.XLOOKUP(Sales[[#This Row],[Product Name]],Inventory[Product Name],Inventory[Sale Price],"")=0,"",_xlfn.XLOOKUP(Sales[[#This Row],[Product Name]],Inventory[Product Name],Inventory[Sale Price]))</f>
        <v/>
      </c>
      <c r="I1386" s="19" t="str">
        <f>IFERROR(G1386*H1386,"")</f>
        <v/>
      </c>
      <c r="J1386" s="19"/>
    </row>
    <row r="1387" spans="1:10" ht="21">
      <c r="A1387" s="14">
        <v>1382</v>
      </c>
      <c r="C1387" s="16"/>
      <c r="D1387" s="14" t="str">
        <f>IF(Sales[[#This Row],[Product ID]]="","",Sales[[#This Row],[Date]]&amp;Sales[[#This Row],[Invoice no]])</f>
        <v/>
      </c>
      <c r="E13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7" s="19" t="str">
        <f>IF(_xlfn.XLOOKUP(Sales[[#This Row],[Product Name]],Inventory[Product Name],Inventory[Sale Price],"")=0,"",_xlfn.XLOOKUP(Sales[[#This Row],[Product Name]],Inventory[Product Name],Inventory[Sale Price]))</f>
        <v/>
      </c>
      <c r="I1387" s="19" t="str">
        <f>IFERROR(G1387*H1387,"")</f>
        <v/>
      </c>
      <c r="J1387" s="19"/>
    </row>
    <row r="1388" spans="1:10" ht="21">
      <c r="A1388" s="14">
        <v>1383</v>
      </c>
      <c r="C1388" s="16"/>
      <c r="D1388" s="14" t="str">
        <f>IF(Sales[[#This Row],[Product ID]]="","",Sales[[#This Row],[Date]]&amp;Sales[[#This Row],[Invoice no]])</f>
        <v/>
      </c>
      <c r="E13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8" s="19" t="str">
        <f>IF(_xlfn.XLOOKUP(Sales[[#This Row],[Product Name]],Inventory[Product Name],Inventory[Sale Price],"")=0,"",_xlfn.XLOOKUP(Sales[[#This Row],[Product Name]],Inventory[Product Name],Inventory[Sale Price]))</f>
        <v/>
      </c>
      <c r="I1388" s="19" t="str">
        <f>IFERROR(G1388*H1388,"")</f>
        <v/>
      </c>
      <c r="J1388" s="19"/>
    </row>
    <row r="1389" spans="1:10" ht="21">
      <c r="A1389" s="14">
        <v>1384</v>
      </c>
      <c r="C1389" s="16"/>
      <c r="D1389" s="14" t="str">
        <f>IF(Sales[[#This Row],[Product ID]]="","",Sales[[#This Row],[Date]]&amp;Sales[[#This Row],[Invoice no]])</f>
        <v/>
      </c>
      <c r="E13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89" s="19" t="str">
        <f>IF(_xlfn.XLOOKUP(Sales[[#This Row],[Product Name]],Inventory[Product Name],Inventory[Sale Price],"")=0,"",_xlfn.XLOOKUP(Sales[[#This Row],[Product Name]],Inventory[Product Name],Inventory[Sale Price]))</f>
        <v/>
      </c>
      <c r="I1389" s="19" t="str">
        <f>IFERROR(G1389*H1389,"")</f>
        <v/>
      </c>
      <c r="J1389" s="19"/>
    </row>
    <row r="1390" spans="1:10" ht="21">
      <c r="A1390" s="14">
        <v>1385</v>
      </c>
      <c r="C1390" s="16"/>
      <c r="D1390" s="14" t="str">
        <f>IF(Sales[[#This Row],[Product ID]]="","",Sales[[#This Row],[Date]]&amp;Sales[[#This Row],[Invoice no]])</f>
        <v/>
      </c>
      <c r="E13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0" s="19" t="str">
        <f>IF(_xlfn.XLOOKUP(Sales[[#This Row],[Product Name]],Inventory[Product Name],Inventory[Sale Price],"")=0,"",_xlfn.XLOOKUP(Sales[[#This Row],[Product Name]],Inventory[Product Name],Inventory[Sale Price]))</f>
        <v/>
      </c>
      <c r="I1390" s="19" t="str">
        <f>IFERROR(G1390*H1390,"")</f>
        <v/>
      </c>
      <c r="J1390" s="19"/>
    </row>
    <row r="1391" spans="1:10" ht="21">
      <c r="A1391" s="14">
        <v>1386</v>
      </c>
      <c r="C1391" s="16"/>
      <c r="D1391" s="14" t="str">
        <f>IF(Sales[[#This Row],[Product ID]]="","",Sales[[#This Row],[Date]]&amp;Sales[[#This Row],[Invoice no]])</f>
        <v/>
      </c>
      <c r="E13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1" s="19" t="str">
        <f>IF(_xlfn.XLOOKUP(Sales[[#This Row],[Product Name]],Inventory[Product Name],Inventory[Sale Price],"")=0,"",_xlfn.XLOOKUP(Sales[[#This Row],[Product Name]],Inventory[Product Name],Inventory[Sale Price]))</f>
        <v/>
      </c>
      <c r="I1391" s="19" t="str">
        <f>IFERROR(G1391*H1391,"")</f>
        <v/>
      </c>
      <c r="J1391" s="19"/>
    </row>
    <row r="1392" spans="1:10" ht="21">
      <c r="A1392" s="14">
        <v>1387</v>
      </c>
      <c r="C1392" s="16"/>
      <c r="D1392" s="14" t="str">
        <f>IF(Sales[[#This Row],[Product ID]]="","",Sales[[#This Row],[Date]]&amp;Sales[[#This Row],[Invoice no]])</f>
        <v/>
      </c>
      <c r="E13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2" s="19" t="str">
        <f>IF(_xlfn.XLOOKUP(Sales[[#This Row],[Product Name]],Inventory[Product Name],Inventory[Sale Price],"")=0,"",_xlfn.XLOOKUP(Sales[[#This Row],[Product Name]],Inventory[Product Name],Inventory[Sale Price]))</f>
        <v/>
      </c>
      <c r="I1392" s="19" t="str">
        <f>IFERROR(G1392*H1392,"")</f>
        <v/>
      </c>
      <c r="J1392" s="19"/>
    </row>
    <row r="1393" spans="1:10" ht="21">
      <c r="A1393" s="14">
        <v>1388</v>
      </c>
      <c r="C1393" s="16"/>
      <c r="D1393" s="14" t="str">
        <f>IF(Sales[[#This Row],[Product ID]]="","",Sales[[#This Row],[Date]]&amp;Sales[[#This Row],[Invoice no]])</f>
        <v/>
      </c>
      <c r="E13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3" s="19" t="str">
        <f>IF(_xlfn.XLOOKUP(Sales[[#This Row],[Product Name]],Inventory[Product Name],Inventory[Sale Price],"")=0,"",_xlfn.XLOOKUP(Sales[[#This Row],[Product Name]],Inventory[Product Name],Inventory[Sale Price]))</f>
        <v/>
      </c>
      <c r="I1393" s="19" t="str">
        <f>IFERROR(G1393*H1393,"")</f>
        <v/>
      </c>
      <c r="J1393" s="19"/>
    </row>
    <row r="1394" spans="1:10" ht="21">
      <c r="A1394" s="14">
        <v>1389</v>
      </c>
      <c r="C1394" s="16"/>
      <c r="D1394" s="14" t="str">
        <f>IF(Sales[[#This Row],[Product ID]]="","",Sales[[#This Row],[Date]]&amp;Sales[[#This Row],[Invoice no]])</f>
        <v/>
      </c>
      <c r="E13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4" s="19" t="str">
        <f>IF(_xlfn.XLOOKUP(Sales[[#This Row],[Product Name]],Inventory[Product Name],Inventory[Sale Price],"")=0,"",_xlfn.XLOOKUP(Sales[[#This Row],[Product Name]],Inventory[Product Name],Inventory[Sale Price]))</f>
        <v/>
      </c>
      <c r="I1394" s="19" t="str">
        <f>IFERROR(G1394*H1394,"")</f>
        <v/>
      </c>
      <c r="J1394" s="19"/>
    </row>
    <row r="1395" spans="1:10" ht="21">
      <c r="A1395" s="14">
        <v>1390</v>
      </c>
      <c r="C1395" s="16"/>
      <c r="D1395" s="14" t="str">
        <f>IF(Sales[[#This Row],[Product ID]]="","",Sales[[#This Row],[Date]]&amp;Sales[[#This Row],[Invoice no]])</f>
        <v/>
      </c>
      <c r="E13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5" s="19" t="str">
        <f>IF(_xlfn.XLOOKUP(Sales[[#This Row],[Product Name]],Inventory[Product Name],Inventory[Sale Price],"")=0,"",_xlfn.XLOOKUP(Sales[[#This Row],[Product Name]],Inventory[Product Name],Inventory[Sale Price]))</f>
        <v/>
      </c>
      <c r="I1395" s="19" t="str">
        <f>IFERROR(G1395*H1395,"")</f>
        <v/>
      </c>
      <c r="J1395" s="19"/>
    </row>
    <row r="1396" spans="1:10" ht="21">
      <c r="A1396" s="14">
        <v>1391</v>
      </c>
      <c r="C1396" s="16"/>
      <c r="D1396" s="14" t="str">
        <f>IF(Sales[[#This Row],[Product ID]]="","",Sales[[#This Row],[Date]]&amp;Sales[[#This Row],[Invoice no]])</f>
        <v/>
      </c>
      <c r="E13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6" s="19" t="str">
        <f>IF(_xlfn.XLOOKUP(Sales[[#This Row],[Product Name]],Inventory[Product Name],Inventory[Sale Price],"")=0,"",_xlfn.XLOOKUP(Sales[[#This Row],[Product Name]],Inventory[Product Name],Inventory[Sale Price]))</f>
        <v/>
      </c>
      <c r="I1396" s="19" t="str">
        <f>IFERROR(G1396*H1396,"")</f>
        <v/>
      </c>
      <c r="J1396" s="19"/>
    </row>
    <row r="1397" spans="1:10" ht="21">
      <c r="A1397" s="14">
        <v>1392</v>
      </c>
      <c r="C1397" s="16"/>
      <c r="D1397" s="14" t="str">
        <f>IF(Sales[[#This Row],[Product ID]]="","",Sales[[#This Row],[Date]]&amp;Sales[[#This Row],[Invoice no]])</f>
        <v/>
      </c>
      <c r="E13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7" s="19" t="str">
        <f>IF(_xlfn.XLOOKUP(Sales[[#This Row],[Product Name]],Inventory[Product Name],Inventory[Sale Price],"")=0,"",_xlfn.XLOOKUP(Sales[[#This Row],[Product Name]],Inventory[Product Name],Inventory[Sale Price]))</f>
        <v/>
      </c>
      <c r="I1397" s="19" t="str">
        <f>IFERROR(G1397*H1397,"")</f>
        <v/>
      </c>
      <c r="J1397" s="19"/>
    </row>
    <row r="1398" spans="1:10" ht="21">
      <c r="A1398" s="14">
        <v>1393</v>
      </c>
      <c r="C1398" s="16"/>
      <c r="D1398" s="14" t="str">
        <f>IF(Sales[[#This Row],[Product ID]]="","",Sales[[#This Row],[Date]]&amp;Sales[[#This Row],[Invoice no]])</f>
        <v/>
      </c>
      <c r="E13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8" s="19" t="str">
        <f>IF(_xlfn.XLOOKUP(Sales[[#This Row],[Product Name]],Inventory[Product Name],Inventory[Sale Price],"")=0,"",_xlfn.XLOOKUP(Sales[[#This Row],[Product Name]],Inventory[Product Name],Inventory[Sale Price]))</f>
        <v/>
      </c>
      <c r="I1398" s="19" t="str">
        <f>IFERROR(G1398*H1398,"")</f>
        <v/>
      </c>
      <c r="J1398" s="19"/>
    </row>
    <row r="1399" spans="1:10" ht="21">
      <c r="A1399" s="14">
        <v>1394</v>
      </c>
      <c r="C1399" s="16"/>
      <c r="D1399" s="14" t="str">
        <f>IF(Sales[[#This Row],[Product ID]]="","",Sales[[#This Row],[Date]]&amp;Sales[[#This Row],[Invoice no]])</f>
        <v/>
      </c>
      <c r="E13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399" s="19" t="str">
        <f>IF(_xlfn.XLOOKUP(Sales[[#This Row],[Product Name]],Inventory[Product Name],Inventory[Sale Price],"")=0,"",_xlfn.XLOOKUP(Sales[[#This Row],[Product Name]],Inventory[Product Name],Inventory[Sale Price]))</f>
        <v/>
      </c>
      <c r="I1399" s="19" t="str">
        <f>IFERROR(G1399*H1399,"")</f>
        <v/>
      </c>
      <c r="J1399" s="19"/>
    </row>
    <row r="1400" spans="1:10" ht="21">
      <c r="A1400" s="14">
        <v>1395</v>
      </c>
      <c r="C1400" s="16"/>
      <c r="D1400" s="14" t="str">
        <f>IF(Sales[[#This Row],[Product ID]]="","",Sales[[#This Row],[Date]]&amp;Sales[[#This Row],[Invoice no]])</f>
        <v/>
      </c>
      <c r="E14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0" s="19" t="str">
        <f>IF(_xlfn.XLOOKUP(Sales[[#This Row],[Product Name]],Inventory[Product Name],Inventory[Sale Price],"")=0,"",_xlfn.XLOOKUP(Sales[[#This Row],[Product Name]],Inventory[Product Name],Inventory[Sale Price]))</f>
        <v/>
      </c>
      <c r="I1400" s="19" t="str">
        <f>IFERROR(G1400*H1400,"")</f>
        <v/>
      </c>
      <c r="J1400" s="19"/>
    </row>
    <row r="1401" spans="1:10" ht="21">
      <c r="A1401" s="14">
        <v>1396</v>
      </c>
      <c r="C1401" s="16"/>
      <c r="D1401" s="14" t="str">
        <f>IF(Sales[[#This Row],[Product ID]]="","",Sales[[#This Row],[Date]]&amp;Sales[[#This Row],[Invoice no]])</f>
        <v/>
      </c>
      <c r="E14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1" s="19" t="str">
        <f>IF(_xlfn.XLOOKUP(Sales[[#This Row],[Product Name]],Inventory[Product Name],Inventory[Sale Price],"")=0,"",_xlfn.XLOOKUP(Sales[[#This Row],[Product Name]],Inventory[Product Name],Inventory[Sale Price]))</f>
        <v/>
      </c>
      <c r="I1401" s="19" t="str">
        <f>IFERROR(G1401*H1401,"")</f>
        <v/>
      </c>
      <c r="J1401" s="19"/>
    </row>
    <row r="1402" spans="1:10" ht="21">
      <c r="A1402" s="14">
        <v>1397</v>
      </c>
      <c r="C1402" s="16"/>
      <c r="D1402" s="14" t="str">
        <f>IF(Sales[[#This Row],[Product ID]]="","",Sales[[#This Row],[Date]]&amp;Sales[[#This Row],[Invoice no]])</f>
        <v/>
      </c>
      <c r="E14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2" s="19" t="str">
        <f>IF(_xlfn.XLOOKUP(Sales[[#This Row],[Product Name]],Inventory[Product Name],Inventory[Sale Price],"")=0,"",_xlfn.XLOOKUP(Sales[[#This Row],[Product Name]],Inventory[Product Name],Inventory[Sale Price]))</f>
        <v/>
      </c>
      <c r="I1402" s="19" t="str">
        <f>IFERROR(G1402*H1402,"")</f>
        <v/>
      </c>
      <c r="J1402" s="19"/>
    </row>
    <row r="1403" spans="1:10" ht="21">
      <c r="A1403" s="14">
        <v>1398</v>
      </c>
      <c r="C1403" s="16"/>
      <c r="D1403" s="14" t="str">
        <f>IF(Sales[[#This Row],[Product ID]]="","",Sales[[#This Row],[Date]]&amp;Sales[[#This Row],[Invoice no]])</f>
        <v/>
      </c>
      <c r="E14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3" s="19" t="str">
        <f>IF(_xlfn.XLOOKUP(Sales[[#This Row],[Product Name]],Inventory[Product Name],Inventory[Sale Price],"")=0,"",_xlfn.XLOOKUP(Sales[[#This Row],[Product Name]],Inventory[Product Name],Inventory[Sale Price]))</f>
        <v/>
      </c>
      <c r="I1403" s="19" t="str">
        <f>IFERROR(G1403*H1403,"")</f>
        <v/>
      </c>
      <c r="J1403" s="19"/>
    </row>
    <row r="1404" spans="1:10" ht="21">
      <c r="A1404" s="14">
        <v>1399</v>
      </c>
      <c r="C1404" s="16"/>
      <c r="D1404" s="14" t="str">
        <f>IF(Sales[[#This Row],[Product ID]]="","",Sales[[#This Row],[Date]]&amp;Sales[[#This Row],[Invoice no]])</f>
        <v/>
      </c>
      <c r="E14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4" s="19" t="str">
        <f>IF(_xlfn.XLOOKUP(Sales[[#This Row],[Product Name]],Inventory[Product Name],Inventory[Sale Price],"")=0,"",_xlfn.XLOOKUP(Sales[[#This Row],[Product Name]],Inventory[Product Name],Inventory[Sale Price]))</f>
        <v/>
      </c>
      <c r="I1404" s="19" t="str">
        <f>IFERROR(G1404*H1404,"")</f>
        <v/>
      </c>
      <c r="J1404" s="19"/>
    </row>
    <row r="1405" spans="1:10" ht="21">
      <c r="A1405" s="14">
        <v>1400</v>
      </c>
      <c r="C1405" s="16"/>
      <c r="D1405" s="14" t="str">
        <f>IF(Sales[[#This Row],[Product ID]]="","",Sales[[#This Row],[Date]]&amp;Sales[[#This Row],[Invoice no]])</f>
        <v/>
      </c>
      <c r="E14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5" s="19" t="str">
        <f>IF(_xlfn.XLOOKUP(Sales[[#This Row],[Product Name]],Inventory[Product Name],Inventory[Sale Price],"")=0,"",_xlfn.XLOOKUP(Sales[[#This Row],[Product Name]],Inventory[Product Name],Inventory[Sale Price]))</f>
        <v/>
      </c>
      <c r="I1405" s="19" t="str">
        <f>IFERROR(G1405*H1405,"")</f>
        <v/>
      </c>
      <c r="J1405" s="19"/>
    </row>
    <row r="1406" spans="1:10" ht="21">
      <c r="A1406" s="14">
        <v>1401</v>
      </c>
      <c r="C1406" s="16"/>
      <c r="D1406" s="14" t="str">
        <f>IF(Sales[[#This Row],[Product ID]]="","",Sales[[#This Row],[Date]]&amp;Sales[[#This Row],[Invoice no]])</f>
        <v/>
      </c>
      <c r="E14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6" s="19" t="str">
        <f>IF(_xlfn.XLOOKUP(Sales[[#This Row],[Product Name]],Inventory[Product Name],Inventory[Sale Price],"")=0,"",_xlfn.XLOOKUP(Sales[[#This Row],[Product Name]],Inventory[Product Name],Inventory[Sale Price]))</f>
        <v/>
      </c>
      <c r="I1406" s="19" t="str">
        <f>IFERROR(G1406*H1406,"")</f>
        <v/>
      </c>
      <c r="J1406" s="19"/>
    </row>
    <row r="1407" spans="1:10" ht="21">
      <c r="A1407" s="14">
        <v>1402</v>
      </c>
      <c r="C1407" s="16"/>
      <c r="D1407" s="14" t="str">
        <f>IF(Sales[[#This Row],[Product ID]]="","",Sales[[#This Row],[Date]]&amp;Sales[[#This Row],[Invoice no]])</f>
        <v/>
      </c>
      <c r="E14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7" s="19" t="str">
        <f>IF(_xlfn.XLOOKUP(Sales[[#This Row],[Product Name]],Inventory[Product Name],Inventory[Sale Price],"")=0,"",_xlfn.XLOOKUP(Sales[[#This Row],[Product Name]],Inventory[Product Name],Inventory[Sale Price]))</f>
        <v/>
      </c>
      <c r="I1407" s="19" t="str">
        <f>IFERROR(G1407*H1407,"")</f>
        <v/>
      </c>
      <c r="J1407" s="19"/>
    </row>
    <row r="1408" spans="1:10" ht="21">
      <c r="A1408" s="14">
        <v>1403</v>
      </c>
      <c r="C1408" s="16"/>
      <c r="D1408" s="14" t="str">
        <f>IF(Sales[[#This Row],[Product ID]]="","",Sales[[#This Row],[Date]]&amp;Sales[[#This Row],[Invoice no]])</f>
        <v/>
      </c>
      <c r="E14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8" s="19" t="str">
        <f>IF(_xlfn.XLOOKUP(Sales[[#This Row],[Product Name]],Inventory[Product Name],Inventory[Sale Price],"")=0,"",_xlfn.XLOOKUP(Sales[[#This Row],[Product Name]],Inventory[Product Name],Inventory[Sale Price]))</f>
        <v/>
      </c>
      <c r="I1408" s="19" t="str">
        <f>IFERROR(G1408*H1408,"")</f>
        <v/>
      </c>
      <c r="J1408" s="19"/>
    </row>
    <row r="1409" spans="1:10" ht="21">
      <c r="A1409" s="14">
        <v>1404</v>
      </c>
      <c r="C1409" s="16"/>
      <c r="D1409" s="14" t="str">
        <f>IF(Sales[[#This Row],[Product ID]]="","",Sales[[#This Row],[Date]]&amp;Sales[[#This Row],[Invoice no]])</f>
        <v/>
      </c>
      <c r="E14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09" s="19" t="str">
        <f>IF(_xlfn.XLOOKUP(Sales[[#This Row],[Product Name]],Inventory[Product Name],Inventory[Sale Price],"")=0,"",_xlfn.XLOOKUP(Sales[[#This Row],[Product Name]],Inventory[Product Name],Inventory[Sale Price]))</f>
        <v/>
      </c>
      <c r="I1409" s="19" t="str">
        <f>IFERROR(G1409*H1409,"")</f>
        <v/>
      </c>
      <c r="J1409" s="19"/>
    </row>
    <row r="1410" spans="1:10" ht="21">
      <c r="A1410" s="14">
        <v>1405</v>
      </c>
      <c r="C1410" s="16"/>
      <c r="D1410" s="14" t="str">
        <f>IF(Sales[[#This Row],[Product ID]]="","",Sales[[#This Row],[Date]]&amp;Sales[[#This Row],[Invoice no]])</f>
        <v/>
      </c>
      <c r="E14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0" s="19" t="str">
        <f>IF(_xlfn.XLOOKUP(Sales[[#This Row],[Product Name]],Inventory[Product Name],Inventory[Sale Price],"")=0,"",_xlfn.XLOOKUP(Sales[[#This Row],[Product Name]],Inventory[Product Name],Inventory[Sale Price]))</f>
        <v/>
      </c>
      <c r="I1410" s="19" t="str">
        <f>IFERROR(G1410*H1410,"")</f>
        <v/>
      </c>
      <c r="J1410" s="19"/>
    </row>
    <row r="1411" spans="1:10" ht="21">
      <c r="A1411" s="14">
        <v>1406</v>
      </c>
      <c r="C1411" s="16"/>
      <c r="D1411" s="14" t="str">
        <f>IF(Sales[[#This Row],[Product ID]]="","",Sales[[#This Row],[Date]]&amp;Sales[[#This Row],[Invoice no]])</f>
        <v/>
      </c>
      <c r="E14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1" s="19" t="str">
        <f>IF(_xlfn.XLOOKUP(Sales[[#This Row],[Product Name]],Inventory[Product Name],Inventory[Sale Price],"")=0,"",_xlfn.XLOOKUP(Sales[[#This Row],[Product Name]],Inventory[Product Name],Inventory[Sale Price]))</f>
        <v/>
      </c>
      <c r="I1411" s="19" t="str">
        <f>IFERROR(G1411*H1411,"")</f>
        <v/>
      </c>
      <c r="J1411" s="19"/>
    </row>
    <row r="1412" spans="1:10" ht="21">
      <c r="A1412" s="14">
        <v>1407</v>
      </c>
      <c r="C1412" s="16"/>
      <c r="D1412" s="14" t="str">
        <f>IF(Sales[[#This Row],[Product ID]]="","",Sales[[#This Row],[Date]]&amp;Sales[[#This Row],[Invoice no]])</f>
        <v/>
      </c>
      <c r="E14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2" s="19" t="str">
        <f>IF(_xlfn.XLOOKUP(Sales[[#This Row],[Product Name]],Inventory[Product Name],Inventory[Sale Price],"")=0,"",_xlfn.XLOOKUP(Sales[[#This Row],[Product Name]],Inventory[Product Name],Inventory[Sale Price]))</f>
        <v/>
      </c>
      <c r="I1412" s="19" t="str">
        <f>IFERROR(G1412*H1412,"")</f>
        <v/>
      </c>
      <c r="J1412" s="19"/>
    </row>
    <row r="1413" spans="1:10" ht="21">
      <c r="A1413" s="14">
        <v>1408</v>
      </c>
      <c r="C1413" s="16"/>
      <c r="D1413" s="14" t="str">
        <f>IF(Sales[[#This Row],[Product ID]]="","",Sales[[#This Row],[Date]]&amp;Sales[[#This Row],[Invoice no]])</f>
        <v/>
      </c>
      <c r="E14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3" s="19" t="str">
        <f>IF(_xlfn.XLOOKUP(Sales[[#This Row],[Product Name]],Inventory[Product Name],Inventory[Sale Price],"")=0,"",_xlfn.XLOOKUP(Sales[[#This Row],[Product Name]],Inventory[Product Name],Inventory[Sale Price]))</f>
        <v/>
      </c>
      <c r="I1413" s="19" t="str">
        <f>IFERROR(G1413*H1413,"")</f>
        <v/>
      </c>
      <c r="J1413" s="19"/>
    </row>
    <row r="1414" spans="1:10" ht="21">
      <c r="A1414" s="14">
        <v>1409</v>
      </c>
      <c r="C1414" s="16"/>
      <c r="D1414" s="14" t="str">
        <f>IF(Sales[[#This Row],[Product ID]]="","",Sales[[#This Row],[Date]]&amp;Sales[[#This Row],[Invoice no]])</f>
        <v/>
      </c>
      <c r="E14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4" s="19" t="str">
        <f>IF(_xlfn.XLOOKUP(Sales[[#This Row],[Product Name]],Inventory[Product Name],Inventory[Sale Price],"")=0,"",_xlfn.XLOOKUP(Sales[[#This Row],[Product Name]],Inventory[Product Name],Inventory[Sale Price]))</f>
        <v/>
      </c>
      <c r="I1414" s="19" t="str">
        <f>IFERROR(G1414*H1414,"")</f>
        <v/>
      </c>
      <c r="J1414" s="19"/>
    </row>
    <row r="1415" spans="1:10" ht="21">
      <c r="A1415" s="14">
        <v>1410</v>
      </c>
      <c r="C1415" s="16"/>
      <c r="D1415" s="14" t="str">
        <f>IF(Sales[[#This Row],[Product ID]]="","",Sales[[#This Row],[Date]]&amp;Sales[[#This Row],[Invoice no]])</f>
        <v/>
      </c>
      <c r="E14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5" s="19" t="str">
        <f>IF(_xlfn.XLOOKUP(Sales[[#This Row],[Product Name]],Inventory[Product Name],Inventory[Sale Price],"")=0,"",_xlfn.XLOOKUP(Sales[[#This Row],[Product Name]],Inventory[Product Name],Inventory[Sale Price]))</f>
        <v/>
      </c>
      <c r="I1415" s="19" t="str">
        <f>IFERROR(G1415*H1415,"")</f>
        <v/>
      </c>
      <c r="J1415" s="19"/>
    </row>
    <row r="1416" spans="1:10" ht="21">
      <c r="A1416" s="14">
        <v>1411</v>
      </c>
      <c r="C1416" s="16"/>
      <c r="D1416" s="14" t="str">
        <f>IF(Sales[[#This Row],[Product ID]]="","",Sales[[#This Row],[Date]]&amp;Sales[[#This Row],[Invoice no]])</f>
        <v/>
      </c>
      <c r="E14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6" s="19" t="str">
        <f>IF(_xlfn.XLOOKUP(Sales[[#This Row],[Product Name]],Inventory[Product Name],Inventory[Sale Price],"")=0,"",_xlfn.XLOOKUP(Sales[[#This Row],[Product Name]],Inventory[Product Name],Inventory[Sale Price]))</f>
        <v/>
      </c>
      <c r="I1416" s="19" t="str">
        <f>IFERROR(G1416*H1416,"")</f>
        <v/>
      </c>
      <c r="J1416" s="19"/>
    </row>
    <row r="1417" spans="1:10" ht="21">
      <c r="A1417" s="14">
        <v>1412</v>
      </c>
      <c r="C1417" s="16"/>
      <c r="D1417" s="14" t="str">
        <f>IF(Sales[[#This Row],[Product ID]]="","",Sales[[#This Row],[Date]]&amp;Sales[[#This Row],[Invoice no]])</f>
        <v/>
      </c>
      <c r="E14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7" s="19" t="str">
        <f>IF(_xlfn.XLOOKUP(Sales[[#This Row],[Product Name]],Inventory[Product Name],Inventory[Sale Price],"")=0,"",_xlfn.XLOOKUP(Sales[[#This Row],[Product Name]],Inventory[Product Name],Inventory[Sale Price]))</f>
        <v/>
      </c>
      <c r="I1417" s="19" t="str">
        <f>IFERROR(G1417*H1417,"")</f>
        <v/>
      </c>
      <c r="J1417" s="19"/>
    </row>
    <row r="1418" spans="1:10" ht="21">
      <c r="A1418" s="14">
        <v>1413</v>
      </c>
      <c r="C1418" s="16"/>
      <c r="D1418" s="14" t="str">
        <f>IF(Sales[[#This Row],[Product ID]]="","",Sales[[#This Row],[Date]]&amp;Sales[[#This Row],[Invoice no]])</f>
        <v/>
      </c>
      <c r="E14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8" s="19" t="str">
        <f>IF(_xlfn.XLOOKUP(Sales[[#This Row],[Product Name]],Inventory[Product Name],Inventory[Sale Price],"")=0,"",_xlfn.XLOOKUP(Sales[[#This Row],[Product Name]],Inventory[Product Name],Inventory[Sale Price]))</f>
        <v/>
      </c>
      <c r="I1418" s="19" t="str">
        <f>IFERROR(G1418*H1418,"")</f>
        <v/>
      </c>
      <c r="J1418" s="19"/>
    </row>
    <row r="1419" spans="1:10" ht="21">
      <c r="A1419" s="14">
        <v>1414</v>
      </c>
      <c r="C1419" s="16"/>
      <c r="D1419" s="14" t="str">
        <f>IF(Sales[[#This Row],[Product ID]]="","",Sales[[#This Row],[Date]]&amp;Sales[[#This Row],[Invoice no]])</f>
        <v/>
      </c>
      <c r="E14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19" s="19" t="str">
        <f>IF(_xlfn.XLOOKUP(Sales[[#This Row],[Product Name]],Inventory[Product Name],Inventory[Sale Price],"")=0,"",_xlfn.XLOOKUP(Sales[[#This Row],[Product Name]],Inventory[Product Name],Inventory[Sale Price]))</f>
        <v/>
      </c>
      <c r="I1419" s="19" t="str">
        <f>IFERROR(G1419*H1419,"")</f>
        <v/>
      </c>
      <c r="J1419" s="19"/>
    </row>
    <row r="1420" spans="1:10" ht="21">
      <c r="A1420" s="14">
        <v>1415</v>
      </c>
      <c r="C1420" s="16"/>
      <c r="D1420" s="14" t="str">
        <f>IF(Sales[[#This Row],[Product ID]]="","",Sales[[#This Row],[Date]]&amp;Sales[[#This Row],[Invoice no]])</f>
        <v/>
      </c>
      <c r="E14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0" s="19" t="str">
        <f>IF(_xlfn.XLOOKUP(Sales[[#This Row],[Product Name]],Inventory[Product Name],Inventory[Sale Price],"")=0,"",_xlfn.XLOOKUP(Sales[[#This Row],[Product Name]],Inventory[Product Name],Inventory[Sale Price]))</f>
        <v/>
      </c>
      <c r="I1420" s="19" t="str">
        <f>IFERROR(G1420*H1420,"")</f>
        <v/>
      </c>
      <c r="J1420" s="19"/>
    </row>
    <row r="1421" spans="1:10" ht="21">
      <c r="A1421" s="14">
        <v>1416</v>
      </c>
      <c r="C1421" s="16"/>
      <c r="D1421" s="14" t="str">
        <f>IF(Sales[[#This Row],[Product ID]]="","",Sales[[#This Row],[Date]]&amp;Sales[[#This Row],[Invoice no]])</f>
        <v/>
      </c>
      <c r="E14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1" s="19" t="str">
        <f>IF(_xlfn.XLOOKUP(Sales[[#This Row],[Product Name]],Inventory[Product Name],Inventory[Sale Price],"")=0,"",_xlfn.XLOOKUP(Sales[[#This Row],[Product Name]],Inventory[Product Name],Inventory[Sale Price]))</f>
        <v/>
      </c>
      <c r="I1421" s="19" t="str">
        <f>IFERROR(G1421*H1421,"")</f>
        <v/>
      </c>
      <c r="J1421" s="19"/>
    </row>
    <row r="1422" spans="1:10" ht="21">
      <c r="A1422" s="14">
        <v>1417</v>
      </c>
      <c r="C1422" s="16"/>
      <c r="D1422" s="14" t="str">
        <f>IF(Sales[[#This Row],[Product ID]]="","",Sales[[#This Row],[Date]]&amp;Sales[[#This Row],[Invoice no]])</f>
        <v/>
      </c>
      <c r="E14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2" s="19" t="str">
        <f>IF(_xlfn.XLOOKUP(Sales[[#This Row],[Product Name]],Inventory[Product Name],Inventory[Sale Price],"")=0,"",_xlfn.XLOOKUP(Sales[[#This Row],[Product Name]],Inventory[Product Name],Inventory[Sale Price]))</f>
        <v/>
      </c>
      <c r="I1422" s="19" t="str">
        <f>IFERROR(G1422*H1422,"")</f>
        <v/>
      </c>
      <c r="J1422" s="19"/>
    </row>
    <row r="1423" spans="1:10" ht="21">
      <c r="A1423" s="14">
        <v>1418</v>
      </c>
      <c r="C1423" s="16"/>
      <c r="D1423" s="14" t="str">
        <f>IF(Sales[[#This Row],[Product ID]]="","",Sales[[#This Row],[Date]]&amp;Sales[[#This Row],[Invoice no]])</f>
        <v/>
      </c>
      <c r="E14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3" s="19" t="str">
        <f>IF(_xlfn.XLOOKUP(Sales[[#This Row],[Product Name]],Inventory[Product Name],Inventory[Sale Price],"")=0,"",_xlfn.XLOOKUP(Sales[[#This Row],[Product Name]],Inventory[Product Name],Inventory[Sale Price]))</f>
        <v/>
      </c>
      <c r="I1423" s="19" t="str">
        <f>IFERROR(G1423*H1423,"")</f>
        <v/>
      </c>
      <c r="J1423" s="19"/>
    </row>
    <row r="1424" spans="1:10" ht="21">
      <c r="A1424" s="14">
        <v>1419</v>
      </c>
      <c r="C1424" s="16"/>
      <c r="D1424" s="14" t="str">
        <f>IF(Sales[[#This Row],[Product ID]]="","",Sales[[#This Row],[Date]]&amp;Sales[[#This Row],[Invoice no]])</f>
        <v/>
      </c>
      <c r="E14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4" s="19" t="str">
        <f>IF(_xlfn.XLOOKUP(Sales[[#This Row],[Product Name]],Inventory[Product Name],Inventory[Sale Price],"")=0,"",_xlfn.XLOOKUP(Sales[[#This Row],[Product Name]],Inventory[Product Name],Inventory[Sale Price]))</f>
        <v/>
      </c>
      <c r="I1424" s="19" t="str">
        <f>IFERROR(G1424*H1424,"")</f>
        <v/>
      </c>
      <c r="J1424" s="19"/>
    </row>
    <row r="1425" spans="1:10" ht="21">
      <c r="A1425" s="14">
        <v>1420</v>
      </c>
      <c r="C1425" s="16"/>
      <c r="D1425" s="14" t="str">
        <f>IF(Sales[[#This Row],[Product ID]]="","",Sales[[#This Row],[Date]]&amp;Sales[[#This Row],[Invoice no]])</f>
        <v/>
      </c>
      <c r="E14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5" s="19" t="str">
        <f>IF(_xlfn.XLOOKUP(Sales[[#This Row],[Product Name]],Inventory[Product Name],Inventory[Sale Price],"")=0,"",_xlfn.XLOOKUP(Sales[[#This Row],[Product Name]],Inventory[Product Name],Inventory[Sale Price]))</f>
        <v/>
      </c>
      <c r="I1425" s="19" t="str">
        <f>IFERROR(G1425*H1425,"")</f>
        <v/>
      </c>
      <c r="J1425" s="19"/>
    </row>
    <row r="1426" spans="1:10" ht="21">
      <c r="A1426" s="14">
        <v>1421</v>
      </c>
      <c r="C1426" s="16"/>
      <c r="D1426" s="14" t="str">
        <f>IF(Sales[[#This Row],[Product ID]]="","",Sales[[#This Row],[Date]]&amp;Sales[[#This Row],[Invoice no]])</f>
        <v/>
      </c>
      <c r="E14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6" s="19" t="str">
        <f>IF(_xlfn.XLOOKUP(Sales[[#This Row],[Product Name]],Inventory[Product Name],Inventory[Sale Price],"")=0,"",_xlfn.XLOOKUP(Sales[[#This Row],[Product Name]],Inventory[Product Name],Inventory[Sale Price]))</f>
        <v/>
      </c>
      <c r="I1426" s="19" t="str">
        <f>IFERROR(G1426*H1426,"")</f>
        <v/>
      </c>
      <c r="J1426" s="19"/>
    </row>
    <row r="1427" spans="1:10" ht="21">
      <c r="A1427" s="14">
        <v>1422</v>
      </c>
      <c r="C1427" s="16"/>
      <c r="D1427" s="14" t="str">
        <f>IF(Sales[[#This Row],[Product ID]]="","",Sales[[#This Row],[Date]]&amp;Sales[[#This Row],[Invoice no]])</f>
        <v/>
      </c>
      <c r="E14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7" s="19" t="str">
        <f>IF(_xlfn.XLOOKUP(Sales[[#This Row],[Product Name]],Inventory[Product Name],Inventory[Sale Price],"")=0,"",_xlfn.XLOOKUP(Sales[[#This Row],[Product Name]],Inventory[Product Name],Inventory[Sale Price]))</f>
        <v/>
      </c>
      <c r="I1427" s="19" t="str">
        <f>IFERROR(G1427*H1427,"")</f>
        <v/>
      </c>
      <c r="J1427" s="19"/>
    </row>
    <row r="1428" spans="1:10" ht="21">
      <c r="A1428" s="14">
        <v>1423</v>
      </c>
      <c r="C1428" s="16"/>
      <c r="D1428" s="14" t="str">
        <f>IF(Sales[[#This Row],[Product ID]]="","",Sales[[#This Row],[Date]]&amp;Sales[[#This Row],[Invoice no]])</f>
        <v/>
      </c>
      <c r="E14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8" s="19" t="str">
        <f>IF(_xlfn.XLOOKUP(Sales[[#This Row],[Product Name]],Inventory[Product Name],Inventory[Sale Price],"")=0,"",_xlfn.XLOOKUP(Sales[[#This Row],[Product Name]],Inventory[Product Name],Inventory[Sale Price]))</f>
        <v/>
      </c>
      <c r="I1428" s="19" t="str">
        <f>IFERROR(G1428*H1428,"")</f>
        <v/>
      </c>
      <c r="J1428" s="19"/>
    </row>
    <row r="1429" spans="1:10" ht="21">
      <c r="A1429" s="14">
        <v>1424</v>
      </c>
      <c r="C1429" s="16"/>
      <c r="D1429" s="14" t="str">
        <f>IF(Sales[[#This Row],[Product ID]]="","",Sales[[#This Row],[Date]]&amp;Sales[[#This Row],[Invoice no]])</f>
        <v/>
      </c>
      <c r="E14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29" s="19" t="str">
        <f>IF(_xlfn.XLOOKUP(Sales[[#This Row],[Product Name]],Inventory[Product Name],Inventory[Sale Price],"")=0,"",_xlfn.XLOOKUP(Sales[[#This Row],[Product Name]],Inventory[Product Name],Inventory[Sale Price]))</f>
        <v/>
      </c>
      <c r="I1429" s="19" t="str">
        <f>IFERROR(G1429*H1429,"")</f>
        <v/>
      </c>
      <c r="J1429" s="19"/>
    </row>
    <row r="1430" spans="1:10" ht="21">
      <c r="A1430" s="14">
        <v>1425</v>
      </c>
      <c r="C1430" s="16"/>
      <c r="D1430" s="14" t="str">
        <f>IF(Sales[[#This Row],[Product ID]]="","",Sales[[#This Row],[Date]]&amp;Sales[[#This Row],[Invoice no]])</f>
        <v/>
      </c>
      <c r="E14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0" s="19" t="str">
        <f>IF(_xlfn.XLOOKUP(Sales[[#This Row],[Product Name]],Inventory[Product Name],Inventory[Sale Price],"")=0,"",_xlfn.XLOOKUP(Sales[[#This Row],[Product Name]],Inventory[Product Name],Inventory[Sale Price]))</f>
        <v/>
      </c>
      <c r="I1430" s="19" t="str">
        <f>IFERROR(G1430*H1430,"")</f>
        <v/>
      </c>
      <c r="J1430" s="19"/>
    </row>
    <row r="1431" spans="1:10" ht="21">
      <c r="A1431" s="14">
        <v>1426</v>
      </c>
      <c r="C1431" s="16"/>
      <c r="D1431" s="14" t="str">
        <f>IF(Sales[[#This Row],[Product ID]]="","",Sales[[#This Row],[Date]]&amp;Sales[[#This Row],[Invoice no]])</f>
        <v/>
      </c>
      <c r="E14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1" s="19" t="str">
        <f>IF(_xlfn.XLOOKUP(Sales[[#This Row],[Product Name]],Inventory[Product Name],Inventory[Sale Price],"")=0,"",_xlfn.XLOOKUP(Sales[[#This Row],[Product Name]],Inventory[Product Name],Inventory[Sale Price]))</f>
        <v/>
      </c>
      <c r="I1431" s="19" t="str">
        <f>IFERROR(G1431*H1431,"")</f>
        <v/>
      </c>
      <c r="J1431" s="19"/>
    </row>
    <row r="1432" spans="1:10" ht="21">
      <c r="A1432" s="14">
        <v>1427</v>
      </c>
      <c r="C1432" s="16"/>
      <c r="D1432" s="14" t="str">
        <f>IF(Sales[[#This Row],[Product ID]]="","",Sales[[#This Row],[Date]]&amp;Sales[[#This Row],[Invoice no]])</f>
        <v/>
      </c>
      <c r="E14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2" s="19" t="str">
        <f>IF(_xlfn.XLOOKUP(Sales[[#This Row],[Product Name]],Inventory[Product Name],Inventory[Sale Price],"")=0,"",_xlfn.XLOOKUP(Sales[[#This Row],[Product Name]],Inventory[Product Name],Inventory[Sale Price]))</f>
        <v/>
      </c>
      <c r="I1432" s="19" t="str">
        <f>IFERROR(G1432*H1432,"")</f>
        <v/>
      </c>
      <c r="J1432" s="19"/>
    </row>
    <row r="1433" spans="1:10" ht="21">
      <c r="A1433" s="14">
        <v>1428</v>
      </c>
      <c r="C1433" s="16"/>
      <c r="D1433" s="14" t="str">
        <f>IF(Sales[[#This Row],[Product ID]]="","",Sales[[#This Row],[Date]]&amp;Sales[[#This Row],[Invoice no]])</f>
        <v/>
      </c>
      <c r="E14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3" s="19" t="str">
        <f>IF(_xlfn.XLOOKUP(Sales[[#This Row],[Product Name]],Inventory[Product Name],Inventory[Sale Price],"")=0,"",_xlfn.XLOOKUP(Sales[[#This Row],[Product Name]],Inventory[Product Name],Inventory[Sale Price]))</f>
        <v/>
      </c>
      <c r="I1433" s="19" t="str">
        <f>IFERROR(G1433*H1433,"")</f>
        <v/>
      </c>
      <c r="J1433" s="19"/>
    </row>
    <row r="1434" spans="1:10" ht="21">
      <c r="A1434" s="14">
        <v>1429</v>
      </c>
      <c r="C1434" s="16"/>
      <c r="D1434" s="14" t="str">
        <f>IF(Sales[[#This Row],[Product ID]]="","",Sales[[#This Row],[Date]]&amp;Sales[[#This Row],[Invoice no]])</f>
        <v/>
      </c>
      <c r="E14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4" s="19" t="str">
        <f>IF(_xlfn.XLOOKUP(Sales[[#This Row],[Product Name]],Inventory[Product Name],Inventory[Sale Price],"")=0,"",_xlfn.XLOOKUP(Sales[[#This Row],[Product Name]],Inventory[Product Name],Inventory[Sale Price]))</f>
        <v/>
      </c>
      <c r="I1434" s="19" t="str">
        <f>IFERROR(G1434*H1434,"")</f>
        <v/>
      </c>
      <c r="J1434" s="19"/>
    </row>
    <row r="1435" spans="1:10" ht="21">
      <c r="A1435" s="14">
        <v>1430</v>
      </c>
      <c r="C1435" s="16"/>
      <c r="D1435" s="14" t="str">
        <f>IF(Sales[[#This Row],[Product ID]]="","",Sales[[#This Row],[Date]]&amp;Sales[[#This Row],[Invoice no]])</f>
        <v/>
      </c>
      <c r="E14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5" s="19" t="str">
        <f>IF(_xlfn.XLOOKUP(Sales[[#This Row],[Product Name]],Inventory[Product Name],Inventory[Sale Price],"")=0,"",_xlfn.XLOOKUP(Sales[[#This Row],[Product Name]],Inventory[Product Name],Inventory[Sale Price]))</f>
        <v/>
      </c>
      <c r="I1435" s="19" t="str">
        <f>IFERROR(G1435*H1435,"")</f>
        <v/>
      </c>
      <c r="J1435" s="19"/>
    </row>
    <row r="1436" spans="1:10" ht="21">
      <c r="A1436" s="14">
        <v>1431</v>
      </c>
      <c r="C1436" s="16"/>
      <c r="D1436" s="14" t="str">
        <f>IF(Sales[[#This Row],[Product ID]]="","",Sales[[#This Row],[Date]]&amp;Sales[[#This Row],[Invoice no]])</f>
        <v/>
      </c>
      <c r="E14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6" s="19" t="str">
        <f>IF(_xlfn.XLOOKUP(Sales[[#This Row],[Product Name]],Inventory[Product Name],Inventory[Sale Price],"")=0,"",_xlfn.XLOOKUP(Sales[[#This Row],[Product Name]],Inventory[Product Name],Inventory[Sale Price]))</f>
        <v/>
      </c>
      <c r="I1436" s="19" t="str">
        <f>IFERROR(G1436*H1436,"")</f>
        <v/>
      </c>
      <c r="J1436" s="19"/>
    </row>
    <row r="1437" spans="1:10" ht="21">
      <c r="A1437" s="14">
        <v>1432</v>
      </c>
      <c r="C1437" s="16"/>
      <c r="D1437" s="14" t="str">
        <f>IF(Sales[[#This Row],[Product ID]]="","",Sales[[#This Row],[Date]]&amp;Sales[[#This Row],[Invoice no]])</f>
        <v/>
      </c>
      <c r="E14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7" s="19" t="str">
        <f>IF(_xlfn.XLOOKUP(Sales[[#This Row],[Product Name]],Inventory[Product Name],Inventory[Sale Price],"")=0,"",_xlfn.XLOOKUP(Sales[[#This Row],[Product Name]],Inventory[Product Name],Inventory[Sale Price]))</f>
        <v/>
      </c>
      <c r="I1437" s="19" t="str">
        <f>IFERROR(G1437*H1437,"")</f>
        <v/>
      </c>
      <c r="J1437" s="19"/>
    </row>
    <row r="1438" spans="1:10" ht="21">
      <c r="A1438" s="14">
        <v>1433</v>
      </c>
      <c r="C1438" s="16"/>
      <c r="D1438" s="14" t="str">
        <f>IF(Sales[[#This Row],[Product ID]]="","",Sales[[#This Row],[Date]]&amp;Sales[[#This Row],[Invoice no]])</f>
        <v/>
      </c>
      <c r="E14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8" s="19" t="str">
        <f>IF(_xlfn.XLOOKUP(Sales[[#This Row],[Product Name]],Inventory[Product Name],Inventory[Sale Price],"")=0,"",_xlfn.XLOOKUP(Sales[[#This Row],[Product Name]],Inventory[Product Name],Inventory[Sale Price]))</f>
        <v/>
      </c>
      <c r="I1438" s="19" t="str">
        <f>IFERROR(G1438*H1438,"")</f>
        <v/>
      </c>
      <c r="J1438" s="19"/>
    </row>
    <row r="1439" spans="1:10" ht="21">
      <c r="A1439" s="14">
        <v>1434</v>
      </c>
      <c r="C1439" s="16"/>
      <c r="D1439" s="14" t="str">
        <f>IF(Sales[[#This Row],[Product ID]]="","",Sales[[#This Row],[Date]]&amp;Sales[[#This Row],[Invoice no]])</f>
        <v/>
      </c>
      <c r="E14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39" s="19" t="str">
        <f>IF(_xlfn.XLOOKUP(Sales[[#This Row],[Product Name]],Inventory[Product Name],Inventory[Sale Price],"")=0,"",_xlfn.XLOOKUP(Sales[[#This Row],[Product Name]],Inventory[Product Name],Inventory[Sale Price]))</f>
        <v/>
      </c>
      <c r="I1439" s="19" t="str">
        <f>IFERROR(G1439*H1439,"")</f>
        <v/>
      </c>
      <c r="J1439" s="19"/>
    </row>
    <row r="1440" spans="1:10" ht="21">
      <c r="A1440" s="14">
        <v>1435</v>
      </c>
      <c r="C1440" s="16"/>
      <c r="D1440" s="14" t="str">
        <f>IF(Sales[[#This Row],[Product ID]]="","",Sales[[#This Row],[Date]]&amp;Sales[[#This Row],[Invoice no]])</f>
        <v/>
      </c>
      <c r="E14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0" s="19" t="str">
        <f>IF(_xlfn.XLOOKUP(Sales[[#This Row],[Product Name]],Inventory[Product Name],Inventory[Sale Price],"")=0,"",_xlfn.XLOOKUP(Sales[[#This Row],[Product Name]],Inventory[Product Name],Inventory[Sale Price]))</f>
        <v/>
      </c>
      <c r="I1440" s="19" t="str">
        <f>IFERROR(G1440*H1440,"")</f>
        <v/>
      </c>
      <c r="J1440" s="19"/>
    </row>
    <row r="1441" spans="1:10" ht="21">
      <c r="A1441" s="14">
        <v>1436</v>
      </c>
      <c r="C1441" s="16"/>
      <c r="D1441" s="14" t="str">
        <f>IF(Sales[[#This Row],[Product ID]]="","",Sales[[#This Row],[Date]]&amp;Sales[[#This Row],[Invoice no]])</f>
        <v/>
      </c>
      <c r="E14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1" s="19" t="str">
        <f>IF(_xlfn.XLOOKUP(Sales[[#This Row],[Product Name]],Inventory[Product Name],Inventory[Sale Price],"")=0,"",_xlfn.XLOOKUP(Sales[[#This Row],[Product Name]],Inventory[Product Name],Inventory[Sale Price]))</f>
        <v/>
      </c>
      <c r="I1441" s="19" t="str">
        <f>IFERROR(G1441*H1441,"")</f>
        <v/>
      </c>
      <c r="J1441" s="19"/>
    </row>
    <row r="1442" spans="1:10" ht="21">
      <c r="A1442" s="14">
        <v>1437</v>
      </c>
      <c r="C1442" s="16"/>
      <c r="D1442" s="14" t="str">
        <f>IF(Sales[[#This Row],[Product ID]]="","",Sales[[#This Row],[Date]]&amp;Sales[[#This Row],[Invoice no]])</f>
        <v/>
      </c>
      <c r="E14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2" s="19" t="str">
        <f>IF(_xlfn.XLOOKUP(Sales[[#This Row],[Product Name]],Inventory[Product Name],Inventory[Sale Price],"")=0,"",_xlfn.XLOOKUP(Sales[[#This Row],[Product Name]],Inventory[Product Name],Inventory[Sale Price]))</f>
        <v/>
      </c>
      <c r="I1442" s="19" t="str">
        <f>IFERROR(G1442*H1442,"")</f>
        <v/>
      </c>
      <c r="J1442" s="19"/>
    </row>
    <row r="1443" spans="1:10" ht="21">
      <c r="A1443" s="14">
        <v>1438</v>
      </c>
      <c r="C1443" s="16"/>
      <c r="D1443" s="14" t="str">
        <f>IF(Sales[[#This Row],[Product ID]]="","",Sales[[#This Row],[Date]]&amp;Sales[[#This Row],[Invoice no]])</f>
        <v/>
      </c>
      <c r="E14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3" s="19" t="str">
        <f>IF(_xlfn.XLOOKUP(Sales[[#This Row],[Product Name]],Inventory[Product Name],Inventory[Sale Price],"")=0,"",_xlfn.XLOOKUP(Sales[[#This Row],[Product Name]],Inventory[Product Name],Inventory[Sale Price]))</f>
        <v/>
      </c>
      <c r="I1443" s="19" t="str">
        <f>IFERROR(G1443*H1443,"")</f>
        <v/>
      </c>
      <c r="J1443" s="19"/>
    </row>
    <row r="1444" spans="1:10" ht="21">
      <c r="A1444" s="14">
        <v>1439</v>
      </c>
      <c r="C1444" s="16"/>
      <c r="D1444" s="14" t="str">
        <f>IF(Sales[[#This Row],[Product ID]]="","",Sales[[#This Row],[Date]]&amp;Sales[[#This Row],[Invoice no]])</f>
        <v/>
      </c>
      <c r="E14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4" s="19" t="str">
        <f>IF(_xlfn.XLOOKUP(Sales[[#This Row],[Product Name]],Inventory[Product Name],Inventory[Sale Price],"")=0,"",_xlfn.XLOOKUP(Sales[[#This Row],[Product Name]],Inventory[Product Name],Inventory[Sale Price]))</f>
        <v/>
      </c>
      <c r="I1444" s="19" t="str">
        <f>IFERROR(G1444*H1444,"")</f>
        <v/>
      </c>
      <c r="J1444" s="19"/>
    </row>
    <row r="1445" spans="1:10" ht="21">
      <c r="A1445" s="14">
        <v>1440</v>
      </c>
      <c r="C1445" s="16"/>
      <c r="D1445" s="14" t="str">
        <f>IF(Sales[[#This Row],[Product ID]]="","",Sales[[#This Row],[Date]]&amp;Sales[[#This Row],[Invoice no]])</f>
        <v/>
      </c>
      <c r="E14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5" s="19" t="str">
        <f>IF(_xlfn.XLOOKUP(Sales[[#This Row],[Product Name]],Inventory[Product Name],Inventory[Sale Price],"")=0,"",_xlfn.XLOOKUP(Sales[[#This Row],[Product Name]],Inventory[Product Name],Inventory[Sale Price]))</f>
        <v/>
      </c>
      <c r="I1445" s="19" t="str">
        <f>IFERROR(G1445*H1445,"")</f>
        <v/>
      </c>
      <c r="J1445" s="19"/>
    </row>
    <row r="1446" spans="1:10" ht="21">
      <c r="A1446" s="14">
        <v>1441</v>
      </c>
      <c r="C1446" s="16"/>
      <c r="D1446" s="14" t="str">
        <f>IF(Sales[[#This Row],[Product ID]]="","",Sales[[#This Row],[Date]]&amp;Sales[[#This Row],[Invoice no]])</f>
        <v/>
      </c>
      <c r="E14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6" s="19" t="str">
        <f>IF(_xlfn.XLOOKUP(Sales[[#This Row],[Product Name]],Inventory[Product Name],Inventory[Sale Price],"")=0,"",_xlfn.XLOOKUP(Sales[[#This Row],[Product Name]],Inventory[Product Name],Inventory[Sale Price]))</f>
        <v/>
      </c>
      <c r="I1446" s="19" t="str">
        <f>IFERROR(G1446*H1446,"")</f>
        <v/>
      </c>
      <c r="J1446" s="19"/>
    </row>
    <row r="1447" spans="1:10" ht="21">
      <c r="A1447" s="14">
        <v>1442</v>
      </c>
      <c r="C1447" s="16"/>
      <c r="D1447" s="14" t="str">
        <f>IF(Sales[[#This Row],[Product ID]]="","",Sales[[#This Row],[Date]]&amp;Sales[[#This Row],[Invoice no]])</f>
        <v/>
      </c>
      <c r="E14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7" s="19" t="str">
        <f>IF(_xlfn.XLOOKUP(Sales[[#This Row],[Product Name]],Inventory[Product Name],Inventory[Sale Price],"")=0,"",_xlfn.XLOOKUP(Sales[[#This Row],[Product Name]],Inventory[Product Name],Inventory[Sale Price]))</f>
        <v/>
      </c>
      <c r="I1447" s="19" t="str">
        <f>IFERROR(G1447*H1447,"")</f>
        <v/>
      </c>
      <c r="J1447" s="19"/>
    </row>
    <row r="1448" spans="1:10" ht="21">
      <c r="A1448" s="14">
        <v>1443</v>
      </c>
      <c r="C1448" s="16"/>
      <c r="D1448" s="14" t="str">
        <f>IF(Sales[[#This Row],[Product ID]]="","",Sales[[#This Row],[Date]]&amp;Sales[[#This Row],[Invoice no]])</f>
        <v/>
      </c>
      <c r="E14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8" s="19" t="str">
        <f>IF(_xlfn.XLOOKUP(Sales[[#This Row],[Product Name]],Inventory[Product Name],Inventory[Sale Price],"")=0,"",_xlfn.XLOOKUP(Sales[[#This Row],[Product Name]],Inventory[Product Name],Inventory[Sale Price]))</f>
        <v/>
      </c>
      <c r="I1448" s="19" t="str">
        <f>IFERROR(G1448*H1448,"")</f>
        <v/>
      </c>
      <c r="J1448" s="19"/>
    </row>
    <row r="1449" spans="1:10" ht="21">
      <c r="A1449" s="14">
        <v>1444</v>
      </c>
      <c r="C1449" s="16"/>
      <c r="D1449" s="14" t="str">
        <f>IF(Sales[[#This Row],[Product ID]]="","",Sales[[#This Row],[Date]]&amp;Sales[[#This Row],[Invoice no]])</f>
        <v/>
      </c>
      <c r="E14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49" s="19" t="str">
        <f>IF(_xlfn.XLOOKUP(Sales[[#This Row],[Product Name]],Inventory[Product Name],Inventory[Sale Price],"")=0,"",_xlfn.XLOOKUP(Sales[[#This Row],[Product Name]],Inventory[Product Name],Inventory[Sale Price]))</f>
        <v/>
      </c>
      <c r="I1449" s="19" t="str">
        <f>IFERROR(G1449*H1449,"")</f>
        <v/>
      </c>
      <c r="J1449" s="19"/>
    </row>
    <row r="1450" spans="1:10" ht="21">
      <c r="A1450" s="14">
        <v>1445</v>
      </c>
      <c r="C1450" s="16"/>
      <c r="D1450" s="14" t="str">
        <f>IF(Sales[[#This Row],[Product ID]]="","",Sales[[#This Row],[Date]]&amp;Sales[[#This Row],[Invoice no]])</f>
        <v/>
      </c>
      <c r="E14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0" s="19" t="str">
        <f>IF(_xlfn.XLOOKUP(Sales[[#This Row],[Product Name]],Inventory[Product Name],Inventory[Sale Price],"")=0,"",_xlfn.XLOOKUP(Sales[[#This Row],[Product Name]],Inventory[Product Name],Inventory[Sale Price]))</f>
        <v/>
      </c>
      <c r="I1450" s="19" t="str">
        <f>IFERROR(G1450*H1450,"")</f>
        <v/>
      </c>
      <c r="J1450" s="19"/>
    </row>
    <row r="1451" spans="1:10" ht="21">
      <c r="A1451" s="14">
        <v>1446</v>
      </c>
      <c r="C1451" s="16"/>
      <c r="D1451" s="14" t="str">
        <f>IF(Sales[[#This Row],[Product ID]]="","",Sales[[#This Row],[Date]]&amp;Sales[[#This Row],[Invoice no]])</f>
        <v/>
      </c>
      <c r="E14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1" s="19" t="str">
        <f>IF(_xlfn.XLOOKUP(Sales[[#This Row],[Product Name]],Inventory[Product Name],Inventory[Sale Price],"")=0,"",_xlfn.XLOOKUP(Sales[[#This Row],[Product Name]],Inventory[Product Name],Inventory[Sale Price]))</f>
        <v/>
      </c>
      <c r="I1451" s="19" t="str">
        <f>IFERROR(G1451*H1451,"")</f>
        <v/>
      </c>
      <c r="J1451" s="19"/>
    </row>
    <row r="1452" spans="1:10" ht="21">
      <c r="A1452" s="14">
        <v>1447</v>
      </c>
      <c r="C1452" s="16"/>
      <c r="D1452" s="14" t="str">
        <f>IF(Sales[[#This Row],[Product ID]]="","",Sales[[#This Row],[Date]]&amp;Sales[[#This Row],[Invoice no]])</f>
        <v/>
      </c>
      <c r="E14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2" s="19" t="str">
        <f>IF(_xlfn.XLOOKUP(Sales[[#This Row],[Product Name]],Inventory[Product Name],Inventory[Sale Price],"")=0,"",_xlfn.XLOOKUP(Sales[[#This Row],[Product Name]],Inventory[Product Name],Inventory[Sale Price]))</f>
        <v/>
      </c>
      <c r="I1452" s="19" t="str">
        <f>IFERROR(G1452*H1452,"")</f>
        <v/>
      </c>
      <c r="J1452" s="19"/>
    </row>
    <row r="1453" spans="1:10" ht="21">
      <c r="A1453" s="14">
        <v>1448</v>
      </c>
      <c r="C1453" s="16"/>
      <c r="D1453" s="14" t="str">
        <f>IF(Sales[[#This Row],[Product ID]]="","",Sales[[#This Row],[Date]]&amp;Sales[[#This Row],[Invoice no]])</f>
        <v/>
      </c>
      <c r="E14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3" s="19" t="str">
        <f>IF(_xlfn.XLOOKUP(Sales[[#This Row],[Product Name]],Inventory[Product Name],Inventory[Sale Price],"")=0,"",_xlfn.XLOOKUP(Sales[[#This Row],[Product Name]],Inventory[Product Name],Inventory[Sale Price]))</f>
        <v/>
      </c>
      <c r="I1453" s="19" t="str">
        <f>IFERROR(G1453*H1453,"")</f>
        <v/>
      </c>
      <c r="J1453" s="19"/>
    </row>
    <row r="1454" spans="1:10" ht="21">
      <c r="A1454" s="14">
        <v>1449</v>
      </c>
      <c r="C1454" s="16"/>
      <c r="D1454" s="14" t="str">
        <f>IF(Sales[[#This Row],[Product ID]]="","",Sales[[#This Row],[Date]]&amp;Sales[[#This Row],[Invoice no]])</f>
        <v/>
      </c>
      <c r="E14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4" s="19" t="str">
        <f>IF(_xlfn.XLOOKUP(Sales[[#This Row],[Product Name]],Inventory[Product Name],Inventory[Sale Price],"")=0,"",_xlfn.XLOOKUP(Sales[[#This Row],[Product Name]],Inventory[Product Name],Inventory[Sale Price]))</f>
        <v/>
      </c>
      <c r="I1454" s="19" t="str">
        <f>IFERROR(G1454*H1454,"")</f>
        <v/>
      </c>
      <c r="J1454" s="19"/>
    </row>
    <row r="1455" spans="1:10" ht="21">
      <c r="A1455" s="14">
        <v>1450</v>
      </c>
      <c r="C1455" s="16"/>
      <c r="D1455" s="14" t="str">
        <f>IF(Sales[[#This Row],[Product ID]]="","",Sales[[#This Row],[Date]]&amp;Sales[[#This Row],[Invoice no]])</f>
        <v/>
      </c>
      <c r="E14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5" s="19" t="str">
        <f>IF(_xlfn.XLOOKUP(Sales[[#This Row],[Product Name]],Inventory[Product Name],Inventory[Sale Price],"")=0,"",_xlfn.XLOOKUP(Sales[[#This Row],[Product Name]],Inventory[Product Name],Inventory[Sale Price]))</f>
        <v/>
      </c>
      <c r="I1455" s="19" t="str">
        <f>IFERROR(G1455*H1455,"")</f>
        <v/>
      </c>
      <c r="J1455" s="19"/>
    </row>
    <row r="1456" spans="1:10" ht="21">
      <c r="A1456" s="14">
        <v>1451</v>
      </c>
      <c r="C1456" s="16"/>
      <c r="D1456" s="14" t="str">
        <f>IF(Sales[[#This Row],[Product ID]]="","",Sales[[#This Row],[Date]]&amp;Sales[[#This Row],[Invoice no]])</f>
        <v/>
      </c>
      <c r="E14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6" s="19" t="str">
        <f>IF(_xlfn.XLOOKUP(Sales[[#This Row],[Product Name]],Inventory[Product Name],Inventory[Sale Price],"")=0,"",_xlfn.XLOOKUP(Sales[[#This Row],[Product Name]],Inventory[Product Name],Inventory[Sale Price]))</f>
        <v/>
      </c>
      <c r="I1456" s="19" t="str">
        <f>IFERROR(G1456*H1456,"")</f>
        <v/>
      </c>
      <c r="J1456" s="19"/>
    </row>
    <row r="1457" spans="1:10" ht="21">
      <c r="A1457" s="14">
        <v>1452</v>
      </c>
      <c r="C1457" s="16"/>
      <c r="D1457" s="14" t="str">
        <f>IF(Sales[[#This Row],[Product ID]]="","",Sales[[#This Row],[Date]]&amp;Sales[[#This Row],[Invoice no]])</f>
        <v/>
      </c>
      <c r="E14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7" s="19" t="str">
        <f>IF(_xlfn.XLOOKUP(Sales[[#This Row],[Product Name]],Inventory[Product Name],Inventory[Sale Price],"")=0,"",_xlfn.XLOOKUP(Sales[[#This Row],[Product Name]],Inventory[Product Name],Inventory[Sale Price]))</f>
        <v/>
      </c>
      <c r="I1457" s="19" t="str">
        <f>IFERROR(G1457*H1457,"")</f>
        <v/>
      </c>
      <c r="J1457" s="19"/>
    </row>
    <row r="1458" spans="1:10" ht="21">
      <c r="A1458" s="14">
        <v>1453</v>
      </c>
      <c r="C1458" s="16"/>
      <c r="D1458" s="14" t="str">
        <f>IF(Sales[[#This Row],[Product ID]]="","",Sales[[#This Row],[Date]]&amp;Sales[[#This Row],[Invoice no]])</f>
        <v/>
      </c>
      <c r="E14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8" s="19" t="str">
        <f>IF(_xlfn.XLOOKUP(Sales[[#This Row],[Product Name]],Inventory[Product Name],Inventory[Sale Price],"")=0,"",_xlfn.XLOOKUP(Sales[[#This Row],[Product Name]],Inventory[Product Name],Inventory[Sale Price]))</f>
        <v/>
      </c>
      <c r="I1458" s="19" t="str">
        <f>IFERROR(G1458*H1458,"")</f>
        <v/>
      </c>
      <c r="J1458" s="19"/>
    </row>
    <row r="1459" spans="1:10" ht="21">
      <c r="A1459" s="14">
        <v>1454</v>
      </c>
      <c r="C1459" s="16"/>
      <c r="D1459" s="14" t="str">
        <f>IF(Sales[[#This Row],[Product ID]]="","",Sales[[#This Row],[Date]]&amp;Sales[[#This Row],[Invoice no]])</f>
        <v/>
      </c>
      <c r="E14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59" s="19" t="str">
        <f>IF(_xlfn.XLOOKUP(Sales[[#This Row],[Product Name]],Inventory[Product Name],Inventory[Sale Price],"")=0,"",_xlfn.XLOOKUP(Sales[[#This Row],[Product Name]],Inventory[Product Name],Inventory[Sale Price]))</f>
        <v/>
      </c>
      <c r="I1459" s="19" t="str">
        <f>IFERROR(G1459*H1459,"")</f>
        <v/>
      </c>
      <c r="J1459" s="19"/>
    </row>
    <row r="1460" spans="1:10" ht="21">
      <c r="A1460" s="14">
        <v>1455</v>
      </c>
      <c r="C1460" s="16"/>
      <c r="D1460" s="14" t="str">
        <f>IF(Sales[[#This Row],[Product ID]]="","",Sales[[#This Row],[Date]]&amp;Sales[[#This Row],[Invoice no]])</f>
        <v/>
      </c>
      <c r="E14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0" s="19" t="str">
        <f>IF(_xlfn.XLOOKUP(Sales[[#This Row],[Product Name]],Inventory[Product Name],Inventory[Sale Price],"")=0,"",_xlfn.XLOOKUP(Sales[[#This Row],[Product Name]],Inventory[Product Name],Inventory[Sale Price]))</f>
        <v/>
      </c>
      <c r="I1460" s="19" t="str">
        <f>IFERROR(G1460*H1460,"")</f>
        <v/>
      </c>
      <c r="J1460" s="19"/>
    </row>
    <row r="1461" spans="1:10" ht="21">
      <c r="A1461" s="14">
        <v>1456</v>
      </c>
      <c r="C1461" s="16"/>
      <c r="D1461" s="14" t="str">
        <f>IF(Sales[[#This Row],[Product ID]]="","",Sales[[#This Row],[Date]]&amp;Sales[[#This Row],[Invoice no]])</f>
        <v/>
      </c>
      <c r="E14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1" s="19" t="str">
        <f>IF(_xlfn.XLOOKUP(Sales[[#This Row],[Product Name]],Inventory[Product Name],Inventory[Sale Price],"")=0,"",_xlfn.XLOOKUP(Sales[[#This Row],[Product Name]],Inventory[Product Name],Inventory[Sale Price]))</f>
        <v/>
      </c>
      <c r="I1461" s="19" t="str">
        <f>IFERROR(G1461*H1461,"")</f>
        <v/>
      </c>
      <c r="J1461" s="19"/>
    </row>
    <row r="1462" spans="1:10" ht="21">
      <c r="A1462" s="14">
        <v>1457</v>
      </c>
      <c r="C1462" s="16"/>
      <c r="D1462" s="14" t="str">
        <f>IF(Sales[[#This Row],[Product ID]]="","",Sales[[#This Row],[Date]]&amp;Sales[[#This Row],[Invoice no]])</f>
        <v/>
      </c>
      <c r="E14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2" s="19" t="str">
        <f>IF(_xlfn.XLOOKUP(Sales[[#This Row],[Product Name]],Inventory[Product Name],Inventory[Sale Price],"")=0,"",_xlfn.XLOOKUP(Sales[[#This Row],[Product Name]],Inventory[Product Name],Inventory[Sale Price]))</f>
        <v/>
      </c>
      <c r="I1462" s="19" t="str">
        <f>IFERROR(G1462*H1462,"")</f>
        <v/>
      </c>
      <c r="J1462" s="19"/>
    </row>
    <row r="1463" spans="1:10" ht="21">
      <c r="A1463" s="14">
        <v>1458</v>
      </c>
      <c r="C1463" s="16"/>
      <c r="D1463" s="14" t="str">
        <f>IF(Sales[[#This Row],[Product ID]]="","",Sales[[#This Row],[Date]]&amp;Sales[[#This Row],[Invoice no]])</f>
        <v/>
      </c>
      <c r="E14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3" s="19" t="str">
        <f>IF(_xlfn.XLOOKUP(Sales[[#This Row],[Product Name]],Inventory[Product Name],Inventory[Sale Price],"")=0,"",_xlfn.XLOOKUP(Sales[[#This Row],[Product Name]],Inventory[Product Name],Inventory[Sale Price]))</f>
        <v/>
      </c>
      <c r="I1463" s="19" t="str">
        <f>IFERROR(G1463*H1463,"")</f>
        <v/>
      </c>
      <c r="J1463" s="19"/>
    </row>
    <row r="1464" spans="1:10" ht="21">
      <c r="A1464" s="14">
        <v>1459</v>
      </c>
      <c r="C1464" s="16"/>
      <c r="D1464" s="14" t="str">
        <f>IF(Sales[[#This Row],[Product ID]]="","",Sales[[#This Row],[Date]]&amp;Sales[[#This Row],[Invoice no]])</f>
        <v/>
      </c>
      <c r="E14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4" s="19" t="str">
        <f>IF(_xlfn.XLOOKUP(Sales[[#This Row],[Product Name]],Inventory[Product Name],Inventory[Sale Price],"")=0,"",_xlfn.XLOOKUP(Sales[[#This Row],[Product Name]],Inventory[Product Name],Inventory[Sale Price]))</f>
        <v/>
      </c>
      <c r="I1464" s="19" t="str">
        <f>IFERROR(G1464*H1464,"")</f>
        <v/>
      </c>
      <c r="J1464" s="19"/>
    </row>
    <row r="1465" spans="1:10" ht="21">
      <c r="A1465" s="14">
        <v>1460</v>
      </c>
      <c r="C1465" s="16"/>
      <c r="D1465" s="14" t="str">
        <f>IF(Sales[[#This Row],[Product ID]]="","",Sales[[#This Row],[Date]]&amp;Sales[[#This Row],[Invoice no]])</f>
        <v/>
      </c>
      <c r="E14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5" s="19" t="str">
        <f>IF(_xlfn.XLOOKUP(Sales[[#This Row],[Product Name]],Inventory[Product Name],Inventory[Sale Price],"")=0,"",_xlfn.XLOOKUP(Sales[[#This Row],[Product Name]],Inventory[Product Name],Inventory[Sale Price]))</f>
        <v/>
      </c>
      <c r="I1465" s="19" t="str">
        <f>IFERROR(G1465*H1465,"")</f>
        <v/>
      </c>
      <c r="J1465" s="19"/>
    </row>
    <row r="1466" spans="1:10" ht="21">
      <c r="A1466" s="14">
        <v>1461</v>
      </c>
      <c r="C1466" s="16"/>
      <c r="D1466" s="14" t="str">
        <f>IF(Sales[[#This Row],[Product ID]]="","",Sales[[#This Row],[Date]]&amp;Sales[[#This Row],[Invoice no]])</f>
        <v/>
      </c>
      <c r="E14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6" s="19" t="str">
        <f>IF(_xlfn.XLOOKUP(Sales[[#This Row],[Product Name]],Inventory[Product Name],Inventory[Sale Price],"")=0,"",_xlfn.XLOOKUP(Sales[[#This Row],[Product Name]],Inventory[Product Name],Inventory[Sale Price]))</f>
        <v/>
      </c>
      <c r="I1466" s="19" t="str">
        <f>IFERROR(G1466*H1466,"")</f>
        <v/>
      </c>
      <c r="J1466" s="19"/>
    </row>
    <row r="1467" spans="1:10" ht="21">
      <c r="A1467" s="14">
        <v>1462</v>
      </c>
      <c r="C1467" s="16"/>
      <c r="D1467" s="14" t="str">
        <f>IF(Sales[[#This Row],[Product ID]]="","",Sales[[#This Row],[Date]]&amp;Sales[[#This Row],[Invoice no]])</f>
        <v/>
      </c>
      <c r="E14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7" s="19" t="str">
        <f>IF(_xlfn.XLOOKUP(Sales[[#This Row],[Product Name]],Inventory[Product Name],Inventory[Sale Price],"")=0,"",_xlfn.XLOOKUP(Sales[[#This Row],[Product Name]],Inventory[Product Name],Inventory[Sale Price]))</f>
        <v/>
      </c>
      <c r="I1467" s="19" t="str">
        <f>IFERROR(G1467*H1467,"")</f>
        <v/>
      </c>
      <c r="J1467" s="19"/>
    </row>
    <row r="1468" spans="1:10" ht="21">
      <c r="A1468" s="14">
        <v>1463</v>
      </c>
      <c r="C1468" s="16"/>
      <c r="D1468" s="14" t="str">
        <f>IF(Sales[[#This Row],[Product ID]]="","",Sales[[#This Row],[Date]]&amp;Sales[[#This Row],[Invoice no]])</f>
        <v/>
      </c>
      <c r="E14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8" s="19" t="str">
        <f>IF(_xlfn.XLOOKUP(Sales[[#This Row],[Product Name]],Inventory[Product Name],Inventory[Sale Price],"")=0,"",_xlfn.XLOOKUP(Sales[[#This Row],[Product Name]],Inventory[Product Name],Inventory[Sale Price]))</f>
        <v/>
      </c>
      <c r="I1468" s="19" t="str">
        <f>IFERROR(G1468*H1468,"")</f>
        <v/>
      </c>
      <c r="J1468" s="19"/>
    </row>
    <row r="1469" spans="1:10" ht="21">
      <c r="A1469" s="14">
        <v>1464</v>
      </c>
      <c r="C1469" s="16"/>
      <c r="D1469" s="14" t="str">
        <f>IF(Sales[[#This Row],[Product ID]]="","",Sales[[#This Row],[Date]]&amp;Sales[[#This Row],[Invoice no]])</f>
        <v/>
      </c>
      <c r="E14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69" s="19" t="str">
        <f>IF(_xlfn.XLOOKUP(Sales[[#This Row],[Product Name]],Inventory[Product Name],Inventory[Sale Price],"")=0,"",_xlfn.XLOOKUP(Sales[[#This Row],[Product Name]],Inventory[Product Name],Inventory[Sale Price]))</f>
        <v/>
      </c>
      <c r="I1469" s="19" t="str">
        <f>IFERROR(G1469*H1469,"")</f>
        <v/>
      </c>
      <c r="J1469" s="19"/>
    </row>
    <row r="1470" spans="1:10" ht="21">
      <c r="A1470" s="14">
        <v>1465</v>
      </c>
      <c r="C1470" s="16"/>
      <c r="D1470" s="14" t="str">
        <f>IF(Sales[[#This Row],[Product ID]]="","",Sales[[#This Row],[Date]]&amp;Sales[[#This Row],[Invoice no]])</f>
        <v/>
      </c>
      <c r="E14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0" s="19" t="str">
        <f>IF(_xlfn.XLOOKUP(Sales[[#This Row],[Product Name]],Inventory[Product Name],Inventory[Sale Price],"")=0,"",_xlfn.XLOOKUP(Sales[[#This Row],[Product Name]],Inventory[Product Name],Inventory[Sale Price]))</f>
        <v/>
      </c>
      <c r="I1470" s="19" t="str">
        <f>IFERROR(G1470*H1470,"")</f>
        <v/>
      </c>
      <c r="J1470" s="19"/>
    </row>
    <row r="1471" spans="1:10" ht="21">
      <c r="A1471" s="14">
        <v>1466</v>
      </c>
      <c r="C1471" s="16"/>
      <c r="D1471" s="14" t="str">
        <f>IF(Sales[[#This Row],[Product ID]]="","",Sales[[#This Row],[Date]]&amp;Sales[[#This Row],[Invoice no]])</f>
        <v/>
      </c>
      <c r="E14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1" s="19" t="str">
        <f>IF(_xlfn.XLOOKUP(Sales[[#This Row],[Product Name]],Inventory[Product Name],Inventory[Sale Price],"")=0,"",_xlfn.XLOOKUP(Sales[[#This Row],[Product Name]],Inventory[Product Name],Inventory[Sale Price]))</f>
        <v/>
      </c>
      <c r="I1471" s="19" t="str">
        <f>IFERROR(G1471*H1471,"")</f>
        <v/>
      </c>
      <c r="J1471" s="19"/>
    </row>
    <row r="1472" spans="1:10" ht="21">
      <c r="A1472" s="14">
        <v>1467</v>
      </c>
      <c r="C1472" s="16"/>
      <c r="D1472" s="14" t="str">
        <f>IF(Sales[[#This Row],[Product ID]]="","",Sales[[#This Row],[Date]]&amp;Sales[[#This Row],[Invoice no]])</f>
        <v/>
      </c>
      <c r="E14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2" s="19" t="str">
        <f>IF(_xlfn.XLOOKUP(Sales[[#This Row],[Product Name]],Inventory[Product Name],Inventory[Sale Price],"")=0,"",_xlfn.XLOOKUP(Sales[[#This Row],[Product Name]],Inventory[Product Name],Inventory[Sale Price]))</f>
        <v/>
      </c>
      <c r="I1472" s="19" t="str">
        <f>IFERROR(G1472*H1472,"")</f>
        <v/>
      </c>
      <c r="J1472" s="19"/>
    </row>
    <row r="1473" spans="1:10" ht="21">
      <c r="A1473" s="14">
        <v>1468</v>
      </c>
      <c r="C1473" s="16"/>
      <c r="D1473" s="14" t="str">
        <f>IF(Sales[[#This Row],[Product ID]]="","",Sales[[#This Row],[Date]]&amp;Sales[[#This Row],[Invoice no]])</f>
        <v/>
      </c>
      <c r="E14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3" s="19" t="str">
        <f>IF(_xlfn.XLOOKUP(Sales[[#This Row],[Product Name]],Inventory[Product Name],Inventory[Sale Price],"")=0,"",_xlfn.XLOOKUP(Sales[[#This Row],[Product Name]],Inventory[Product Name],Inventory[Sale Price]))</f>
        <v/>
      </c>
      <c r="I1473" s="19" t="str">
        <f>IFERROR(G1473*H1473,"")</f>
        <v/>
      </c>
      <c r="J1473" s="19"/>
    </row>
    <row r="1474" spans="1:10" ht="21">
      <c r="A1474" s="14">
        <v>1469</v>
      </c>
      <c r="C1474" s="16"/>
      <c r="D1474" s="14" t="str">
        <f>IF(Sales[[#This Row],[Product ID]]="","",Sales[[#This Row],[Date]]&amp;Sales[[#This Row],[Invoice no]])</f>
        <v/>
      </c>
      <c r="E14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4" s="19" t="str">
        <f>IF(_xlfn.XLOOKUP(Sales[[#This Row],[Product Name]],Inventory[Product Name],Inventory[Sale Price],"")=0,"",_xlfn.XLOOKUP(Sales[[#This Row],[Product Name]],Inventory[Product Name],Inventory[Sale Price]))</f>
        <v/>
      </c>
      <c r="I1474" s="19" t="str">
        <f>IFERROR(G1474*H1474,"")</f>
        <v/>
      </c>
      <c r="J1474" s="19"/>
    </row>
    <row r="1475" spans="1:10" ht="21">
      <c r="A1475" s="14">
        <v>1470</v>
      </c>
      <c r="C1475" s="16"/>
      <c r="D1475" s="14" t="str">
        <f>IF(Sales[[#This Row],[Product ID]]="","",Sales[[#This Row],[Date]]&amp;Sales[[#This Row],[Invoice no]])</f>
        <v/>
      </c>
      <c r="E14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5" s="19" t="str">
        <f>IF(_xlfn.XLOOKUP(Sales[[#This Row],[Product Name]],Inventory[Product Name],Inventory[Sale Price],"")=0,"",_xlfn.XLOOKUP(Sales[[#This Row],[Product Name]],Inventory[Product Name],Inventory[Sale Price]))</f>
        <v/>
      </c>
      <c r="I1475" s="19" t="str">
        <f>IFERROR(G1475*H1475,"")</f>
        <v/>
      </c>
      <c r="J1475" s="19"/>
    </row>
    <row r="1476" spans="1:10" ht="21">
      <c r="A1476" s="14">
        <v>1471</v>
      </c>
      <c r="C1476" s="16"/>
      <c r="D1476" s="14" t="str">
        <f>IF(Sales[[#This Row],[Product ID]]="","",Sales[[#This Row],[Date]]&amp;Sales[[#This Row],[Invoice no]])</f>
        <v/>
      </c>
      <c r="E14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6" s="19" t="str">
        <f>IF(_xlfn.XLOOKUP(Sales[[#This Row],[Product Name]],Inventory[Product Name],Inventory[Sale Price],"")=0,"",_xlfn.XLOOKUP(Sales[[#This Row],[Product Name]],Inventory[Product Name],Inventory[Sale Price]))</f>
        <v/>
      </c>
      <c r="I1476" s="19" t="str">
        <f>IFERROR(G1476*H1476,"")</f>
        <v/>
      </c>
      <c r="J1476" s="19"/>
    </row>
    <row r="1477" spans="1:10" ht="21">
      <c r="A1477" s="14">
        <v>1472</v>
      </c>
      <c r="C1477" s="16"/>
      <c r="D1477" s="14" t="str">
        <f>IF(Sales[[#This Row],[Product ID]]="","",Sales[[#This Row],[Date]]&amp;Sales[[#This Row],[Invoice no]])</f>
        <v/>
      </c>
      <c r="E14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7" s="19" t="str">
        <f>IF(_xlfn.XLOOKUP(Sales[[#This Row],[Product Name]],Inventory[Product Name],Inventory[Sale Price],"")=0,"",_xlfn.XLOOKUP(Sales[[#This Row],[Product Name]],Inventory[Product Name],Inventory[Sale Price]))</f>
        <v/>
      </c>
      <c r="I1477" s="19" t="str">
        <f>IFERROR(G1477*H1477,"")</f>
        <v/>
      </c>
      <c r="J1477" s="19"/>
    </row>
    <row r="1478" spans="1:10" ht="21">
      <c r="A1478" s="14">
        <v>1473</v>
      </c>
      <c r="C1478" s="16"/>
      <c r="D1478" s="14" t="str">
        <f>IF(Sales[[#This Row],[Product ID]]="","",Sales[[#This Row],[Date]]&amp;Sales[[#This Row],[Invoice no]])</f>
        <v/>
      </c>
      <c r="E14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8" s="19" t="str">
        <f>IF(_xlfn.XLOOKUP(Sales[[#This Row],[Product Name]],Inventory[Product Name],Inventory[Sale Price],"")=0,"",_xlfn.XLOOKUP(Sales[[#This Row],[Product Name]],Inventory[Product Name],Inventory[Sale Price]))</f>
        <v/>
      </c>
      <c r="I1478" s="19" t="str">
        <f>IFERROR(G1478*H1478,"")</f>
        <v/>
      </c>
      <c r="J1478" s="19"/>
    </row>
    <row r="1479" spans="1:10" ht="21">
      <c r="A1479" s="14">
        <v>1474</v>
      </c>
      <c r="C1479" s="16"/>
      <c r="D1479" s="14" t="str">
        <f>IF(Sales[[#This Row],[Product ID]]="","",Sales[[#This Row],[Date]]&amp;Sales[[#This Row],[Invoice no]])</f>
        <v/>
      </c>
      <c r="E14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79" s="19" t="str">
        <f>IF(_xlfn.XLOOKUP(Sales[[#This Row],[Product Name]],Inventory[Product Name],Inventory[Sale Price],"")=0,"",_xlfn.XLOOKUP(Sales[[#This Row],[Product Name]],Inventory[Product Name],Inventory[Sale Price]))</f>
        <v/>
      </c>
      <c r="I1479" s="19" t="str">
        <f>IFERROR(G1479*H1479,"")</f>
        <v/>
      </c>
      <c r="J1479" s="19"/>
    </row>
    <row r="1480" spans="1:10" ht="21">
      <c r="A1480" s="14">
        <v>1475</v>
      </c>
      <c r="C1480" s="16"/>
      <c r="D1480" s="14" t="str">
        <f>IF(Sales[[#This Row],[Product ID]]="","",Sales[[#This Row],[Date]]&amp;Sales[[#This Row],[Invoice no]])</f>
        <v/>
      </c>
      <c r="E14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0" s="19" t="str">
        <f>IF(_xlfn.XLOOKUP(Sales[[#This Row],[Product Name]],Inventory[Product Name],Inventory[Sale Price],"")=0,"",_xlfn.XLOOKUP(Sales[[#This Row],[Product Name]],Inventory[Product Name],Inventory[Sale Price]))</f>
        <v/>
      </c>
      <c r="I1480" s="19" t="str">
        <f>IFERROR(G1480*H1480,"")</f>
        <v/>
      </c>
      <c r="J1480" s="19"/>
    </row>
    <row r="1481" spans="1:10" ht="21">
      <c r="A1481" s="14">
        <v>1476</v>
      </c>
      <c r="C1481" s="16"/>
      <c r="D1481" s="14" t="str">
        <f>IF(Sales[[#This Row],[Product ID]]="","",Sales[[#This Row],[Date]]&amp;Sales[[#This Row],[Invoice no]])</f>
        <v/>
      </c>
      <c r="E14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1" s="19" t="str">
        <f>IF(_xlfn.XLOOKUP(Sales[[#This Row],[Product Name]],Inventory[Product Name],Inventory[Sale Price],"")=0,"",_xlfn.XLOOKUP(Sales[[#This Row],[Product Name]],Inventory[Product Name],Inventory[Sale Price]))</f>
        <v/>
      </c>
      <c r="I1481" s="19" t="str">
        <f>IFERROR(G1481*H1481,"")</f>
        <v/>
      </c>
      <c r="J1481" s="19"/>
    </row>
    <row r="1482" spans="1:10" ht="21">
      <c r="A1482" s="14">
        <v>1477</v>
      </c>
      <c r="C1482" s="16"/>
      <c r="D1482" s="14" t="str">
        <f>IF(Sales[[#This Row],[Product ID]]="","",Sales[[#This Row],[Date]]&amp;Sales[[#This Row],[Invoice no]])</f>
        <v/>
      </c>
      <c r="E14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2" s="19" t="str">
        <f>IF(_xlfn.XLOOKUP(Sales[[#This Row],[Product Name]],Inventory[Product Name],Inventory[Sale Price],"")=0,"",_xlfn.XLOOKUP(Sales[[#This Row],[Product Name]],Inventory[Product Name],Inventory[Sale Price]))</f>
        <v/>
      </c>
      <c r="I1482" s="19" t="str">
        <f>IFERROR(G1482*H1482,"")</f>
        <v/>
      </c>
      <c r="J1482" s="19"/>
    </row>
    <row r="1483" spans="1:10" ht="21">
      <c r="A1483" s="14">
        <v>1478</v>
      </c>
      <c r="C1483" s="16"/>
      <c r="D1483" s="14" t="str">
        <f>IF(Sales[[#This Row],[Product ID]]="","",Sales[[#This Row],[Date]]&amp;Sales[[#This Row],[Invoice no]])</f>
        <v/>
      </c>
      <c r="E14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3" s="19" t="str">
        <f>IF(_xlfn.XLOOKUP(Sales[[#This Row],[Product Name]],Inventory[Product Name],Inventory[Sale Price],"")=0,"",_xlfn.XLOOKUP(Sales[[#This Row],[Product Name]],Inventory[Product Name],Inventory[Sale Price]))</f>
        <v/>
      </c>
      <c r="I1483" s="19" t="str">
        <f>IFERROR(G1483*H1483,"")</f>
        <v/>
      </c>
      <c r="J1483" s="19"/>
    </row>
    <row r="1484" spans="1:10" ht="21">
      <c r="A1484" s="14">
        <v>1479</v>
      </c>
      <c r="C1484" s="16"/>
      <c r="D1484" s="14" t="str">
        <f>IF(Sales[[#This Row],[Product ID]]="","",Sales[[#This Row],[Date]]&amp;Sales[[#This Row],[Invoice no]])</f>
        <v/>
      </c>
      <c r="E14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4" s="19" t="str">
        <f>IF(_xlfn.XLOOKUP(Sales[[#This Row],[Product Name]],Inventory[Product Name],Inventory[Sale Price],"")=0,"",_xlfn.XLOOKUP(Sales[[#This Row],[Product Name]],Inventory[Product Name],Inventory[Sale Price]))</f>
        <v/>
      </c>
      <c r="I1484" s="19" t="str">
        <f>IFERROR(G1484*H1484,"")</f>
        <v/>
      </c>
      <c r="J1484" s="19"/>
    </row>
    <row r="1485" spans="1:10" ht="21">
      <c r="A1485" s="14">
        <v>1480</v>
      </c>
      <c r="C1485" s="16"/>
      <c r="D1485" s="14" t="str">
        <f>IF(Sales[[#This Row],[Product ID]]="","",Sales[[#This Row],[Date]]&amp;Sales[[#This Row],[Invoice no]])</f>
        <v/>
      </c>
      <c r="E14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5" s="19" t="str">
        <f>IF(_xlfn.XLOOKUP(Sales[[#This Row],[Product Name]],Inventory[Product Name],Inventory[Sale Price],"")=0,"",_xlfn.XLOOKUP(Sales[[#This Row],[Product Name]],Inventory[Product Name],Inventory[Sale Price]))</f>
        <v/>
      </c>
      <c r="I1485" s="19" t="str">
        <f>IFERROR(G1485*H1485,"")</f>
        <v/>
      </c>
      <c r="J1485" s="19"/>
    </row>
    <row r="1486" spans="1:10" ht="21">
      <c r="A1486" s="14">
        <v>1481</v>
      </c>
      <c r="C1486" s="16"/>
      <c r="D1486" s="14" t="str">
        <f>IF(Sales[[#This Row],[Product ID]]="","",Sales[[#This Row],[Date]]&amp;Sales[[#This Row],[Invoice no]])</f>
        <v/>
      </c>
      <c r="E14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6" s="19" t="str">
        <f>IF(_xlfn.XLOOKUP(Sales[[#This Row],[Product Name]],Inventory[Product Name],Inventory[Sale Price],"")=0,"",_xlfn.XLOOKUP(Sales[[#This Row],[Product Name]],Inventory[Product Name],Inventory[Sale Price]))</f>
        <v/>
      </c>
      <c r="I1486" s="19" t="str">
        <f>IFERROR(G1486*H1486,"")</f>
        <v/>
      </c>
      <c r="J1486" s="19"/>
    </row>
    <row r="1487" spans="1:10" ht="21">
      <c r="A1487" s="14">
        <v>1482</v>
      </c>
      <c r="C1487" s="16"/>
      <c r="D1487" s="14" t="str">
        <f>IF(Sales[[#This Row],[Product ID]]="","",Sales[[#This Row],[Date]]&amp;Sales[[#This Row],[Invoice no]])</f>
        <v/>
      </c>
      <c r="E14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7" s="19" t="str">
        <f>IF(_xlfn.XLOOKUP(Sales[[#This Row],[Product Name]],Inventory[Product Name],Inventory[Sale Price],"")=0,"",_xlfn.XLOOKUP(Sales[[#This Row],[Product Name]],Inventory[Product Name],Inventory[Sale Price]))</f>
        <v/>
      </c>
      <c r="I1487" s="19" t="str">
        <f>IFERROR(G1487*H1487,"")</f>
        <v/>
      </c>
      <c r="J1487" s="19"/>
    </row>
    <row r="1488" spans="1:10" ht="21">
      <c r="A1488" s="14">
        <v>1483</v>
      </c>
      <c r="C1488" s="16"/>
      <c r="D1488" s="14" t="str">
        <f>IF(Sales[[#This Row],[Product ID]]="","",Sales[[#This Row],[Date]]&amp;Sales[[#This Row],[Invoice no]])</f>
        <v/>
      </c>
      <c r="E14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8" s="19" t="str">
        <f>IF(_xlfn.XLOOKUP(Sales[[#This Row],[Product Name]],Inventory[Product Name],Inventory[Sale Price],"")=0,"",_xlfn.XLOOKUP(Sales[[#This Row],[Product Name]],Inventory[Product Name],Inventory[Sale Price]))</f>
        <v/>
      </c>
      <c r="I1488" s="19" t="str">
        <f>IFERROR(G1488*H1488,"")</f>
        <v/>
      </c>
      <c r="J1488" s="19"/>
    </row>
    <row r="1489" spans="1:10" ht="21">
      <c r="A1489" s="14">
        <v>1484</v>
      </c>
      <c r="C1489" s="16"/>
      <c r="D1489" s="14" t="str">
        <f>IF(Sales[[#This Row],[Product ID]]="","",Sales[[#This Row],[Date]]&amp;Sales[[#This Row],[Invoice no]])</f>
        <v/>
      </c>
      <c r="E14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89" s="19" t="str">
        <f>IF(_xlfn.XLOOKUP(Sales[[#This Row],[Product Name]],Inventory[Product Name],Inventory[Sale Price],"")=0,"",_xlfn.XLOOKUP(Sales[[#This Row],[Product Name]],Inventory[Product Name],Inventory[Sale Price]))</f>
        <v/>
      </c>
      <c r="I1489" s="19" t="str">
        <f>IFERROR(G1489*H1489,"")</f>
        <v/>
      </c>
      <c r="J1489" s="19"/>
    </row>
    <row r="1490" spans="1:10" ht="21">
      <c r="A1490" s="14">
        <v>1485</v>
      </c>
      <c r="C1490" s="16"/>
      <c r="D1490" s="14" t="str">
        <f>IF(Sales[[#This Row],[Product ID]]="","",Sales[[#This Row],[Date]]&amp;Sales[[#This Row],[Invoice no]])</f>
        <v/>
      </c>
      <c r="E14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0" s="19" t="str">
        <f>IF(_xlfn.XLOOKUP(Sales[[#This Row],[Product Name]],Inventory[Product Name],Inventory[Sale Price],"")=0,"",_xlfn.XLOOKUP(Sales[[#This Row],[Product Name]],Inventory[Product Name],Inventory[Sale Price]))</f>
        <v/>
      </c>
      <c r="I1490" s="19" t="str">
        <f>IFERROR(G1490*H1490,"")</f>
        <v/>
      </c>
      <c r="J1490" s="19"/>
    </row>
    <row r="1491" spans="1:10" ht="21">
      <c r="A1491" s="14">
        <v>1486</v>
      </c>
      <c r="C1491" s="16"/>
      <c r="D1491" s="14" t="str">
        <f>IF(Sales[[#This Row],[Product ID]]="","",Sales[[#This Row],[Date]]&amp;Sales[[#This Row],[Invoice no]])</f>
        <v/>
      </c>
      <c r="E14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1" s="19" t="str">
        <f>IF(_xlfn.XLOOKUP(Sales[[#This Row],[Product Name]],Inventory[Product Name],Inventory[Sale Price],"")=0,"",_xlfn.XLOOKUP(Sales[[#This Row],[Product Name]],Inventory[Product Name],Inventory[Sale Price]))</f>
        <v/>
      </c>
      <c r="I1491" s="19" t="str">
        <f>IFERROR(G1491*H1491,"")</f>
        <v/>
      </c>
      <c r="J1491" s="19"/>
    </row>
    <row r="1492" spans="1:10" ht="21">
      <c r="A1492" s="14">
        <v>1487</v>
      </c>
      <c r="C1492" s="16"/>
      <c r="D1492" s="14" t="str">
        <f>IF(Sales[[#This Row],[Product ID]]="","",Sales[[#This Row],[Date]]&amp;Sales[[#This Row],[Invoice no]])</f>
        <v/>
      </c>
      <c r="E14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2" s="19" t="str">
        <f>IF(_xlfn.XLOOKUP(Sales[[#This Row],[Product Name]],Inventory[Product Name],Inventory[Sale Price],"")=0,"",_xlfn.XLOOKUP(Sales[[#This Row],[Product Name]],Inventory[Product Name],Inventory[Sale Price]))</f>
        <v/>
      </c>
      <c r="I1492" s="19" t="str">
        <f>IFERROR(G1492*H1492,"")</f>
        <v/>
      </c>
      <c r="J1492" s="19"/>
    </row>
    <row r="1493" spans="1:10" ht="21">
      <c r="A1493" s="14">
        <v>1488</v>
      </c>
      <c r="C1493" s="16"/>
      <c r="D1493" s="14" t="str">
        <f>IF(Sales[[#This Row],[Product ID]]="","",Sales[[#This Row],[Date]]&amp;Sales[[#This Row],[Invoice no]])</f>
        <v/>
      </c>
      <c r="E14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3" s="19" t="str">
        <f>IF(_xlfn.XLOOKUP(Sales[[#This Row],[Product Name]],Inventory[Product Name],Inventory[Sale Price],"")=0,"",_xlfn.XLOOKUP(Sales[[#This Row],[Product Name]],Inventory[Product Name],Inventory[Sale Price]))</f>
        <v/>
      </c>
      <c r="I1493" s="19" t="str">
        <f>IFERROR(G1493*H1493,"")</f>
        <v/>
      </c>
      <c r="J1493" s="19"/>
    </row>
    <row r="1494" spans="1:10" ht="21">
      <c r="A1494" s="14">
        <v>1489</v>
      </c>
      <c r="C1494" s="16"/>
      <c r="D1494" s="14" t="str">
        <f>IF(Sales[[#This Row],[Product ID]]="","",Sales[[#This Row],[Date]]&amp;Sales[[#This Row],[Invoice no]])</f>
        <v/>
      </c>
      <c r="E14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4" s="19" t="str">
        <f>IF(_xlfn.XLOOKUP(Sales[[#This Row],[Product Name]],Inventory[Product Name],Inventory[Sale Price],"")=0,"",_xlfn.XLOOKUP(Sales[[#This Row],[Product Name]],Inventory[Product Name],Inventory[Sale Price]))</f>
        <v/>
      </c>
      <c r="I1494" s="19" t="str">
        <f>IFERROR(G1494*H1494,"")</f>
        <v/>
      </c>
      <c r="J1494" s="19"/>
    </row>
    <row r="1495" spans="1:10" ht="21">
      <c r="A1495" s="14">
        <v>1490</v>
      </c>
      <c r="C1495" s="16"/>
      <c r="D1495" s="14" t="str">
        <f>IF(Sales[[#This Row],[Product ID]]="","",Sales[[#This Row],[Date]]&amp;Sales[[#This Row],[Invoice no]])</f>
        <v/>
      </c>
      <c r="E14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5" s="19" t="str">
        <f>IF(_xlfn.XLOOKUP(Sales[[#This Row],[Product Name]],Inventory[Product Name],Inventory[Sale Price],"")=0,"",_xlfn.XLOOKUP(Sales[[#This Row],[Product Name]],Inventory[Product Name],Inventory[Sale Price]))</f>
        <v/>
      </c>
      <c r="I1495" s="19" t="str">
        <f>IFERROR(G1495*H1495,"")</f>
        <v/>
      </c>
      <c r="J1495" s="19"/>
    </row>
    <row r="1496" spans="1:10" ht="21">
      <c r="A1496" s="14">
        <v>1491</v>
      </c>
      <c r="C1496" s="16"/>
      <c r="D1496" s="14" t="str">
        <f>IF(Sales[[#This Row],[Product ID]]="","",Sales[[#This Row],[Date]]&amp;Sales[[#This Row],[Invoice no]])</f>
        <v/>
      </c>
      <c r="E14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6" s="19" t="str">
        <f>IF(_xlfn.XLOOKUP(Sales[[#This Row],[Product Name]],Inventory[Product Name],Inventory[Sale Price],"")=0,"",_xlfn.XLOOKUP(Sales[[#This Row],[Product Name]],Inventory[Product Name],Inventory[Sale Price]))</f>
        <v/>
      </c>
      <c r="I1496" s="19" t="str">
        <f>IFERROR(G1496*H1496,"")</f>
        <v/>
      </c>
      <c r="J1496" s="19"/>
    </row>
    <row r="1497" spans="1:10" ht="21">
      <c r="A1497" s="14">
        <v>1492</v>
      </c>
      <c r="C1497" s="16"/>
      <c r="D1497" s="14" t="str">
        <f>IF(Sales[[#This Row],[Product ID]]="","",Sales[[#This Row],[Date]]&amp;Sales[[#This Row],[Invoice no]])</f>
        <v/>
      </c>
      <c r="E14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7" s="19" t="str">
        <f>IF(_xlfn.XLOOKUP(Sales[[#This Row],[Product Name]],Inventory[Product Name],Inventory[Sale Price],"")=0,"",_xlfn.XLOOKUP(Sales[[#This Row],[Product Name]],Inventory[Product Name],Inventory[Sale Price]))</f>
        <v/>
      </c>
      <c r="I1497" s="19" t="str">
        <f>IFERROR(G1497*H1497,"")</f>
        <v/>
      </c>
      <c r="J1497" s="19"/>
    </row>
    <row r="1498" spans="1:10" ht="21">
      <c r="A1498" s="14">
        <v>1493</v>
      </c>
      <c r="C1498" s="16"/>
      <c r="D1498" s="14" t="str">
        <f>IF(Sales[[#This Row],[Product ID]]="","",Sales[[#This Row],[Date]]&amp;Sales[[#This Row],[Invoice no]])</f>
        <v/>
      </c>
      <c r="E14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8" s="19" t="str">
        <f>IF(_xlfn.XLOOKUP(Sales[[#This Row],[Product Name]],Inventory[Product Name],Inventory[Sale Price],"")=0,"",_xlfn.XLOOKUP(Sales[[#This Row],[Product Name]],Inventory[Product Name],Inventory[Sale Price]))</f>
        <v/>
      </c>
      <c r="I1498" s="19" t="str">
        <f>IFERROR(G1498*H1498,"")</f>
        <v/>
      </c>
      <c r="J1498" s="19"/>
    </row>
    <row r="1499" spans="1:10" ht="21">
      <c r="A1499" s="14">
        <v>1494</v>
      </c>
      <c r="C1499" s="16"/>
      <c r="D1499" s="14" t="str">
        <f>IF(Sales[[#This Row],[Product ID]]="","",Sales[[#This Row],[Date]]&amp;Sales[[#This Row],[Invoice no]])</f>
        <v/>
      </c>
      <c r="E14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499" s="19" t="str">
        <f>IF(_xlfn.XLOOKUP(Sales[[#This Row],[Product Name]],Inventory[Product Name],Inventory[Sale Price],"")=0,"",_xlfn.XLOOKUP(Sales[[#This Row],[Product Name]],Inventory[Product Name],Inventory[Sale Price]))</f>
        <v/>
      </c>
      <c r="I1499" s="19" t="str">
        <f>IFERROR(G1499*H1499,"")</f>
        <v/>
      </c>
      <c r="J1499" s="19"/>
    </row>
    <row r="1500" spans="1:10" ht="21">
      <c r="A1500" s="14">
        <v>1495</v>
      </c>
      <c r="C1500" s="16"/>
      <c r="D1500" s="14" t="str">
        <f>IF(Sales[[#This Row],[Product ID]]="","",Sales[[#This Row],[Date]]&amp;Sales[[#This Row],[Invoice no]])</f>
        <v/>
      </c>
      <c r="E15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0" s="19" t="str">
        <f>IF(_xlfn.XLOOKUP(Sales[[#This Row],[Product Name]],Inventory[Product Name],Inventory[Sale Price],"")=0,"",_xlfn.XLOOKUP(Sales[[#This Row],[Product Name]],Inventory[Product Name],Inventory[Sale Price]))</f>
        <v/>
      </c>
      <c r="I1500" s="19" t="str">
        <f>IFERROR(G1500*H1500,"")</f>
        <v/>
      </c>
      <c r="J1500" s="19"/>
    </row>
    <row r="1501" spans="1:10" ht="21">
      <c r="A1501" s="14">
        <v>1496</v>
      </c>
      <c r="C1501" s="16"/>
      <c r="D1501" s="14" t="str">
        <f>IF(Sales[[#This Row],[Product ID]]="","",Sales[[#This Row],[Date]]&amp;Sales[[#This Row],[Invoice no]])</f>
        <v/>
      </c>
      <c r="E15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1" s="19" t="str">
        <f>IF(_xlfn.XLOOKUP(Sales[[#This Row],[Product Name]],Inventory[Product Name],Inventory[Sale Price],"")=0,"",_xlfn.XLOOKUP(Sales[[#This Row],[Product Name]],Inventory[Product Name],Inventory[Sale Price]))</f>
        <v/>
      </c>
      <c r="I1501" s="19" t="str">
        <f>IFERROR(G1501*H1501,"")</f>
        <v/>
      </c>
      <c r="J1501" s="19"/>
    </row>
    <row r="1502" spans="1:10" ht="21">
      <c r="A1502" s="14">
        <v>1497</v>
      </c>
      <c r="C1502" s="16"/>
      <c r="D1502" s="14" t="str">
        <f>IF(Sales[[#This Row],[Product ID]]="","",Sales[[#This Row],[Date]]&amp;Sales[[#This Row],[Invoice no]])</f>
        <v/>
      </c>
      <c r="E15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2" s="19" t="str">
        <f>IF(_xlfn.XLOOKUP(Sales[[#This Row],[Product Name]],Inventory[Product Name],Inventory[Sale Price],"")=0,"",_xlfn.XLOOKUP(Sales[[#This Row],[Product Name]],Inventory[Product Name],Inventory[Sale Price]))</f>
        <v/>
      </c>
      <c r="I1502" s="19" t="str">
        <f>IFERROR(G1502*H1502,"")</f>
        <v/>
      </c>
      <c r="J1502" s="19"/>
    </row>
    <row r="1503" spans="1:10" ht="21">
      <c r="A1503" s="14">
        <v>1498</v>
      </c>
      <c r="C1503" s="16"/>
      <c r="D1503" s="14" t="str">
        <f>IF(Sales[[#This Row],[Product ID]]="","",Sales[[#This Row],[Date]]&amp;Sales[[#This Row],[Invoice no]])</f>
        <v/>
      </c>
      <c r="E15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3" s="19" t="str">
        <f>IF(_xlfn.XLOOKUP(Sales[[#This Row],[Product Name]],Inventory[Product Name],Inventory[Sale Price],"")=0,"",_xlfn.XLOOKUP(Sales[[#This Row],[Product Name]],Inventory[Product Name],Inventory[Sale Price]))</f>
        <v/>
      </c>
      <c r="I1503" s="19" t="str">
        <f>IFERROR(G1503*H1503,"")</f>
        <v/>
      </c>
      <c r="J1503" s="19"/>
    </row>
    <row r="1504" spans="1:10" ht="21">
      <c r="A1504" s="14">
        <v>1499</v>
      </c>
      <c r="C1504" s="16"/>
      <c r="D1504" s="14" t="str">
        <f>IF(Sales[[#This Row],[Product ID]]="","",Sales[[#This Row],[Date]]&amp;Sales[[#This Row],[Invoice no]])</f>
        <v/>
      </c>
      <c r="E15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4" s="19" t="str">
        <f>IF(_xlfn.XLOOKUP(Sales[[#This Row],[Product Name]],Inventory[Product Name],Inventory[Sale Price],"")=0,"",_xlfn.XLOOKUP(Sales[[#This Row],[Product Name]],Inventory[Product Name],Inventory[Sale Price]))</f>
        <v/>
      </c>
      <c r="I1504" s="19" t="str">
        <f>IFERROR(G1504*H1504,"")</f>
        <v/>
      </c>
      <c r="J1504" s="19"/>
    </row>
    <row r="1505" spans="1:10" ht="21">
      <c r="A1505" s="14">
        <v>1500</v>
      </c>
      <c r="C1505" s="16"/>
      <c r="D1505" s="14" t="str">
        <f>IF(Sales[[#This Row],[Product ID]]="","",Sales[[#This Row],[Date]]&amp;Sales[[#This Row],[Invoice no]])</f>
        <v/>
      </c>
      <c r="E15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5" s="19" t="str">
        <f>IF(_xlfn.XLOOKUP(Sales[[#This Row],[Product Name]],Inventory[Product Name],Inventory[Sale Price],"")=0,"",_xlfn.XLOOKUP(Sales[[#This Row],[Product Name]],Inventory[Product Name],Inventory[Sale Price]))</f>
        <v/>
      </c>
      <c r="I1505" s="19" t="str">
        <f>IFERROR(G1505*H1505,"")</f>
        <v/>
      </c>
      <c r="J1505" s="19"/>
    </row>
    <row r="1506" spans="1:10" ht="21">
      <c r="A1506" s="14">
        <v>1501</v>
      </c>
      <c r="C1506" s="16"/>
      <c r="D1506" s="14" t="str">
        <f>IF(Sales[[#This Row],[Product ID]]="","",Sales[[#This Row],[Date]]&amp;Sales[[#This Row],[Invoice no]])</f>
        <v/>
      </c>
      <c r="E15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6" s="19" t="str">
        <f>IF(_xlfn.XLOOKUP(Sales[[#This Row],[Product Name]],Inventory[Product Name],Inventory[Sale Price],"")=0,"",_xlfn.XLOOKUP(Sales[[#This Row],[Product Name]],Inventory[Product Name],Inventory[Sale Price]))</f>
        <v/>
      </c>
      <c r="I1506" s="19" t="str">
        <f>IFERROR(G1506*H1506,"")</f>
        <v/>
      </c>
      <c r="J1506" s="19"/>
    </row>
    <row r="1507" spans="1:10" ht="21">
      <c r="A1507" s="14">
        <v>1502</v>
      </c>
      <c r="C1507" s="16"/>
      <c r="D1507" s="14" t="str">
        <f>IF(Sales[[#This Row],[Product ID]]="","",Sales[[#This Row],[Date]]&amp;Sales[[#This Row],[Invoice no]])</f>
        <v/>
      </c>
      <c r="E15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7" s="19" t="str">
        <f>IF(_xlfn.XLOOKUP(Sales[[#This Row],[Product Name]],Inventory[Product Name],Inventory[Sale Price],"")=0,"",_xlfn.XLOOKUP(Sales[[#This Row],[Product Name]],Inventory[Product Name],Inventory[Sale Price]))</f>
        <v/>
      </c>
      <c r="I1507" s="19" t="str">
        <f>IFERROR(G1507*H1507,"")</f>
        <v/>
      </c>
      <c r="J1507" s="19"/>
    </row>
    <row r="1508" spans="1:10" ht="21">
      <c r="A1508" s="14">
        <v>1503</v>
      </c>
      <c r="C1508" s="16"/>
      <c r="D1508" s="14" t="str">
        <f>IF(Sales[[#This Row],[Product ID]]="","",Sales[[#This Row],[Date]]&amp;Sales[[#This Row],[Invoice no]])</f>
        <v/>
      </c>
      <c r="E15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8" s="19" t="str">
        <f>IF(_xlfn.XLOOKUP(Sales[[#This Row],[Product Name]],Inventory[Product Name],Inventory[Sale Price],"")=0,"",_xlfn.XLOOKUP(Sales[[#This Row],[Product Name]],Inventory[Product Name],Inventory[Sale Price]))</f>
        <v/>
      </c>
      <c r="I1508" s="19" t="str">
        <f>IFERROR(G1508*H1508,"")</f>
        <v/>
      </c>
      <c r="J1508" s="19"/>
    </row>
    <row r="1509" spans="1:10" ht="21">
      <c r="A1509" s="14">
        <v>1504</v>
      </c>
      <c r="C1509" s="16"/>
      <c r="D1509" s="14" t="str">
        <f>IF(Sales[[#This Row],[Product ID]]="","",Sales[[#This Row],[Date]]&amp;Sales[[#This Row],[Invoice no]])</f>
        <v/>
      </c>
      <c r="E15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09" s="19" t="str">
        <f>IF(_xlfn.XLOOKUP(Sales[[#This Row],[Product Name]],Inventory[Product Name],Inventory[Sale Price],"")=0,"",_xlfn.XLOOKUP(Sales[[#This Row],[Product Name]],Inventory[Product Name],Inventory[Sale Price]))</f>
        <v/>
      </c>
      <c r="I1509" s="19" t="str">
        <f>IFERROR(G1509*H1509,"")</f>
        <v/>
      </c>
      <c r="J1509" s="19"/>
    </row>
    <row r="1510" spans="1:10" ht="21">
      <c r="A1510" s="14">
        <v>1505</v>
      </c>
      <c r="C1510" s="16"/>
      <c r="D1510" s="14" t="str">
        <f>IF(Sales[[#This Row],[Product ID]]="","",Sales[[#This Row],[Date]]&amp;Sales[[#This Row],[Invoice no]])</f>
        <v/>
      </c>
      <c r="E15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0" s="19" t="str">
        <f>IF(_xlfn.XLOOKUP(Sales[[#This Row],[Product Name]],Inventory[Product Name],Inventory[Sale Price],"")=0,"",_xlfn.XLOOKUP(Sales[[#This Row],[Product Name]],Inventory[Product Name],Inventory[Sale Price]))</f>
        <v/>
      </c>
      <c r="I1510" s="19" t="str">
        <f>IFERROR(G1510*H1510,"")</f>
        <v/>
      </c>
      <c r="J1510" s="19"/>
    </row>
    <row r="1511" spans="1:10" ht="21">
      <c r="A1511" s="14">
        <v>1506</v>
      </c>
      <c r="C1511" s="16"/>
      <c r="D1511" s="14" t="str">
        <f>IF(Sales[[#This Row],[Product ID]]="","",Sales[[#This Row],[Date]]&amp;Sales[[#This Row],[Invoice no]])</f>
        <v/>
      </c>
      <c r="E15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1" s="19" t="str">
        <f>IF(_xlfn.XLOOKUP(Sales[[#This Row],[Product Name]],Inventory[Product Name],Inventory[Sale Price],"")=0,"",_xlfn.XLOOKUP(Sales[[#This Row],[Product Name]],Inventory[Product Name],Inventory[Sale Price]))</f>
        <v/>
      </c>
      <c r="I1511" s="19" t="str">
        <f>IFERROR(G1511*H1511,"")</f>
        <v/>
      </c>
      <c r="J1511" s="19"/>
    </row>
    <row r="1512" spans="1:10" ht="21">
      <c r="A1512" s="14">
        <v>1507</v>
      </c>
      <c r="C1512" s="16"/>
      <c r="D1512" s="14" t="str">
        <f>IF(Sales[[#This Row],[Product ID]]="","",Sales[[#This Row],[Date]]&amp;Sales[[#This Row],[Invoice no]])</f>
        <v/>
      </c>
      <c r="E15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2" s="19" t="str">
        <f>IF(_xlfn.XLOOKUP(Sales[[#This Row],[Product Name]],Inventory[Product Name],Inventory[Sale Price],"")=0,"",_xlfn.XLOOKUP(Sales[[#This Row],[Product Name]],Inventory[Product Name],Inventory[Sale Price]))</f>
        <v/>
      </c>
      <c r="I1512" s="19" t="str">
        <f>IFERROR(G1512*H1512,"")</f>
        <v/>
      </c>
      <c r="J1512" s="19"/>
    </row>
    <row r="1513" spans="1:10" ht="21">
      <c r="A1513" s="14">
        <v>1508</v>
      </c>
      <c r="C1513" s="16"/>
      <c r="D1513" s="14" t="str">
        <f>IF(Sales[[#This Row],[Product ID]]="","",Sales[[#This Row],[Date]]&amp;Sales[[#This Row],[Invoice no]])</f>
        <v/>
      </c>
      <c r="E15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3" s="19" t="str">
        <f>IF(_xlfn.XLOOKUP(Sales[[#This Row],[Product Name]],Inventory[Product Name],Inventory[Sale Price],"")=0,"",_xlfn.XLOOKUP(Sales[[#This Row],[Product Name]],Inventory[Product Name],Inventory[Sale Price]))</f>
        <v/>
      </c>
      <c r="I1513" s="19" t="str">
        <f>IFERROR(G1513*H1513,"")</f>
        <v/>
      </c>
      <c r="J1513" s="19"/>
    </row>
    <row r="1514" spans="1:10" ht="21">
      <c r="A1514" s="14">
        <v>1509</v>
      </c>
      <c r="C1514" s="16"/>
      <c r="D1514" s="14" t="str">
        <f>IF(Sales[[#This Row],[Product ID]]="","",Sales[[#This Row],[Date]]&amp;Sales[[#This Row],[Invoice no]])</f>
        <v/>
      </c>
      <c r="E15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4" s="19" t="str">
        <f>IF(_xlfn.XLOOKUP(Sales[[#This Row],[Product Name]],Inventory[Product Name],Inventory[Sale Price],"")=0,"",_xlfn.XLOOKUP(Sales[[#This Row],[Product Name]],Inventory[Product Name],Inventory[Sale Price]))</f>
        <v/>
      </c>
      <c r="I1514" s="19" t="str">
        <f>IFERROR(G1514*H1514,"")</f>
        <v/>
      </c>
      <c r="J1514" s="19"/>
    </row>
    <row r="1515" spans="1:10" ht="21">
      <c r="A1515" s="14">
        <v>1510</v>
      </c>
      <c r="C1515" s="16"/>
      <c r="D1515" s="14" t="str">
        <f>IF(Sales[[#This Row],[Product ID]]="","",Sales[[#This Row],[Date]]&amp;Sales[[#This Row],[Invoice no]])</f>
        <v/>
      </c>
      <c r="E15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5" s="19" t="str">
        <f>IF(_xlfn.XLOOKUP(Sales[[#This Row],[Product Name]],Inventory[Product Name],Inventory[Sale Price],"")=0,"",_xlfn.XLOOKUP(Sales[[#This Row],[Product Name]],Inventory[Product Name],Inventory[Sale Price]))</f>
        <v/>
      </c>
      <c r="I1515" s="19" t="str">
        <f>IFERROR(G1515*H1515,"")</f>
        <v/>
      </c>
      <c r="J1515" s="19"/>
    </row>
    <row r="1516" spans="1:10" ht="21">
      <c r="A1516" s="14">
        <v>1511</v>
      </c>
      <c r="C1516" s="16"/>
      <c r="D1516" s="14" t="str">
        <f>IF(Sales[[#This Row],[Product ID]]="","",Sales[[#This Row],[Date]]&amp;Sales[[#This Row],[Invoice no]])</f>
        <v/>
      </c>
      <c r="E15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6" s="19" t="str">
        <f>IF(_xlfn.XLOOKUP(Sales[[#This Row],[Product Name]],Inventory[Product Name],Inventory[Sale Price],"")=0,"",_xlfn.XLOOKUP(Sales[[#This Row],[Product Name]],Inventory[Product Name],Inventory[Sale Price]))</f>
        <v/>
      </c>
      <c r="I1516" s="19" t="str">
        <f>IFERROR(G1516*H1516,"")</f>
        <v/>
      </c>
      <c r="J1516" s="19"/>
    </row>
    <row r="1517" spans="1:10" ht="21">
      <c r="A1517" s="14">
        <v>1512</v>
      </c>
      <c r="C1517" s="16"/>
      <c r="D1517" s="14" t="str">
        <f>IF(Sales[[#This Row],[Product ID]]="","",Sales[[#This Row],[Date]]&amp;Sales[[#This Row],[Invoice no]])</f>
        <v/>
      </c>
      <c r="E15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7" s="19" t="str">
        <f>IF(_xlfn.XLOOKUP(Sales[[#This Row],[Product Name]],Inventory[Product Name],Inventory[Sale Price],"")=0,"",_xlfn.XLOOKUP(Sales[[#This Row],[Product Name]],Inventory[Product Name],Inventory[Sale Price]))</f>
        <v/>
      </c>
      <c r="I1517" s="19" t="str">
        <f>IFERROR(G1517*H1517,"")</f>
        <v/>
      </c>
      <c r="J1517" s="19"/>
    </row>
    <row r="1518" spans="1:10" ht="21">
      <c r="A1518" s="14">
        <v>1513</v>
      </c>
      <c r="C1518" s="16"/>
      <c r="D1518" s="14" t="str">
        <f>IF(Sales[[#This Row],[Product ID]]="","",Sales[[#This Row],[Date]]&amp;Sales[[#This Row],[Invoice no]])</f>
        <v/>
      </c>
      <c r="E15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8" s="19" t="str">
        <f>IF(_xlfn.XLOOKUP(Sales[[#This Row],[Product Name]],Inventory[Product Name],Inventory[Sale Price],"")=0,"",_xlfn.XLOOKUP(Sales[[#This Row],[Product Name]],Inventory[Product Name],Inventory[Sale Price]))</f>
        <v/>
      </c>
      <c r="I1518" s="19" t="str">
        <f>IFERROR(G1518*H1518,"")</f>
        <v/>
      </c>
      <c r="J1518" s="19"/>
    </row>
    <row r="1519" spans="1:10" ht="21">
      <c r="A1519" s="14">
        <v>1514</v>
      </c>
      <c r="C1519" s="16"/>
      <c r="D1519" s="14" t="str">
        <f>IF(Sales[[#This Row],[Product ID]]="","",Sales[[#This Row],[Date]]&amp;Sales[[#This Row],[Invoice no]])</f>
        <v/>
      </c>
      <c r="E15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19" s="19" t="str">
        <f>IF(_xlfn.XLOOKUP(Sales[[#This Row],[Product Name]],Inventory[Product Name],Inventory[Sale Price],"")=0,"",_xlfn.XLOOKUP(Sales[[#This Row],[Product Name]],Inventory[Product Name],Inventory[Sale Price]))</f>
        <v/>
      </c>
      <c r="I1519" s="19" t="str">
        <f>IFERROR(G1519*H1519,"")</f>
        <v/>
      </c>
      <c r="J1519" s="19"/>
    </row>
    <row r="1520" spans="1:10" ht="21">
      <c r="A1520" s="14">
        <v>1515</v>
      </c>
      <c r="C1520" s="16"/>
      <c r="D1520" s="14" t="str">
        <f>IF(Sales[[#This Row],[Product ID]]="","",Sales[[#This Row],[Date]]&amp;Sales[[#This Row],[Invoice no]])</f>
        <v/>
      </c>
      <c r="E15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0" s="19" t="str">
        <f>IF(_xlfn.XLOOKUP(Sales[[#This Row],[Product Name]],Inventory[Product Name],Inventory[Sale Price],"")=0,"",_xlfn.XLOOKUP(Sales[[#This Row],[Product Name]],Inventory[Product Name],Inventory[Sale Price]))</f>
        <v/>
      </c>
      <c r="I1520" s="19" t="str">
        <f>IFERROR(G1520*H1520,"")</f>
        <v/>
      </c>
      <c r="J1520" s="19"/>
    </row>
    <row r="1521" spans="1:10" ht="21">
      <c r="A1521" s="14">
        <v>1516</v>
      </c>
      <c r="C1521" s="16"/>
      <c r="D1521" s="14" t="str">
        <f>IF(Sales[[#This Row],[Product ID]]="","",Sales[[#This Row],[Date]]&amp;Sales[[#This Row],[Invoice no]])</f>
        <v/>
      </c>
      <c r="E15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1" s="19" t="str">
        <f>IF(_xlfn.XLOOKUP(Sales[[#This Row],[Product Name]],Inventory[Product Name],Inventory[Sale Price],"")=0,"",_xlfn.XLOOKUP(Sales[[#This Row],[Product Name]],Inventory[Product Name],Inventory[Sale Price]))</f>
        <v/>
      </c>
      <c r="I1521" s="19" t="str">
        <f>IFERROR(G1521*H1521,"")</f>
        <v/>
      </c>
      <c r="J1521" s="19"/>
    </row>
    <row r="1522" spans="1:10" ht="21">
      <c r="A1522" s="14">
        <v>1517</v>
      </c>
      <c r="C1522" s="16"/>
      <c r="D1522" s="14" t="str">
        <f>IF(Sales[[#This Row],[Product ID]]="","",Sales[[#This Row],[Date]]&amp;Sales[[#This Row],[Invoice no]])</f>
        <v/>
      </c>
      <c r="E15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2" s="19" t="str">
        <f>IF(_xlfn.XLOOKUP(Sales[[#This Row],[Product Name]],Inventory[Product Name],Inventory[Sale Price],"")=0,"",_xlfn.XLOOKUP(Sales[[#This Row],[Product Name]],Inventory[Product Name],Inventory[Sale Price]))</f>
        <v/>
      </c>
      <c r="I1522" s="19" t="str">
        <f>IFERROR(G1522*H1522,"")</f>
        <v/>
      </c>
      <c r="J1522" s="19"/>
    </row>
    <row r="1523" spans="1:10" ht="21">
      <c r="A1523" s="14">
        <v>1518</v>
      </c>
      <c r="C1523" s="16"/>
      <c r="D1523" s="14" t="str">
        <f>IF(Sales[[#This Row],[Product ID]]="","",Sales[[#This Row],[Date]]&amp;Sales[[#This Row],[Invoice no]])</f>
        <v/>
      </c>
      <c r="E15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3" s="19" t="str">
        <f>IF(_xlfn.XLOOKUP(Sales[[#This Row],[Product Name]],Inventory[Product Name],Inventory[Sale Price],"")=0,"",_xlfn.XLOOKUP(Sales[[#This Row],[Product Name]],Inventory[Product Name],Inventory[Sale Price]))</f>
        <v/>
      </c>
      <c r="I1523" s="19" t="str">
        <f>IFERROR(G1523*H1523,"")</f>
        <v/>
      </c>
      <c r="J1523" s="19"/>
    </row>
    <row r="1524" spans="1:10" ht="21">
      <c r="A1524" s="14">
        <v>1519</v>
      </c>
      <c r="C1524" s="16"/>
      <c r="D1524" s="14" t="str">
        <f>IF(Sales[[#This Row],[Product ID]]="","",Sales[[#This Row],[Date]]&amp;Sales[[#This Row],[Invoice no]])</f>
        <v/>
      </c>
      <c r="E15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4" s="19" t="str">
        <f>IF(_xlfn.XLOOKUP(Sales[[#This Row],[Product Name]],Inventory[Product Name],Inventory[Sale Price],"")=0,"",_xlfn.XLOOKUP(Sales[[#This Row],[Product Name]],Inventory[Product Name],Inventory[Sale Price]))</f>
        <v/>
      </c>
      <c r="I1524" s="19" t="str">
        <f>IFERROR(G1524*H1524,"")</f>
        <v/>
      </c>
      <c r="J1524" s="19"/>
    </row>
    <row r="1525" spans="1:10" ht="21">
      <c r="A1525" s="14">
        <v>1520</v>
      </c>
      <c r="C1525" s="16"/>
      <c r="D1525" s="14" t="str">
        <f>IF(Sales[[#This Row],[Product ID]]="","",Sales[[#This Row],[Date]]&amp;Sales[[#This Row],[Invoice no]])</f>
        <v/>
      </c>
      <c r="E15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5" s="19" t="str">
        <f>IF(_xlfn.XLOOKUP(Sales[[#This Row],[Product Name]],Inventory[Product Name],Inventory[Sale Price],"")=0,"",_xlfn.XLOOKUP(Sales[[#This Row],[Product Name]],Inventory[Product Name],Inventory[Sale Price]))</f>
        <v/>
      </c>
      <c r="I1525" s="19" t="str">
        <f>IFERROR(G1525*H1525,"")</f>
        <v/>
      </c>
      <c r="J1525" s="19"/>
    </row>
    <row r="1526" spans="1:10" ht="21">
      <c r="A1526" s="14">
        <v>1521</v>
      </c>
      <c r="C1526" s="16"/>
      <c r="D1526" s="14" t="str">
        <f>IF(Sales[[#This Row],[Product ID]]="","",Sales[[#This Row],[Date]]&amp;Sales[[#This Row],[Invoice no]])</f>
        <v/>
      </c>
      <c r="E15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6" s="19" t="str">
        <f>IF(_xlfn.XLOOKUP(Sales[[#This Row],[Product Name]],Inventory[Product Name],Inventory[Sale Price],"")=0,"",_xlfn.XLOOKUP(Sales[[#This Row],[Product Name]],Inventory[Product Name],Inventory[Sale Price]))</f>
        <v/>
      </c>
      <c r="I1526" s="19" t="str">
        <f>IFERROR(G1526*H1526,"")</f>
        <v/>
      </c>
      <c r="J1526" s="19"/>
    </row>
    <row r="1527" spans="1:10" ht="21">
      <c r="A1527" s="14">
        <v>1522</v>
      </c>
      <c r="C1527" s="16"/>
      <c r="D1527" s="14" t="str">
        <f>IF(Sales[[#This Row],[Product ID]]="","",Sales[[#This Row],[Date]]&amp;Sales[[#This Row],[Invoice no]])</f>
        <v/>
      </c>
      <c r="E15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7" s="19" t="str">
        <f>IF(_xlfn.XLOOKUP(Sales[[#This Row],[Product Name]],Inventory[Product Name],Inventory[Sale Price],"")=0,"",_xlfn.XLOOKUP(Sales[[#This Row],[Product Name]],Inventory[Product Name],Inventory[Sale Price]))</f>
        <v/>
      </c>
      <c r="I1527" s="19" t="str">
        <f>IFERROR(G1527*H1527,"")</f>
        <v/>
      </c>
      <c r="J1527" s="19"/>
    </row>
    <row r="1528" spans="1:10" ht="21">
      <c r="A1528" s="14">
        <v>1523</v>
      </c>
      <c r="C1528" s="16"/>
      <c r="D1528" s="14" t="str">
        <f>IF(Sales[[#This Row],[Product ID]]="","",Sales[[#This Row],[Date]]&amp;Sales[[#This Row],[Invoice no]])</f>
        <v/>
      </c>
      <c r="E15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8" s="19" t="str">
        <f>IF(_xlfn.XLOOKUP(Sales[[#This Row],[Product Name]],Inventory[Product Name],Inventory[Sale Price],"")=0,"",_xlfn.XLOOKUP(Sales[[#This Row],[Product Name]],Inventory[Product Name],Inventory[Sale Price]))</f>
        <v/>
      </c>
      <c r="I1528" s="19" t="str">
        <f>IFERROR(G1528*H1528,"")</f>
        <v/>
      </c>
      <c r="J1528" s="19"/>
    </row>
    <row r="1529" spans="1:10" ht="21">
      <c r="A1529" s="14">
        <v>1524</v>
      </c>
      <c r="C1529" s="16"/>
      <c r="D1529" s="14" t="str">
        <f>IF(Sales[[#This Row],[Product ID]]="","",Sales[[#This Row],[Date]]&amp;Sales[[#This Row],[Invoice no]])</f>
        <v/>
      </c>
      <c r="E15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29" s="19" t="str">
        <f>IF(_xlfn.XLOOKUP(Sales[[#This Row],[Product Name]],Inventory[Product Name],Inventory[Sale Price],"")=0,"",_xlfn.XLOOKUP(Sales[[#This Row],[Product Name]],Inventory[Product Name],Inventory[Sale Price]))</f>
        <v/>
      </c>
      <c r="I1529" s="19" t="str">
        <f>IFERROR(G1529*H1529,"")</f>
        <v/>
      </c>
      <c r="J1529" s="19"/>
    </row>
    <row r="1530" spans="1:10" ht="21">
      <c r="A1530" s="14">
        <v>1525</v>
      </c>
      <c r="C1530" s="16"/>
      <c r="D1530" s="14" t="str">
        <f>IF(Sales[[#This Row],[Product ID]]="","",Sales[[#This Row],[Date]]&amp;Sales[[#This Row],[Invoice no]])</f>
        <v/>
      </c>
      <c r="E15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0" s="19" t="str">
        <f>IF(_xlfn.XLOOKUP(Sales[[#This Row],[Product Name]],Inventory[Product Name],Inventory[Sale Price],"")=0,"",_xlfn.XLOOKUP(Sales[[#This Row],[Product Name]],Inventory[Product Name],Inventory[Sale Price]))</f>
        <v/>
      </c>
      <c r="I1530" s="19" t="str">
        <f>IFERROR(G1530*H1530,"")</f>
        <v/>
      </c>
      <c r="J1530" s="19"/>
    </row>
    <row r="1531" spans="1:10" ht="21">
      <c r="A1531" s="14">
        <v>1526</v>
      </c>
      <c r="C1531" s="16"/>
      <c r="D1531" s="14" t="str">
        <f>IF(Sales[[#This Row],[Product ID]]="","",Sales[[#This Row],[Date]]&amp;Sales[[#This Row],[Invoice no]])</f>
        <v/>
      </c>
      <c r="E15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1" s="19" t="str">
        <f>IF(_xlfn.XLOOKUP(Sales[[#This Row],[Product Name]],Inventory[Product Name],Inventory[Sale Price],"")=0,"",_xlfn.XLOOKUP(Sales[[#This Row],[Product Name]],Inventory[Product Name],Inventory[Sale Price]))</f>
        <v/>
      </c>
      <c r="I1531" s="19" t="str">
        <f>IFERROR(G1531*H1531,"")</f>
        <v/>
      </c>
      <c r="J1531" s="19"/>
    </row>
    <row r="1532" spans="1:10" ht="21">
      <c r="A1532" s="14">
        <v>1527</v>
      </c>
      <c r="C1532" s="16"/>
      <c r="D1532" s="14" t="str">
        <f>IF(Sales[[#This Row],[Product ID]]="","",Sales[[#This Row],[Date]]&amp;Sales[[#This Row],[Invoice no]])</f>
        <v/>
      </c>
      <c r="E15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2" s="19" t="str">
        <f>IF(_xlfn.XLOOKUP(Sales[[#This Row],[Product Name]],Inventory[Product Name],Inventory[Sale Price],"")=0,"",_xlfn.XLOOKUP(Sales[[#This Row],[Product Name]],Inventory[Product Name],Inventory[Sale Price]))</f>
        <v/>
      </c>
      <c r="I1532" s="19" t="str">
        <f>IFERROR(G1532*H1532,"")</f>
        <v/>
      </c>
      <c r="J1532" s="19"/>
    </row>
    <row r="1533" spans="1:10" ht="21">
      <c r="A1533" s="14">
        <v>1528</v>
      </c>
      <c r="C1533" s="16"/>
      <c r="D1533" s="14" t="str">
        <f>IF(Sales[[#This Row],[Product ID]]="","",Sales[[#This Row],[Date]]&amp;Sales[[#This Row],[Invoice no]])</f>
        <v/>
      </c>
      <c r="E15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3" s="19" t="str">
        <f>IF(_xlfn.XLOOKUP(Sales[[#This Row],[Product Name]],Inventory[Product Name],Inventory[Sale Price],"")=0,"",_xlfn.XLOOKUP(Sales[[#This Row],[Product Name]],Inventory[Product Name],Inventory[Sale Price]))</f>
        <v/>
      </c>
      <c r="I1533" s="19" t="str">
        <f>IFERROR(G1533*H1533,"")</f>
        <v/>
      </c>
      <c r="J1533" s="19"/>
    </row>
    <row r="1534" spans="1:10" ht="21">
      <c r="A1534" s="14">
        <v>1529</v>
      </c>
      <c r="C1534" s="16"/>
      <c r="D1534" s="14" t="str">
        <f>IF(Sales[[#This Row],[Product ID]]="","",Sales[[#This Row],[Date]]&amp;Sales[[#This Row],[Invoice no]])</f>
        <v/>
      </c>
      <c r="E15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4" s="19" t="str">
        <f>IF(_xlfn.XLOOKUP(Sales[[#This Row],[Product Name]],Inventory[Product Name],Inventory[Sale Price],"")=0,"",_xlfn.XLOOKUP(Sales[[#This Row],[Product Name]],Inventory[Product Name],Inventory[Sale Price]))</f>
        <v/>
      </c>
      <c r="I1534" s="19" t="str">
        <f>IFERROR(G1534*H1534,"")</f>
        <v/>
      </c>
      <c r="J1534" s="19"/>
    </row>
    <row r="1535" spans="1:10" ht="21">
      <c r="A1535" s="14">
        <v>1530</v>
      </c>
      <c r="C1535" s="16"/>
      <c r="D1535" s="14" t="str">
        <f>IF(Sales[[#This Row],[Product ID]]="","",Sales[[#This Row],[Date]]&amp;Sales[[#This Row],[Invoice no]])</f>
        <v/>
      </c>
      <c r="E15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5" s="19" t="str">
        <f>IF(_xlfn.XLOOKUP(Sales[[#This Row],[Product Name]],Inventory[Product Name],Inventory[Sale Price],"")=0,"",_xlfn.XLOOKUP(Sales[[#This Row],[Product Name]],Inventory[Product Name],Inventory[Sale Price]))</f>
        <v/>
      </c>
      <c r="I1535" s="19" t="str">
        <f>IFERROR(G1535*H1535,"")</f>
        <v/>
      </c>
      <c r="J1535" s="19"/>
    </row>
    <row r="1536" spans="1:10" ht="21">
      <c r="A1536" s="14">
        <v>1531</v>
      </c>
      <c r="C1536" s="16"/>
      <c r="D1536" s="14" t="str">
        <f>IF(Sales[[#This Row],[Product ID]]="","",Sales[[#This Row],[Date]]&amp;Sales[[#This Row],[Invoice no]])</f>
        <v/>
      </c>
      <c r="E15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6" s="19" t="str">
        <f>IF(_xlfn.XLOOKUP(Sales[[#This Row],[Product Name]],Inventory[Product Name],Inventory[Sale Price],"")=0,"",_xlfn.XLOOKUP(Sales[[#This Row],[Product Name]],Inventory[Product Name],Inventory[Sale Price]))</f>
        <v/>
      </c>
      <c r="I1536" s="19" t="str">
        <f>IFERROR(G1536*H1536,"")</f>
        <v/>
      </c>
      <c r="J1536" s="19"/>
    </row>
    <row r="1537" spans="1:10" ht="21">
      <c r="A1537" s="14">
        <v>1532</v>
      </c>
      <c r="C1537" s="16"/>
      <c r="D1537" s="14" t="str">
        <f>IF(Sales[[#This Row],[Product ID]]="","",Sales[[#This Row],[Date]]&amp;Sales[[#This Row],[Invoice no]])</f>
        <v/>
      </c>
      <c r="E15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7" s="19" t="str">
        <f>IF(_xlfn.XLOOKUP(Sales[[#This Row],[Product Name]],Inventory[Product Name],Inventory[Sale Price],"")=0,"",_xlfn.XLOOKUP(Sales[[#This Row],[Product Name]],Inventory[Product Name],Inventory[Sale Price]))</f>
        <v/>
      </c>
      <c r="I1537" s="19" t="str">
        <f>IFERROR(G1537*H1537,"")</f>
        <v/>
      </c>
      <c r="J1537" s="19"/>
    </row>
    <row r="1538" spans="1:10" ht="21">
      <c r="A1538" s="14">
        <v>1533</v>
      </c>
      <c r="C1538" s="16"/>
      <c r="D1538" s="14" t="str">
        <f>IF(Sales[[#This Row],[Product ID]]="","",Sales[[#This Row],[Date]]&amp;Sales[[#This Row],[Invoice no]])</f>
        <v/>
      </c>
      <c r="E15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8" s="19" t="str">
        <f>IF(_xlfn.XLOOKUP(Sales[[#This Row],[Product Name]],Inventory[Product Name],Inventory[Sale Price],"")=0,"",_xlfn.XLOOKUP(Sales[[#This Row],[Product Name]],Inventory[Product Name],Inventory[Sale Price]))</f>
        <v/>
      </c>
      <c r="I1538" s="19" t="str">
        <f>IFERROR(G1538*H1538,"")</f>
        <v/>
      </c>
      <c r="J1538" s="19"/>
    </row>
    <row r="1539" spans="1:10" ht="21">
      <c r="A1539" s="14">
        <v>1534</v>
      </c>
      <c r="C1539" s="16"/>
      <c r="D1539" s="14" t="str">
        <f>IF(Sales[[#This Row],[Product ID]]="","",Sales[[#This Row],[Date]]&amp;Sales[[#This Row],[Invoice no]])</f>
        <v/>
      </c>
      <c r="E15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39" s="19" t="str">
        <f>IF(_xlfn.XLOOKUP(Sales[[#This Row],[Product Name]],Inventory[Product Name],Inventory[Sale Price],"")=0,"",_xlfn.XLOOKUP(Sales[[#This Row],[Product Name]],Inventory[Product Name],Inventory[Sale Price]))</f>
        <v/>
      </c>
      <c r="I1539" s="19" t="str">
        <f>IFERROR(G1539*H1539,"")</f>
        <v/>
      </c>
      <c r="J1539" s="19"/>
    </row>
    <row r="1540" spans="1:10" ht="21">
      <c r="A1540" s="14">
        <v>1535</v>
      </c>
      <c r="C1540" s="16"/>
      <c r="D1540" s="14" t="str">
        <f>IF(Sales[[#This Row],[Product ID]]="","",Sales[[#This Row],[Date]]&amp;Sales[[#This Row],[Invoice no]])</f>
        <v/>
      </c>
      <c r="E15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0" s="19" t="str">
        <f>IF(_xlfn.XLOOKUP(Sales[[#This Row],[Product Name]],Inventory[Product Name],Inventory[Sale Price],"")=0,"",_xlfn.XLOOKUP(Sales[[#This Row],[Product Name]],Inventory[Product Name],Inventory[Sale Price]))</f>
        <v/>
      </c>
      <c r="I1540" s="19" t="str">
        <f>IFERROR(G1540*H1540,"")</f>
        <v/>
      </c>
      <c r="J1540" s="19"/>
    </row>
    <row r="1541" spans="1:10" ht="21">
      <c r="A1541" s="14">
        <v>1536</v>
      </c>
      <c r="C1541" s="16"/>
      <c r="D1541" s="14" t="str">
        <f>IF(Sales[[#This Row],[Product ID]]="","",Sales[[#This Row],[Date]]&amp;Sales[[#This Row],[Invoice no]])</f>
        <v/>
      </c>
      <c r="E15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1" s="19" t="str">
        <f>IF(_xlfn.XLOOKUP(Sales[[#This Row],[Product Name]],Inventory[Product Name],Inventory[Sale Price],"")=0,"",_xlfn.XLOOKUP(Sales[[#This Row],[Product Name]],Inventory[Product Name],Inventory[Sale Price]))</f>
        <v/>
      </c>
      <c r="I1541" s="19" t="str">
        <f>IFERROR(G1541*H1541,"")</f>
        <v/>
      </c>
      <c r="J1541" s="19"/>
    </row>
    <row r="1542" spans="1:10" ht="21">
      <c r="A1542" s="14">
        <v>1537</v>
      </c>
      <c r="C1542" s="16"/>
      <c r="D1542" s="14" t="str">
        <f>IF(Sales[[#This Row],[Product ID]]="","",Sales[[#This Row],[Date]]&amp;Sales[[#This Row],[Invoice no]])</f>
        <v/>
      </c>
      <c r="E15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2" s="19" t="str">
        <f>IF(_xlfn.XLOOKUP(Sales[[#This Row],[Product Name]],Inventory[Product Name],Inventory[Sale Price],"")=0,"",_xlfn.XLOOKUP(Sales[[#This Row],[Product Name]],Inventory[Product Name],Inventory[Sale Price]))</f>
        <v/>
      </c>
      <c r="I1542" s="19" t="str">
        <f>IFERROR(G1542*H1542,"")</f>
        <v/>
      </c>
      <c r="J1542" s="19"/>
    </row>
    <row r="1543" spans="1:10" ht="21">
      <c r="A1543" s="14">
        <v>1538</v>
      </c>
      <c r="C1543" s="16"/>
      <c r="D1543" s="14" t="str">
        <f>IF(Sales[[#This Row],[Product ID]]="","",Sales[[#This Row],[Date]]&amp;Sales[[#This Row],[Invoice no]])</f>
        <v/>
      </c>
      <c r="E15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3" s="19" t="str">
        <f>IF(_xlfn.XLOOKUP(Sales[[#This Row],[Product Name]],Inventory[Product Name],Inventory[Sale Price],"")=0,"",_xlfn.XLOOKUP(Sales[[#This Row],[Product Name]],Inventory[Product Name],Inventory[Sale Price]))</f>
        <v/>
      </c>
      <c r="I1543" s="19" t="str">
        <f>IFERROR(G1543*H1543,"")</f>
        <v/>
      </c>
      <c r="J1543" s="19"/>
    </row>
    <row r="1544" spans="1:10" ht="21">
      <c r="A1544" s="14">
        <v>1539</v>
      </c>
      <c r="C1544" s="16"/>
      <c r="D1544" s="14" t="str">
        <f>IF(Sales[[#This Row],[Product ID]]="","",Sales[[#This Row],[Date]]&amp;Sales[[#This Row],[Invoice no]])</f>
        <v/>
      </c>
      <c r="E15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4" s="19" t="str">
        <f>IF(_xlfn.XLOOKUP(Sales[[#This Row],[Product Name]],Inventory[Product Name],Inventory[Sale Price],"")=0,"",_xlfn.XLOOKUP(Sales[[#This Row],[Product Name]],Inventory[Product Name],Inventory[Sale Price]))</f>
        <v/>
      </c>
      <c r="I1544" s="19" t="str">
        <f>IFERROR(G1544*H1544,"")</f>
        <v/>
      </c>
      <c r="J1544" s="19"/>
    </row>
    <row r="1545" spans="1:10" ht="21">
      <c r="A1545" s="14">
        <v>1540</v>
      </c>
      <c r="C1545" s="16"/>
      <c r="D1545" s="14" t="str">
        <f>IF(Sales[[#This Row],[Product ID]]="","",Sales[[#This Row],[Date]]&amp;Sales[[#This Row],[Invoice no]])</f>
        <v/>
      </c>
      <c r="E15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5" s="19" t="str">
        <f>IF(_xlfn.XLOOKUP(Sales[[#This Row],[Product Name]],Inventory[Product Name],Inventory[Sale Price],"")=0,"",_xlfn.XLOOKUP(Sales[[#This Row],[Product Name]],Inventory[Product Name],Inventory[Sale Price]))</f>
        <v/>
      </c>
      <c r="I1545" s="19" t="str">
        <f>IFERROR(G1545*H1545,"")</f>
        <v/>
      </c>
      <c r="J1545" s="19"/>
    </row>
    <row r="1546" spans="1:10" ht="21">
      <c r="A1546" s="14">
        <v>1541</v>
      </c>
      <c r="C1546" s="16"/>
      <c r="D1546" s="14" t="str">
        <f>IF(Sales[[#This Row],[Product ID]]="","",Sales[[#This Row],[Date]]&amp;Sales[[#This Row],[Invoice no]])</f>
        <v/>
      </c>
      <c r="E15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6" s="19" t="str">
        <f>IF(_xlfn.XLOOKUP(Sales[[#This Row],[Product Name]],Inventory[Product Name],Inventory[Sale Price],"")=0,"",_xlfn.XLOOKUP(Sales[[#This Row],[Product Name]],Inventory[Product Name],Inventory[Sale Price]))</f>
        <v/>
      </c>
      <c r="I1546" s="19" t="str">
        <f>IFERROR(G1546*H1546,"")</f>
        <v/>
      </c>
      <c r="J1546" s="19"/>
    </row>
    <row r="1547" spans="1:10" ht="21">
      <c r="A1547" s="14">
        <v>1542</v>
      </c>
      <c r="C1547" s="16"/>
      <c r="D1547" s="14" t="str">
        <f>IF(Sales[[#This Row],[Product ID]]="","",Sales[[#This Row],[Date]]&amp;Sales[[#This Row],[Invoice no]])</f>
        <v/>
      </c>
      <c r="E15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7" s="19" t="str">
        <f>IF(_xlfn.XLOOKUP(Sales[[#This Row],[Product Name]],Inventory[Product Name],Inventory[Sale Price],"")=0,"",_xlfn.XLOOKUP(Sales[[#This Row],[Product Name]],Inventory[Product Name],Inventory[Sale Price]))</f>
        <v/>
      </c>
      <c r="I1547" s="19" t="str">
        <f>IFERROR(G1547*H1547,"")</f>
        <v/>
      </c>
      <c r="J1547" s="19"/>
    </row>
    <row r="1548" spans="1:10" ht="21">
      <c r="A1548" s="14">
        <v>1543</v>
      </c>
      <c r="C1548" s="16"/>
      <c r="D1548" s="14" t="str">
        <f>IF(Sales[[#This Row],[Product ID]]="","",Sales[[#This Row],[Date]]&amp;Sales[[#This Row],[Invoice no]])</f>
        <v/>
      </c>
      <c r="E15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8" s="19" t="str">
        <f>IF(_xlfn.XLOOKUP(Sales[[#This Row],[Product Name]],Inventory[Product Name],Inventory[Sale Price],"")=0,"",_xlfn.XLOOKUP(Sales[[#This Row],[Product Name]],Inventory[Product Name],Inventory[Sale Price]))</f>
        <v/>
      </c>
      <c r="I1548" s="19" t="str">
        <f>IFERROR(G1548*H1548,"")</f>
        <v/>
      </c>
      <c r="J1548" s="19"/>
    </row>
    <row r="1549" spans="1:10" ht="21">
      <c r="A1549" s="14">
        <v>1544</v>
      </c>
      <c r="C1549" s="16"/>
      <c r="D1549" s="14" t="str">
        <f>IF(Sales[[#This Row],[Product ID]]="","",Sales[[#This Row],[Date]]&amp;Sales[[#This Row],[Invoice no]])</f>
        <v/>
      </c>
      <c r="E15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49" s="19" t="str">
        <f>IF(_xlfn.XLOOKUP(Sales[[#This Row],[Product Name]],Inventory[Product Name],Inventory[Sale Price],"")=0,"",_xlfn.XLOOKUP(Sales[[#This Row],[Product Name]],Inventory[Product Name],Inventory[Sale Price]))</f>
        <v/>
      </c>
      <c r="I1549" s="19" t="str">
        <f>IFERROR(G1549*H1549,"")</f>
        <v/>
      </c>
      <c r="J1549" s="19"/>
    </row>
    <row r="1550" spans="1:10" ht="21">
      <c r="A1550" s="14">
        <v>1545</v>
      </c>
      <c r="C1550" s="16"/>
      <c r="D1550" s="14" t="str">
        <f>IF(Sales[[#This Row],[Product ID]]="","",Sales[[#This Row],[Date]]&amp;Sales[[#This Row],[Invoice no]])</f>
        <v/>
      </c>
      <c r="E15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0" s="19" t="str">
        <f>IF(_xlfn.XLOOKUP(Sales[[#This Row],[Product Name]],Inventory[Product Name],Inventory[Sale Price],"")=0,"",_xlfn.XLOOKUP(Sales[[#This Row],[Product Name]],Inventory[Product Name],Inventory[Sale Price]))</f>
        <v/>
      </c>
      <c r="I1550" s="19" t="str">
        <f>IFERROR(G1550*H1550,"")</f>
        <v/>
      </c>
      <c r="J1550" s="19"/>
    </row>
    <row r="1551" spans="1:10" ht="21">
      <c r="A1551" s="14">
        <v>1546</v>
      </c>
      <c r="C1551" s="16"/>
      <c r="D1551" s="14" t="str">
        <f>IF(Sales[[#This Row],[Product ID]]="","",Sales[[#This Row],[Date]]&amp;Sales[[#This Row],[Invoice no]])</f>
        <v/>
      </c>
      <c r="E15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1" s="19" t="str">
        <f>IF(_xlfn.XLOOKUP(Sales[[#This Row],[Product Name]],Inventory[Product Name],Inventory[Sale Price],"")=0,"",_xlfn.XLOOKUP(Sales[[#This Row],[Product Name]],Inventory[Product Name],Inventory[Sale Price]))</f>
        <v/>
      </c>
      <c r="I1551" s="19" t="str">
        <f>IFERROR(G1551*H1551,"")</f>
        <v/>
      </c>
      <c r="J1551" s="19"/>
    </row>
    <row r="1552" spans="1:10" ht="21">
      <c r="A1552" s="14">
        <v>1547</v>
      </c>
      <c r="C1552" s="16"/>
      <c r="D1552" s="14" t="str">
        <f>IF(Sales[[#This Row],[Product ID]]="","",Sales[[#This Row],[Date]]&amp;Sales[[#This Row],[Invoice no]])</f>
        <v/>
      </c>
      <c r="E15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2" s="19" t="str">
        <f>IF(_xlfn.XLOOKUP(Sales[[#This Row],[Product Name]],Inventory[Product Name],Inventory[Sale Price],"")=0,"",_xlfn.XLOOKUP(Sales[[#This Row],[Product Name]],Inventory[Product Name],Inventory[Sale Price]))</f>
        <v/>
      </c>
      <c r="I1552" s="19" t="str">
        <f>IFERROR(G1552*H1552,"")</f>
        <v/>
      </c>
      <c r="J1552" s="19"/>
    </row>
    <row r="1553" spans="1:10" ht="21">
      <c r="A1553" s="14">
        <v>1548</v>
      </c>
      <c r="C1553" s="16"/>
      <c r="D1553" s="14" t="str">
        <f>IF(Sales[[#This Row],[Product ID]]="","",Sales[[#This Row],[Date]]&amp;Sales[[#This Row],[Invoice no]])</f>
        <v/>
      </c>
      <c r="E15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3" s="19" t="str">
        <f>IF(_xlfn.XLOOKUP(Sales[[#This Row],[Product Name]],Inventory[Product Name],Inventory[Sale Price],"")=0,"",_xlfn.XLOOKUP(Sales[[#This Row],[Product Name]],Inventory[Product Name],Inventory[Sale Price]))</f>
        <v/>
      </c>
      <c r="I1553" s="19" t="str">
        <f>IFERROR(G1553*H1553,"")</f>
        <v/>
      </c>
      <c r="J1553" s="19"/>
    </row>
    <row r="1554" spans="1:10" ht="21">
      <c r="A1554" s="14">
        <v>1549</v>
      </c>
      <c r="C1554" s="16"/>
      <c r="D1554" s="14" t="str">
        <f>IF(Sales[[#This Row],[Product ID]]="","",Sales[[#This Row],[Date]]&amp;Sales[[#This Row],[Invoice no]])</f>
        <v/>
      </c>
      <c r="E15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4" s="19" t="str">
        <f>IF(_xlfn.XLOOKUP(Sales[[#This Row],[Product Name]],Inventory[Product Name],Inventory[Sale Price],"")=0,"",_xlfn.XLOOKUP(Sales[[#This Row],[Product Name]],Inventory[Product Name],Inventory[Sale Price]))</f>
        <v/>
      </c>
      <c r="I1554" s="19" t="str">
        <f>IFERROR(G1554*H1554,"")</f>
        <v/>
      </c>
      <c r="J1554" s="19"/>
    </row>
    <row r="1555" spans="1:10" ht="21">
      <c r="A1555" s="14">
        <v>1550</v>
      </c>
      <c r="C1555" s="16"/>
      <c r="D1555" s="14" t="str">
        <f>IF(Sales[[#This Row],[Product ID]]="","",Sales[[#This Row],[Date]]&amp;Sales[[#This Row],[Invoice no]])</f>
        <v/>
      </c>
      <c r="E15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5" s="19" t="str">
        <f>IF(_xlfn.XLOOKUP(Sales[[#This Row],[Product Name]],Inventory[Product Name],Inventory[Sale Price],"")=0,"",_xlfn.XLOOKUP(Sales[[#This Row],[Product Name]],Inventory[Product Name],Inventory[Sale Price]))</f>
        <v/>
      </c>
      <c r="I1555" s="19" t="str">
        <f>IFERROR(G1555*H1555,"")</f>
        <v/>
      </c>
      <c r="J1555" s="19"/>
    </row>
    <row r="1556" spans="1:10" ht="21">
      <c r="A1556" s="14">
        <v>1551</v>
      </c>
      <c r="C1556" s="16"/>
      <c r="D1556" s="14" t="str">
        <f>IF(Sales[[#This Row],[Product ID]]="","",Sales[[#This Row],[Date]]&amp;Sales[[#This Row],[Invoice no]])</f>
        <v/>
      </c>
      <c r="E15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6" s="19" t="str">
        <f>IF(_xlfn.XLOOKUP(Sales[[#This Row],[Product Name]],Inventory[Product Name],Inventory[Sale Price],"")=0,"",_xlfn.XLOOKUP(Sales[[#This Row],[Product Name]],Inventory[Product Name],Inventory[Sale Price]))</f>
        <v/>
      </c>
      <c r="I1556" s="19" t="str">
        <f>IFERROR(G1556*H1556,"")</f>
        <v/>
      </c>
      <c r="J1556" s="19"/>
    </row>
    <row r="1557" spans="1:10" ht="21">
      <c r="A1557" s="14">
        <v>1552</v>
      </c>
      <c r="C1557" s="16"/>
      <c r="D1557" s="14" t="str">
        <f>IF(Sales[[#This Row],[Product ID]]="","",Sales[[#This Row],[Date]]&amp;Sales[[#This Row],[Invoice no]])</f>
        <v/>
      </c>
      <c r="E15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7" s="19" t="str">
        <f>IF(_xlfn.XLOOKUP(Sales[[#This Row],[Product Name]],Inventory[Product Name],Inventory[Sale Price],"")=0,"",_xlfn.XLOOKUP(Sales[[#This Row],[Product Name]],Inventory[Product Name],Inventory[Sale Price]))</f>
        <v/>
      </c>
      <c r="I1557" s="19" t="str">
        <f>IFERROR(G1557*H1557,"")</f>
        <v/>
      </c>
      <c r="J1557" s="19"/>
    </row>
    <row r="1558" spans="1:10" ht="21">
      <c r="A1558" s="14">
        <v>1553</v>
      </c>
      <c r="C1558" s="16"/>
      <c r="D1558" s="14" t="str">
        <f>IF(Sales[[#This Row],[Product ID]]="","",Sales[[#This Row],[Date]]&amp;Sales[[#This Row],[Invoice no]])</f>
        <v/>
      </c>
      <c r="E15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8" s="19" t="str">
        <f>IF(_xlfn.XLOOKUP(Sales[[#This Row],[Product Name]],Inventory[Product Name],Inventory[Sale Price],"")=0,"",_xlfn.XLOOKUP(Sales[[#This Row],[Product Name]],Inventory[Product Name],Inventory[Sale Price]))</f>
        <v/>
      </c>
      <c r="I1558" s="19" t="str">
        <f>IFERROR(G1558*H1558,"")</f>
        <v/>
      </c>
      <c r="J1558" s="19"/>
    </row>
    <row r="1559" spans="1:10" ht="21">
      <c r="A1559" s="14">
        <v>1554</v>
      </c>
      <c r="C1559" s="16"/>
      <c r="D1559" s="14" t="str">
        <f>IF(Sales[[#This Row],[Product ID]]="","",Sales[[#This Row],[Date]]&amp;Sales[[#This Row],[Invoice no]])</f>
        <v/>
      </c>
      <c r="E15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59" s="19" t="str">
        <f>IF(_xlfn.XLOOKUP(Sales[[#This Row],[Product Name]],Inventory[Product Name],Inventory[Sale Price],"")=0,"",_xlfn.XLOOKUP(Sales[[#This Row],[Product Name]],Inventory[Product Name],Inventory[Sale Price]))</f>
        <v/>
      </c>
      <c r="I1559" s="19" t="str">
        <f>IFERROR(G1559*H1559,"")</f>
        <v/>
      </c>
      <c r="J1559" s="19"/>
    </row>
    <row r="1560" spans="1:10" ht="21">
      <c r="A1560" s="14">
        <v>1555</v>
      </c>
      <c r="C1560" s="16"/>
      <c r="D1560" s="14" t="str">
        <f>IF(Sales[[#This Row],[Product ID]]="","",Sales[[#This Row],[Date]]&amp;Sales[[#This Row],[Invoice no]])</f>
        <v/>
      </c>
      <c r="E15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0" s="19" t="str">
        <f>IF(_xlfn.XLOOKUP(Sales[[#This Row],[Product Name]],Inventory[Product Name],Inventory[Sale Price],"")=0,"",_xlfn.XLOOKUP(Sales[[#This Row],[Product Name]],Inventory[Product Name],Inventory[Sale Price]))</f>
        <v/>
      </c>
      <c r="I1560" s="19" t="str">
        <f>IFERROR(G1560*H1560,"")</f>
        <v/>
      </c>
      <c r="J1560" s="19"/>
    </row>
    <row r="1561" spans="1:10" ht="21">
      <c r="A1561" s="14">
        <v>1556</v>
      </c>
      <c r="C1561" s="16"/>
      <c r="D1561" s="14" t="str">
        <f>IF(Sales[[#This Row],[Product ID]]="","",Sales[[#This Row],[Date]]&amp;Sales[[#This Row],[Invoice no]])</f>
        <v/>
      </c>
      <c r="E15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1" s="19" t="str">
        <f>IF(_xlfn.XLOOKUP(Sales[[#This Row],[Product Name]],Inventory[Product Name],Inventory[Sale Price],"")=0,"",_xlfn.XLOOKUP(Sales[[#This Row],[Product Name]],Inventory[Product Name],Inventory[Sale Price]))</f>
        <v/>
      </c>
      <c r="I1561" s="19" t="str">
        <f>IFERROR(G1561*H1561,"")</f>
        <v/>
      </c>
      <c r="J1561" s="19"/>
    </row>
    <row r="1562" spans="1:10" ht="21">
      <c r="A1562" s="14">
        <v>1557</v>
      </c>
      <c r="C1562" s="16"/>
      <c r="D1562" s="14" t="str">
        <f>IF(Sales[[#This Row],[Product ID]]="","",Sales[[#This Row],[Date]]&amp;Sales[[#This Row],[Invoice no]])</f>
        <v/>
      </c>
      <c r="E15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2" s="19" t="str">
        <f>IF(_xlfn.XLOOKUP(Sales[[#This Row],[Product Name]],Inventory[Product Name],Inventory[Sale Price],"")=0,"",_xlfn.XLOOKUP(Sales[[#This Row],[Product Name]],Inventory[Product Name],Inventory[Sale Price]))</f>
        <v/>
      </c>
      <c r="I1562" s="19" t="str">
        <f>IFERROR(G1562*H1562,"")</f>
        <v/>
      </c>
      <c r="J1562" s="19"/>
    </row>
    <row r="1563" spans="1:10" ht="21">
      <c r="A1563" s="14">
        <v>1558</v>
      </c>
      <c r="C1563" s="16"/>
      <c r="D1563" s="14" t="str">
        <f>IF(Sales[[#This Row],[Product ID]]="","",Sales[[#This Row],[Date]]&amp;Sales[[#This Row],[Invoice no]])</f>
        <v/>
      </c>
      <c r="E15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3" s="19" t="str">
        <f>IF(_xlfn.XLOOKUP(Sales[[#This Row],[Product Name]],Inventory[Product Name],Inventory[Sale Price],"")=0,"",_xlfn.XLOOKUP(Sales[[#This Row],[Product Name]],Inventory[Product Name],Inventory[Sale Price]))</f>
        <v/>
      </c>
      <c r="I1563" s="19" t="str">
        <f>IFERROR(G1563*H1563,"")</f>
        <v/>
      </c>
      <c r="J1563" s="19"/>
    </row>
    <row r="1564" spans="1:10" ht="21">
      <c r="A1564" s="14">
        <v>1559</v>
      </c>
      <c r="C1564" s="16"/>
      <c r="D1564" s="14" t="str">
        <f>IF(Sales[[#This Row],[Product ID]]="","",Sales[[#This Row],[Date]]&amp;Sales[[#This Row],[Invoice no]])</f>
        <v/>
      </c>
      <c r="E15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4" s="19" t="str">
        <f>IF(_xlfn.XLOOKUP(Sales[[#This Row],[Product Name]],Inventory[Product Name],Inventory[Sale Price],"")=0,"",_xlfn.XLOOKUP(Sales[[#This Row],[Product Name]],Inventory[Product Name],Inventory[Sale Price]))</f>
        <v/>
      </c>
      <c r="I1564" s="19" t="str">
        <f>IFERROR(G1564*H1564,"")</f>
        <v/>
      </c>
      <c r="J1564" s="19"/>
    </row>
    <row r="1565" spans="1:10" ht="21">
      <c r="A1565" s="14">
        <v>1560</v>
      </c>
      <c r="C1565" s="16"/>
      <c r="D1565" s="14" t="str">
        <f>IF(Sales[[#This Row],[Product ID]]="","",Sales[[#This Row],[Date]]&amp;Sales[[#This Row],[Invoice no]])</f>
        <v/>
      </c>
      <c r="E15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5" s="19" t="str">
        <f>IF(_xlfn.XLOOKUP(Sales[[#This Row],[Product Name]],Inventory[Product Name],Inventory[Sale Price],"")=0,"",_xlfn.XLOOKUP(Sales[[#This Row],[Product Name]],Inventory[Product Name],Inventory[Sale Price]))</f>
        <v/>
      </c>
      <c r="I1565" s="19" t="str">
        <f>IFERROR(G1565*H1565,"")</f>
        <v/>
      </c>
      <c r="J1565" s="19"/>
    </row>
    <row r="1566" spans="1:10" ht="21">
      <c r="A1566" s="14">
        <v>1561</v>
      </c>
      <c r="C1566" s="16"/>
      <c r="D1566" s="14" t="str">
        <f>IF(Sales[[#This Row],[Product ID]]="","",Sales[[#This Row],[Date]]&amp;Sales[[#This Row],[Invoice no]])</f>
        <v/>
      </c>
      <c r="E15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6" s="19" t="str">
        <f>IF(_xlfn.XLOOKUP(Sales[[#This Row],[Product Name]],Inventory[Product Name],Inventory[Sale Price],"")=0,"",_xlfn.XLOOKUP(Sales[[#This Row],[Product Name]],Inventory[Product Name],Inventory[Sale Price]))</f>
        <v/>
      </c>
      <c r="I1566" s="19" t="str">
        <f>IFERROR(G1566*H1566,"")</f>
        <v/>
      </c>
      <c r="J1566" s="19"/>
    </row>
    <row r="1567" spans="1:10" ht="21">
      <c r="A1567" s="14">
        <v>1562</v>
      </c>
      <c r="C1567" s="16"/>
      <c r="D1567" s="14" t="str">
        <f>IF(Sales[[#This Row],[Product ID]]="","",Sales[[#This Row],[Date]]&amp;Sales[[#This Row],[Invoice no]])</f>
        <v/>
      </c>
      <c r="E15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7" s="19" t="str">
        <f>IF(_xlfn.XLOOKUP(Sales[[#This Row],[Product Name]],Inventory[Product Name],Inventory[Sale Price],"")=0,"",_xlfn.XLOOKUP(Sales[[#This Row],[Product Name]],Inventory[Product Name],Inventory[Sale Price]))</f>
        <v/>
      </c>
      <c r="I1567" s="19" t="str">
        <f>IFERROR(G1567*H1567,"")</f>
        <v/>
      </c>
      <c r="J1567" s="19"/>
    </row>
    <row r="1568" spans="1:10" ht="21">
      <c r="A1568" s="14">
        <v>1563</v>
      </c>
      <c r="C1568" s="16"/>
      <c r="D1568" s="14" t="str">
        <f>IF(Sales[[#This Row],[Product ID]]="","",Sales[[#This Row],[Date]]&amp;Sales[[#This Row],[Invoice no]])</f>
        <v/>
      </c>
      <c r="E15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8" s="19" t="str">
        <f>IF(_xlfn.XLOOKUP(Sales[[#This Row],[Product Name]],Inventory[Product Name],Inventory[Sale Price],"")=0,"",_xlfn.XLOOKUP(Sales[[#This Row],[Product Name]],Inventory[Product Name],Inventory[Sale Price]))</f>
        <v/>
      </c>
      <c r="I1568" s="19" t="str">
        <f>IFERROR(G1568*H1568,"")</f>
        <v/>
      </c>
      <c r="J1568" s="19"/>
    </row>
    <row r="1569" spans="1:10" ht="21">
      <c r="A1569" s="14">
        <v>1564</v>
      </c>
      <c r="C1569" s="16"/>
      <c r="D1569" s="14" t="str">
        <f>IF(Sales[[#This Row],[Product ID]]="","",Sales[[#This Row],[Date]]&amp;Sales[[#This Row],[Invoice no]])</f>
        <v/>
      </c>
      <c r="E15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69" s="19" t="str">
        <f>IF(_xlfn.XLOOKUP(Sales[[#This Row],[Product Name]],Inventory[Product Name],Inventory[Sale Price],"")=0,"",_xlfn.XLOOKUP(Sales[[#This Row],[Product Name]],Inventory[Product Name],Inventory[Sale Price]))</f>
        <v/>
      </c>
      <c r="I1569" s="19" t="str">
        <f>IFERROR(G1569*H1569,"")</f>
        <v/>
      </c>
      <c r="J1569" s="19"/>
    </row>
    <row r="1570" spans="1:10" ht="21">
      <c r="A1570" s="14">
        <v>1565</v>
      </c>
      <c r="C1570" s="16"/>
      <c r="D1570" s="14" t="str">
        <f>IF(Sales[[#This Row],[Product ID]]="","",Sales[[#This Row],[Date]]&amp;Sales[[#This Row],[Invoice no]])</f>
        <v/>
      </c>
      <c r="E15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0" s="19" t="str">
        <f>IF(_xlfn.XLOOKUP(Sales[[#This Row],[Product Name]],Inventory[Product Name],Inventory[Sale Price],"")=0,"",_xlfn.XLOOKUP(Sales[[#This Row],[Product Name]],Inventory[Product Name],Inventory[Sale Price]))</f>
        <v/>
      </c>
      <c r="I1570" s="19" t="str">
        <f>IFERROR(G1570*H1570,"")</f>
        <v/>
      </c>
      <c r="J1570" s="19"/>
    </row>
    <row r="1571" spans="1:10" ht="21">
      <c r="A1571" s="14">
        <v>1566</v>
      </c>
      <c r="C1571" s="16"/>
      <c r="D1571" s="14" t="str">
        <f>IF(Sales[[#This Row],[Product ID]]="","",Sales[[#This Row],[Date]]&amp;Sales[[#This Row],[Invoice no]])</f>
        <v/>
      </c>
      <c r="E15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1" s="19" t="str">
        <f>IF(_xlfn.XLOOKUP(Sales[[#This Row],[Product Name]],Inventory[Product Name],Inventory[Sale Price],"")=0,"",_xlfn.XLOOKUP(Sales[[#This Row],[Product Name]],Inventory[Product Name],Inventory[Sale Price]))</f>
        <v/>
      </c>
      <c r="I1571" s="19" t="str">
        <f>IFERROR(G1571*H1571,"")</f>
        <v/>
      </c>
      <c r="J1571" s="19"/>
    </row>
    <row r="1572" spans="1:10" ht="21">
      <c r="A1572" s="14">
        <v>1567</v>
      </c>
      <c r="C1572" s="16"/>
      <c r="D1572" s="14" t="str">
        <f>IF(Sales[[#This Row],[Product ID]]="","",Sales[[#This Row],[Date]]&amp;Sales[[#This Row],[Invoice no]])</f>
        <v/>
      </c>
      <c r="E15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2" s="19" t="str">
        <f>IF(_xlfn.XLOOKUP(Sales[[#This Row],[Product Name]],Inventory[Product Name],Inventory[Sale Price],"")=0,"",_xlfn.XLOOKUP(Sales[[#This Row],[Product Name]],Inventory[Product Name],Inventory[Sale Price]))</f>
        <v/>
      </c>
      <c r="I1572" s="19" t="str">
        <f>IFERROR(G1572*H1572,"")</f>
        <v/>
      </c>
      <c r="J1572" s="19"/>
    </row>
    <row r="1573" spans="1:10" ht="21">
      <c r="A1573" s="14">
        <v>1568</v>
      </c>
      <c r="C1573" s="16"/>
      <c r="D1573" s="14" t="str">
        <f>IF(Sales[[#This Row],[Product ID]]="","",Sales[[#This Row],[Date]]&amp;Sales[[#This Row],[Invoice no]])</f>
        <v/>
      </c>
      <c r="E15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3" s="19" t="str">
        <f>IF(_xlfn.XLOOKUP(Sales[[#This Row],[Product Name]],Inventory[Product Name],Inventory[Sale Price],"")=0,"",_xlfn.XLOOKUP(Sales[[#This Row],[Product Name]],Inventory[Product Name],Inventory[Sale Price]))</f>
        <v/>
      </c>
      <c r="I1573" s="19" t="str">
        <f>IFERROR(G1573*H1573,"")</f>
        <v/>
      </c>
      <c r="J1573" s="19"/>
    </row>
    <row r="1574" spans="1:10" ht="21">
      <c r="A1574" s="14">
        <v>1569</v>
      </c>
      <c r="C1574" s="16"/>
      <c r="D1574" s="14" t="str">
        <f>IF(Sales[[#This Row],[Product ID]]="","",Sales[[#This Row],[Date]]&amp;Sales[[#This Row],[Invoice no]])</f>
        <v/>
      </c>
      <c r="E15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4" s="19" t="str">
        <f>IF(_xlfn.XLOOKUP(Sales[[#This Row],[Product Name]],Inventory[Product Name],Inventory[Sale Price],"")=0,"",_xlfn.XLOOKUP(Sales[[#This Row],[Product Name]],Inventory[Product Name],Inventory[Sale Price]))</f>
        <v/>
      </c>
      <c r="I1574" s="19" t="str">
        <f>IFERROR(G1574*H1574,"")</f>
        <v/>
      </c>
      <c r="J1574" s="19"/>
    </row>
    <row r="1575" spans="1:10" ht="21">
      <c r="A1575" s="14">
        <v>1570</v>
      </c>
      <c r="C1575" s="16"/>
      <c r="D1575" s="14" t="str">
        <f>IF(Sales[[#This Row],[Product ID]]="","",Sales[[#This Row],[Date]]&amp;Sales[[#This Row],[Invoice no]])</f>
        <v/>
      </c>
      <c r="E15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5" s="19" t="str">
        <f>IF(_xlfn.XLOOKUP(Sales[[#This Row],[Product Name]],Inventory[Product Name],Inventory[Sale Price],"")=0,"",_xlfn.XLOOKUP(Sales[[#This Row],[Product Name]],Inventory[Product Name],Inventory[Sale Price]))</f>
        <v/>
      </c>
      <c r="I1575" s="19" t="str">
        <f>IFERROR(G1575*H1575,"")</f>
        <v/>
      </c>
      <c r="J1575" s="19"/>
    </row>
    <row r="1576" spans="1:10" ht="21">
      <c r="A1576" s="14">
        <v>1571</v>
      </c>
      <c r="C1576" s="16"/>
      <c r="D1576" s="14" t="str">
        <f>IF(Sales[[#This Row],[Product ID]]="","",Sales[[#This Row],[Date]]&amp;Sales[[#This Row],[Invoice no]])</f>
        <v/>
      </c>
      <c r="E15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6" s="19" t="str">
        <f>IF(_xlfn.XLOOKUP(Sales[[#This Row],[Product Name]],Inventory[Product Name],Inventory[Sale Price],"")=0,"",_xlfn.XLOOKUP(Sales[[#This Row],[Product Name]],Inventory[Product Name],Inventory[Sale Price]))</f>
        <v/>
      </c>
      <c r="I1576" s="19" t="str">
        <f>IFERROR(G1576*H1576,"")</f>
        <v/>
      </c>
      <c r="J1576" s="19"/>
    </row>
    <row r="1577" spans="1:10" ht="21">
      <c r="A1577" s="14">
        <v>1572</v>
      </c>
      <c r="C1577" s="16"/>
      <c r="D1577" s="14" t="str">
        <f>IF(Sales[[#This Row],[Product ID]]="","",Sales[[#This Row],[Date]]&amp;Sales[[#This Row],[Invoice no]])</f>
        <v/>
      </c>
      <c r="E15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7" s="19" t="str">
        <f>IF(_xlfn.XLOOKUP(Sales[[#This Row],[Product Name]],Inventory[Product Name],Inventory[Sale Price],"")=0,"",_xlfn.XLOOKUP(Sales[[#This Row],[Product Name]],Inventory[Product Name],Inventory[Sale Price]))</f>
        <v/>
      </c>
      <c r="I1577" s="19" t="str">
        <f>IFERROR(G1577*H1577,"")</f>
        <v/>
      </c>
      <c r="J1577" s="19"/>
    </row>
    <row r="1578" spans="1:10" ht="21">
      <c r="A1578" s="14">
        <v>1573</v>
      </c>
      <c r="C1578" s="16"/>
      <c r="D1578" s="14" t="str">
        <f>IF(Sales[[#This Row],[Product ID]]="","",Sales[[#This Row],[Date]]&amp;Sales[[#This Row],[Invoice no]])</f>
        <v/>
      </c>
      <c r="E15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8" s="19" t="str">
        <f>IF(_xlfn.XLOOKUP(Sales[[#This Row],[Product Name]],Inventory[Product Name],Inventory[Sale Price],"")=0,"",_xlfn.XLOOKUP(Sales[[#This Row],[Product Name]],Inventory[Product Name],Inventory[Sale Price]))</f>
        <v/>
      </c>
      <c r="I1578" s="19" t="str">
        <f>IFERROR(G1578*H1578,"")</f>
        <v/>
      </c>
      <c r="J1578" s="19"/>
    </row>
    <row r="1579" spans="1:10" ht="21">
      <c r="A1579" s="14">
        <v>1574</v>
      </c>
      <c r="C1579" s="16"/>
      <c r="D1579" s="14" t="str">
        <f>IF(Sales[[#This Row],[Product ID]]="","",Sales[[#This Row],[Date]]&amp;Sales[[#This Row],[Invoice no]])</f>
        <v/>
      </c>
      <c r="E15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79" s="19" t="str">
        <f>IF(_xlfn.XLOOKUP(Sales[[#This Row],[Product Name]],Inventory[Product Name],Inventory[Sale Price],"")=0,"",_xlfn.XLOOKUP(Sales[[#This Row],[Product Name]],Inventory[Product Name],Inventory[Sale Price]))</f>
        <v/>
      </c>
      <c r="I1579" s="19" t="str">
        <f>IFERROR(G1579*H1579,"")</f>
        <v/>
      </c>
      <c r="J1579" s="19"/>
    </row>
    <row r="1580" spans="1:10" ht="21">
      <c r="A1580" s="14">
        <v>1575</v>
      </c>
      <c r="C1580" s="16"/>
      <c r="D1580" s="14" t="str">
        <f>IF(Sales[[#This Row],[Product ID]]="","",Sales[[#This Row],[Date]]&amp;Sales[[#This Row],[Invoice no]])</f>
        <v/>
      </c>
      <c r="E15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0" s="19" t="str">
        <f>IF(_xlfn.XLOOKUP(Sales[[#This Row],[Product Name]],Inventory[Product Name],Inventory[Sale Price],"")=0,"",_xlfn.XLOOKUP(Sales[[#This Row],[Product Name]],Inventory[Product Name],Inventory[Sale Price]))</f>
        <v/>
      </c>
      <c r="I1580" s="19" t="str">
        <f>IFERROR(G1580*H1580,"")</f>
        <v/>
      </c>
      <c r="J1580" s="19"/>
    </row>
    <row r="1581" spans="1:10" ht="21">
      <c r="A1581" s="14">
        <v>1576</v>
      </c>
      <c r="C1581" s="16"/>
      <c r="D1581" s="14" t="str">
        <f>IF(Sales[[#This Row],[Product ID]]="","",Sales[[#This Row],[Date]]&amp;Sales[[#This Row],[Invoice no]])</f>
        <v/>
      </c>
      <c r="E15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1" s="19" t="str">
        <f>IF(_xlfn.XLOOKUP(Sales[[#This Row],[Product Name]],Inventory[Product Name],Inventory[Sale Price],"")=0,"",_xlfn.XLOOKUP(Sales[[#This Row],[Product Name]],Inventory[Product Name],Inventory[Sale Price]))</f>
        <v/>
      </c>
      <c r="I1581" s="19" t="str">
        <f>IFERROR(G1581*H1581,"")</f>
        <v/>
      </c>
      <c r="J1581" s="19"/>
    </row>
    <row r="1582" spans="1:10" ht="21">
      <c r="A1582" s="14">
        <v>1577</v>
      </c>
      <c r="C1582" s="16"/>
      <c r="D1582" s="14" t="str">
        <f>IF(Sales[[#This Row],[Product ID]]="","",Sales[[#This Row],[Date]]&amp;Sales[[#This Row],[Invoice no]])</f>
        <v/>
      </c>
      <c r="E15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2" s="19" t="str">
        <f>IF(_xlfn.XLOOKUP(Sales[[#This Row],[Product Name]],Inventory[Product Name],Inventory[Sale Price],"")=0,"",_xlfn.XLOOKUP(Sales[[#This Row],[Product Name]],Inventory[Product Name],Inventory[Sale Price]))</f>
        <v/>
      </c>
      <c r="I1582" s="19" t="str">
        <f>IFERROR(G1582*H1582,"")</f>
        <v/>
      </c>
      <c r="J1582" s="19"/>
    </row>
    <row r="1583" spans="1:10" ht="21">
      <c r="A1583" s="14">
        <v>1578</v>
      </c>
      <c r="C1583" s="16"/>
      <c r="D1583" s="14" t="str">
        <f>IF(Sales[[#This Row],[Product ID]]="","",Sales[[#This Row],[Date]]&amp;Sales[[#This Row],[Invoice no]])</f>
        <v/>
      </c>
      <c r="E15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3" s="19" t="str">
        <f>IF(_xlfn.XLOOKUP(Sales[[#This Row],[Product Name]],Inventory[Product Name],Inventory[Sale Price],"")=0,"",_xlfn.XLOOKUP(Sales[[#This Row],[Product Name]],Inventory[Product Name],Inventory[Sale Price]))</f>
        <v/>
      </c>
      <c r="I1583" s="19" t="str">
        <f>IFERROR(G1583*H1583,"")</f>
        <v/>
      </c>
      <c r="J1583" s="19"/>
    </row>
    <row r="1584" spans="1:10" ht="21">
      <c r="A1584" s="14">
        <v>1579</v>
      </c>
      <c r="C1584" s="16"/>
      <c r="D1584" s="14" t="str">
        <f>IF(Sales[[#This Row],[Product ID]]="","",Sales[[#This Row],[Date]]&amp;Sales[[#This Row],[Invoice no]])</f>
        <v/>
      </c>
      <c r="E15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4" s="19" t="str">
        <f>IF(_xlfn.XLOOKUP(Sales[[#This Row],[Product Name]],Inventory[Product Name],Inventory[Sale Price],"")=0,"",_xlfn.XLOOKUP(Sales[[#This Row],[Product Name]],Inventory[Product Name],Inventory[Sale Price]))</f>
        <v/>
      </c>
      <c r="I1584" s="19" t="str">
        <f>IFERROR(G1584*H1584,"")</f>
        <v/>
      </c>
      <c r="J1584" s="19"/>
    </row>
    <row r="1585" spans="1:10" ht="21">
      <c r="A1585" s="14">
        <v>1580</v>
      </c>
      <c r="C1585" s="16"/>
      <c r="D1585" s="14" t="str">
        <f>IF(Sales[[#This Row],[Product ID]]="","",Sales[[#This Row],[Date]]&amp;Sales[[#This Row],[Invoice no]])</f>
        <v/>
      </c>
      <c r="E15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5" s="19" t="str">
        <f>IF(_xlfn.XLOOKUP(Sales[[#This Row],[Product Name]],Inventory[Product Name],Inventory[Sale Price],"")=0,"",_xlfn.XLOOKUP(Sales[[#This Row],[Product Name]],Inventory[Product Name],Inventory[Sale Price]))</f>
        <v/>
      </c>
      <c r="I1585" s="19" t="str">
        <f>IFERROR(G1585*H1585,"")</f>
        <v/>
      </c>
      <c r="J1585" s="19"/>
    </row>
    <row r="1586" spans="1:10" ht="21">
      <c r="A1586" s="14">
        <v>1581</v>
      </c>
      <c r="C1586" s="16"/>
      <c r="D1586" s="14" t="str">
        <f>IF(Sales[[#This Row],[Product ID]]="","",Sales[[#This Row],[Date]]&amp;Sales[[#This Row],[Invoice no]])</f>
        <v/>
      </c>
      <c r="E15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6" s="19" t="str">
        <f>IF(_xlfn.XLOOKUP(Sales[[#This Row],[Product Name]],Inventory[Product Name],Inventory[Sale Price],"")=0,"",_xlfn.XLOOKUP(Sales[[#This Row],[Product Name]],Inventory[Product Name],Inventory[Sale Price]))</f>
        <v/>
      </c>
      <c r="I1586" s="19" t="str">
        <f>IFERROR(G1586*H1586,"")</f>
        <v/>
      </c>
      <c r="J1586" s="19"/>
    </row>
    <row r="1587" spans="1:10" ht="21">
      <c r="A1587" s="14">
        <v>1582</v>
      </c>
      <c r="C1587" s="16"/>
      <c r="D1587" s="14" t="str">
        <f>IF(Sales[[#This Row],[Product ID]]="","",Sales[[#This Row],[Date]]&amp;Sales[[#This Row],[Invoice no]])</f>
        <v/>
      </c>
      <c r="E15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7" s="19" t="str">
        <f>IF(_xlfn.XLOOKUP(Sales[[#This Row],[Product Name]],Inventory[Product Name],Inventory[Sale Price],"")=0,"",_xlfn.XLOOKUP(Sales[[#This Row],[Product Name]],Inventory[Product Name],Inventory[Sale Price]))</f>
        <v/>
      </c>
      <c r="I1587" s="19" t="str">
        <f>IFERROR(G1587*H1587,"")</f>
        <v/>
      </c>
      <c r="J1587" s="19"/>
    </row>
    <row r="1588" spans="1:10" ht="21">
      <c r="A1588" s="14">
        <v>1583</v>
      </c>
      <c r="C1588" s="16"/>
      <c r="D1588" s="14" t="str">
        <f>IF(Sales[[#This Row],[Product ID]]="","",Sales[[#This Row],[Date]]&amp;Sales[[#This Row],[Invoice no]])</f>
        <v/>
      </c>
      <c r="E15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8" s="19" t="str">
        <f>IF(_xlfn.XLOOKUP(Sales[[#This Row],[Product Name]],Inventory[Product Name],Inventory[Sale Price],"")=0,"",_xlfn.XLOOKUP(Sales[[#This Row],[Product Name]],Inventory[Product Name],Inventory[Sale Price]))</f>
        <v/>
      </c>
      <c r="I1588" s="19" t="str">
        <f>IFERROR(G1588*H1588,"")</f>
        <v/>
      </c>
      <c r="J1588" s="19"/>
    </row>
    <row r="1589" spans="1:10" ht="21">
      <c r="A1589" s="14">
        <v>1584</v>
      </c>
      <c r="C1589" s="16"/>
      <c r="D1589" s="14" t="str">
        <f>IF(Sales[[#This Row],[Product ID]]="","",Sales[[#This Row],[Date]]&amp;Sales[[#This Row],[Invoice no]])</f>
        <v/>
      </c>
      <c r="E15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89" s="19" t="str">
        <f>IF(_xlfn.XLOOKUP(Sales[[#This Row],[Product Name]],Inventory[Product Name],Inventory[Sale Price],"")=0,"",_xlfn.XLOOKUP(Sales[[#This Row],[Product Name]],Inventory[Product Name],Inventory[Sale Price]))</f>
        <v/>
      </c>
      <c r="I1589" s="19" t="str">
        <f>IFERROR(G1589*H1589,"")</f>
        <v/>
      </c>
      <c r="J1589" s="19"/>
    </row>
    <row r="1590" spans="1:10" ht="21">
      <c r="A1590" s="14">
        <v>1585</v>
      </c>
      <c r="C1590" s="16"/>
      <c r="D1590" s="14" t="str">
        <f>IF(Sales[[#This Row],[Product ID]]="","",Sales[[#This Row],[Date]]&amp;Sales[[#This Row],[Invoice no]])</f>
        <v/>
      </c>
      <c r="E15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0" s="19" t="str">
        <f>IF(_xlfn.XLOOKUP(Sales[[#This Row],[Product Name]],Inventory[Product Name],Inventory[Sale Price],"")=0,"",_xlfn.XLOOKUP(Sales[[#This Row],[Product Name]],Inventory[Product Name],Inventory[Sale Price]))</f>
        <v/>
      </c>
      <c r="I1590" s="19" t="str">
        <f>IFERROR(G1590*H1590,"")</f>
        <v/>
      </c>
      <c r="J1590" s="19"/>
    </row>
    <row r="1591" spans="1:10" ht="21">
      <c r="A1591" s="14">
        <v>1586</v>
      </c>
      <c r="C1591" s="16"/>
      <c r="D1591" s="14" t="str">
        <f>IF(Sales[[#This Row],[Product ID]]="","",Sales[[#This Row],[Date]]&amp;Sales[[#This Row],[Invoice no]])</f>
        <v/>
      </c>
      <c r="E15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1" s="19" t="str">
        <f>IF(_xlfn.XLOOKUP(Sales[[#This Row],[Product Name]],Inventory[Product Name],Inventory[Sale Price],"")=0,"",_xlfn.XLOOKUP(Sales[[#This Row],[Product Name]],Inventory[Product Name],Inventory[Sale Price]))</f>
        <v/>
      </c>
      <c r="I1591" s="19" t="str">
        <f>IFERROR(G1591*H1591,"")</f>
        <v/>
      </c>
      <c r="J1591" s="19"/>
    </row>
    <row r="1592" spans="1:10" ht="21">
      <c r="A1592" s="14">
        <v>1587</v>
      </c>
      <c r="C1592" s="16"/>
      <c r="D1592" s="14" t="str">
        <f>IF(Sales[[#This Row],[Product ID]]="","",Sales[[#This Row],[Date]]&amp;Sales[[#This Row],[Invoice no]])</f>
        <v/>
      </c>
      <c r="E15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2" s="19" t="str">
        <f>IF(_xlfn.XLOOKUP(Sales[[#This Row],[Product Name]],Inventory[Product Name],Inventory[Sale Price],"")=0,"",_xlfn.XLOOKUP(Sales[[#This Row],[Product Name]],Inventory[Product Name],Inventory[Sale Price]))</f>
        <v/>
      </c>
      <c r="I1592" s="19" t="str">
        <f>IFERROR(G1592*H1592,"")</f>
        <v/>
      </c>
      <c r="J1592" s="19"/>
    </row>
    <row r="1593" spans="1:10" ht="21">
      <c r="A1593" s="14">
        <v>1588</v>
      </c>
      <c r="C1593" s="16"/>
      <c r="D1593" s="14" t="str">
        <f>IF(Sales[[#This Row],[Product ID]]="","",Sales[[#This Row],[Date]]&amp;Sales[[#This Row],[Invoice no]])</f>
        <v/>
      </c>
      <c r="E15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3" s="19" t="str">
        <f>IF(_xlfn.XLOOKUP(Sales[[#This Row],[Product Name]],Inventory[Product Name],Inventory[Sale Price],"")=0,"",_xlfn.XLOOKUP(Sales[[#This Row],[Product Name]],Inventory[Product Name],Inventory[Sale Price]))</f>
        <v/>
      </c>
      <c r="I1593" s="19" t="str">
        <f>IFERROR(G1593*H1593,"")</f>
        <v/>
      </c>
      <c r="J1593" s="19"/>
    </row>
    <row r="1594" spans="1:10" ht="21">
      <c r="A1594" s="14">
        <v>1589</v>
      </c>
      <c r="C1594" s="16"/>
      <c r="D1594" s="14" t="str">
        <f>IF(Sales[[#This Row],[Product ID]]="","",Sales[[#This Row],[Date]]&amp;Sales[[#This Row],[Invoice no]])</f>
        <v/>
      </c>
      <c r="E15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4" s="19" t="str">
        <f>IF(_xlfn.XLOOKUP(Sales[[#This Row],[Product Name]],Inventory[Product Name],Inventory[Sale Price],"")=0,"",_xlfn.XLOOKUP(Sales[[#This Row],[Product Name]],Inventory[Product Name],Inventory[Sale Price]))</f>
        <v/>
      </c>
      <c r="I1594" s="19" t="str">
        <f>IFERROR(G1594*H1594,"")</f>
        <v/>
      </c>
      <c r="J1594" s="19"/>
    </row>
    <row r="1595" spans="1:10" ht="21">
      <c r="A1595" s="14">
        <v>1590</v>
      </c>
      <c r="C1595" s="16"/>
      <c r="D1595" s="14" t="str">
        <f>IF(Sales[[#This Row],[Product ID]]="","",Sales[[#This Row],[Date]]&amp;Sales[[#This Row],[Invoice no]])</f>
        <v/>
      </c>
      <c r="E15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5" s="19" t="str">
        <f>IF(_xlfn.XLOOKUP(Sales[[#This Row],[Product Name]],Inventory[Product Name],Inventory[Sale Price],"")=0,"",_xlfn.XLOOKUP(Sales[[#This Row],[Product Name]],Inventory[Product Name],Inventory[Sale Price]))</f>
        <v/>
      </c>
      <c r="I1595" s="19" t="str">
        <f>IFERROR(G1595*H1595,"")</f>
        <v/>
      </c>
      <c r="J1595" s="19"/>
    </row>
    <row r="1596" spans="1:10" ht="21">
      <c r="A1596" s="14">
        <v>1591</v>
      </c>
      <c r="C1596" s="16"/>
      <c r="D1596" s="14" t="str">
        <f>IF(Sales[[#This Row],[Product ID]]="","",Sales[[#This Row],[Date]]&amp;Sales[[#This Row],[Invoice no]])</f>
        <v/>
      </c>
      <c r="E15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6" s="19" t="str">
        <f>IF(_xlfn.XLOOKUP(Sales[[#This Row],[Product Name]],Inventory[Product Name],Inventory[Sale Price],"")=0,"",_xlfn.XLOOKUP(Sales[[#This Row],[Product Name]],Inventory[Product Name],Inventory[Sale Price]))</f>
        <v/>
      </c>
      <c r="I1596" s="19" t="str">
        <f>IFERROR(G1596*H1596,"")</f>
        <v/>
      </c>
      <c r="J1596" s="19"/>
    </row>
    <row r="1597" spans="1:10" ht="21">
      <c r="A1597" s="14">
        <v>1592</v>
      </c>
      <c r="C1597" s="16"/>
      <c r="D1597" s="14" t="str">
        <f>IF(Sales[[#This Row],[Product ID]]="","",Sales[[#This Row],[Date]]&amp;Sales[[#This Row],[Invoice no]])</f>
        <v/>
      </c>
      <c r="E15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7" s="19" t="str">
        <f>IF(_xlfn.XLOOKUP(Sales[[#This Row],[Product Name]],Inventory[Product Name],Inventory[Sale Price],"")=0,"",_xlfn.XLOOKUP(Sales[[#This Row],[Product Name]],Inventory[Product Name],Inventory[Sale Price]))</f>
        <v/>
      </c>
      <c r="I1597" s="19" t="str">
        <f>IFERROR(G1597*H1597,"")</f>
        <v/>
      </c>
      <c r="J1597" s="19"/>
    </row>
    <row r="1598" spans="1:10" ht="21">
      <c r="A1598" s="14">
        <v>1593</v>
      </c>
      <c r="C1598" s="16"/>
      <c r="D1598" s="14" t="str">
        <f>IF(Sales[[#This Row],[Product ID]]="","",Sales[[#This Row],[Date]]&amp;Sales[[#This Row],[Invoice no]])</f>
        <v/>
      </c>
      <c r="E15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8" s="19" t="str">
        <f>IF(_xlfn.XLOOKUP(Sales[[#This Row],[Product Name]],Inventory[Product Name],Inventory[Sale Price],"")=0,"",_xlfn.XLOOKUP(Sales[[#This Row],[Product Name]],Inventory[Product Name],Inventory[Sale Price]))</f>
        <v/>
      </c>
      <c r="I1598" s="19" t="str">
        <f>IFERROR(G1598*H1598,"")</f>
        <v/>
      </c>
      <c r="J1598" s="19"/>
    </row>
    <row r="1599" spans="1:10" ht="21">
      <c r="A1599" s="14">
        <v>1594</v>
      </c>
      <c r="C1599" s="16"/>
      <c r="D1599" s="14" t="str">
        <f>IF(Sales[[#This Row],[Product ID]]="","",Sales[[#This Row],[Date]]&amp;Sales[[#This Row],[Invoice no]])</f>
        <v/>
      </c>
      <c r="E15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599" s="19" t="str">
        <f>IF(_xlfn.XLOOKUP(Sales[[#This Row],[Product Name]],Inventory[Product Name],Inventory[Sale Price],"")=0,"",_xlfn.XLOOKUP(Sales[[#This Row],[Product Name]],Inventory[Product Name],Inventory[Sale Price]))</f>
        <v/>
      </c>
      <c r="I1599" s="19" t="str">
        <f>IFERROR(G1599*H1599,"")</f>
        <v/>
      </c>
      <c r="J1599" s="19"/>
    </row>
    <row r="1600" spans="1:10" ht="21">
      <c r="A1600" s="14">
        <v>1595</v>
      </c>
      <c r="C1600" s="16"/>
      <c r="D1600" s="14" t="str">
        <f>IF(Sales[[#This Row],[Product ID]]="","",Sales[[#This Row],[Date]]&amp;Sales[[#This Row],[Invoice no]])</f>
        <v/>
      </c>
      <c r="E16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0" s="19" t="str">
        <f>IF(_xlfn.XLOOKUP(Sales[[#This Row],[Product Name]],Inventory[Product Name],Inventory[Sale Price],"")=0,"",_xlfn.XLOOKUP(Sales[[#This Row],[Product Name]],Inventory[Product Name],Inventory[Sale Price]))</f>
        <v/>
      </c>
      <c r="I1600" s="19" t="str">
        <f>IFERROR(G1600*H1600,"")</f>
        <v/>
      </c>
      <c r="J1600" s="19"/>
    </row>
    <row r="1601" spans="1:10" ht="21">
      <c r="A1601" s="14">
        <v>1596</v>
      </c>
      <c r="C1601" s="16"/>
      <c r="D1601" s="14" t="str">
        <f>IF(Sales[[#This Row],[Product ID]]="","",Sales[[#This Row],[Date]]&amp;Sales[[#This Row],[Invoice no]])</f>
        <v/>
      </c>
      <c r="E16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1" s="19" t="str">
        <f>IF(_xlfn.XLOOKUP(Sales[[#This Row],[Product Name]],Inventory[Product Name],Inventory[Sale Price],"")=0,"",_xlfn.XLOOKUP(Sales[[#This Row],[Product Name]],Inventory[Product Name],Inventory[Sale Price]))</f>
        <v/>
      </c>
      <c r="I1601" s="19" t="str">
        <f>IFERROR(G1601*H1601,"")</f>
        <v/>
      </c>
      <c r="J1601" s="19"/>
    </row>
    <row r="1602" spans="1:10" ht="21">
      <c r="A1602" s="14">
        <v>1597</v>
      </c>
      <c r="C1602" s="16"/>
      <c r="D1602" s="14" t="str">
        <f>IF(Sales[[#This Row],[Product ID]]="","",Sales[[#This Row],[Date]]&amp;Sales[[#This Row],[Invoice no]])</f>
        <v/>
      </c>
      <c r="E16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2" s="19" t="str">
        <f>IF(_xlfn.XLOOKUP(Sales[[#This Row],[Product Name]],Inventory[Product Name],Inventory[Sale Price],"")=0,"",_xlfn.XLOOKUP(Sales[[#This Row],[Product Name]],Inventory[Product Name],Inventory[Sale Price]))</f>
        <v/>
      </c>
      <c r="I1602" s="19" t="str">
        <f>IFERROR(G1602*H1602,"")</f>
        <v/>
      </c>
      <c r="J1602" s="19"/>
    </row>
    <row r="1603" spans="1:10" ht="21">
      <c r="A1603" s="14">
        <v>1598</v>
      </c>
      <c r="C1603" s="16"/>
      <c r="D1603" s="14" t="str">
        <f>IF(Sales[[#This Row],[Product ID]]="","",Sales[[#This Row],[Date]]&amp;Sales[[#This Row],[Invoice no]])</f>
        <v/>
      </c>
      <c r="E16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3" s="19" t="str">
        <f>IF(_xlfn.XLOOKUP(Sales[[#This Row],[Product Name]],Inventory[Product Name],Inventory[Sale Price],"")=0,"",_xlfn.XLOOKUP(Sales[[#This Row],[Product Name]],Inventory[Product Name],Inventory[Sale Price]))</f>
        <v/>
      </c>
      <c r="I1603" s="19" t="str">
        <f>IFERROR(G1603*H1603,"")</f>
        <v/>
      </c>
      <c r="J1603" s="19"/>
    </row>
    <row r="1604" spans="1:10" ht="21">
      <c r="A1604" s="14">
        <v>1599</v>
      </c>
      <c r="C1604" s="16"/>
      <c r="D1604" s="14" t="str">
        <f>IF(Sales[[#This Row],[Product ID]]="","",Sales[[#This Row],[Date]]&amp;Sales[[#This Row],[Invoice no]])</f>
        <v/>
      </c>
      <c r="E16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4" s="19" t="str">
        <f>IF(_xlfn.XLOOKUP(Sales[[#This Row],[Product Name]],Inventory[Product Name],Inventory[Sale Price],"")=0,"",_xlfn.XLOOKUP(Sales[[#This Row],[Product Name]],Inventory[Product Name],Inventory[Sale Price]))</f>
        <v/>
      </c>
      <c r="I1604" s="19" t="str">
        <f>IFERROR(G1604*H1604,"")</f>
        <v/>
      </c>
      <c r="J1604" s="19"/>
    </row>
    <row r="1605" spans="1:10" ht="21">
      <c r="A1605" s="14">
        <v>1600</v>
      </c>
      <c r="C1605" s="16"/>
      <c r="D1605" s="14" t="str">
        <f>IF(Sales[[#This Row],[Product ID]]="","",Sales[[#This Row],[Date]]&amp;Sales[[#This Row],[Invoice no]])</f>
        <v/>
      </c>
      <c r="E16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5" s="19" t="str">
        <f>IF(_xlfn.XLOOKUP(Sales[[#This Row],[Product Name]],Inventory[Product Name],Inventory[Sale Price],"")=0,"",_xlfn.XLOOKUP(Sales[[#This Row],[Product Name]],Inventory[Product Name],Inventory[Sale Price]))</f>
        <v/>
      </c>
      <c r="I1605" s="19" t="str">
        <f>IFERROR(G1605*H1605,"")</f>
        <v/>
      </c>
      <c r="J1605" s="19"/>
    </row>
    <row r="1606" spans="1:10" ht="21">
      <c r="A1606" s="14">
        <v>1601</v>
      </c>
      <c r="C1606" s="16"/>
      <c r="D1606" s="14" t="str">
        <f>IF(Sales[[#This Row],[Product ID]]="","",Sales[[#This Row],[Date]]&amp;Sales[[#This Row],[Invoice no]])</f>
        <v/>
      </c>
      <c r="E16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6" s="19" t="str">
        <f>IF(_xlfn.XLOOKUP(Sales[[#This Row],[Product Name]],Inventory[Product Name],Inventory[Sale Price],"")=0,"",_xlfn.XLOOKUP(Sales[[#This Row],[Product Name]],Inventory[Product Name],Inventory[Sale Price]))</f>
        <v/>
      </c>
      <c r="I1606" s="19" t="str">
        <f>IFERROR(G1606*H1606,"")</f>
        <v/>
      </c>
      <c r="J1606" s="19"/>
    </row>
    <row r="1607" spans="1:10" ht="21">
      <c r="A1607" s="14">
        <v>1602</v>
      </c>
      <c r="C1607" s="16"/>
      <c r="D1607" s="14" t="str">
        <f>IF(Sales[[#This Row],[Product ID]]="","",Sales[[#This Row],[Date]]&amp;Sales[[#This Row],[Invoice no]])</f>
        <v/>
      </c>
      <c r="E16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7" s="19" t="str">
        <f>IF(_xlfn.XLOOKUP(Sales[[#This Row],[Product Name]],Inventory[Product Name],Inventory[Sale Price],"")=0,"",_xlfn.XLOOKUP(Sales[[#This Row],[Product Name]],Inventory[Product Name],Inventory[Sale Price]))</f>
        <v/>
      </c>
      <c r="I1607" s="19" t="str">
        <f>IFERROR(G1607*H1607,"")</f>
        <v/>
      </c>
      <c r="J1607" s="19"/>
    </row>
    <row r="1608" spans="1:10" ht="21">
      <c r="A1608" s="14">
        <v>1603</v>
      </c>
      <c r="C1608" s="16"/>
      <c r="D1608" s="14" t="str">
        <f>IF(Sales[[#This Row],[Product ID]]="","",Sales[[#This Row],[Date]]&amp;Sales[[#This Row],[Invoice no]])</f>
        <v/>
      </c>
      <c r="E16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8" s="19" t="str">
        <f>IF(_xlfn.XLOOKUP(Sales[[#This Row],[Product Name]],Inventory[Product Name],Inventory[Sale Price],"")=0,"",_xlfn.XLOOKUP(Sales[[#This Row],[Product Name]],Inventory[Product Name],Inventory[Sale Price]))</f>
        <v/>
      </c>
      <c r="I1608" s="19" t="str">
        <f>IFERROR(G1608*H1608,"")</f>
        <v/>
      </c>
      <c r="J1608" s="19"/>
    </row>
    <row r="1609" spans="1:10" ht="21">
      <c r="A1609" s="14">
        <v>1604</v>
      </c>
      <c r="C1609" s="16"/>
      <c r="D1609" s="14" t="str">
        <f>IF(Sales[[#This Row],[Product ID]]="","",Sales[[#This Row],[Date]]&amp;Sales[[#This Row],[Invoice no]])</f>
        <v/>
      </c>
      <c r="E16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09" s="19" t="str">
        <f>IF(_xlfn.XLOOKUP(Sales[[#This Row],[Product Name]],Inventory[Product Name],Inventory[Sale Price],"")=0,"",_xlfn.XLOOKUP(Sales[[#This Row],[Product Name]],Inventory[Product Name],Inventory[Sale Price]))</f>
        <v/>
      </c>
      <c r="I1609" s="19" t="str">
        <f>IFERROR(G1609*H1609,"")</f>
        <v/>
      </c>
      <c r="J1609" s="19"/>
    </row>
    <row r="1610" spans="1:10" ht="21">
      <c r="A1610" s="14">
        <v>1605</v>
      </c>
      <c r="C1610" s="16"/>
      <c r="D1610" s="14" t="str">
        <f>IF(Sales[[#This Row],[Product ID]]="","",Sales[[#This Row],[Date]]&amp;Sales[[#This Row],[Invoice no]])</f>
        <v/>
      </c>
      <c r="E16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0" s="19" t="str">
        <f>IF(_xlfn.XLOOKUP(Sales[[#This Row],[Product Name]],Inventory[Product Name],Inventory[Sale Price],"")=0,"",_xlfn.XLOOKUP(Sales[[#This Row],[Product Name]],Inventory[Product Name],Inventory[Sale Price]))</f>
        <v/>
      </c>
      <c r="I1610" s="19" t="str">
        <f>IFERROR(G1610*H1610,"")</f>
        <v/>
      </c>
      <c r="J1610" s="19"/>
    </row>
    <row r="1611" spans="1:10" ht="21">
      <c r="A1611" s="14">
        <v>1606</v>
      </c>
      <c r="C1611" s="16"/>
      <c r="D1611" s="14" t="str">
        <f>IF(Sales[[#This Row],[Product ID]]="","",Sales[[#This Row],[Date]]&amp;Sales[[#This Row],[Invoice no]])</f>
        <v/>
      </c>
      <c r="E16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1" s="19" t="str">
        <f>IF(_xlfn.XLOOKUP(Sales[[#This Row],[Product Name]],Inventory[Product Name],Inventory[Sale Price],"")=0,"",_xlfn.XLOOKUP(Sales[[#This Row],[Product Name]],Inventory[Product Name],Inventory[Sale Price]))</f>
        <v/>
      </c>
      <c r="I1611" s="19" t="str">
        <f>IFERROR(G1611*H1611,"")</f>
        <v/>
      </c>
      <c r="J1611" s="19"/>
    </row>
    <row r="1612" spans="1:10" ht="21">
      <c r="A1612" s="14">
        <v>1607</v>
      </c>
      <c r="C1612" s="16"/>
      <c r="D1612" s="14" t="str">
        <f>IF(Sales[[#This Row],[Product ID]]="","",Sales[[#This Row],[Date]]&amp;Sales[[#This Row],[Invoice no]])</f>
        <v/>
      </c>
      <c r="E16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2" s="19" t="str">
        <f>IF(_xlfn.XLOOKUP(Sales[[#This Row],[Product Name]],Inventory[Product Name],Inventory[Sale Price],"")=0,"",_xlfn.XLOOKUP(Sales[[#This Row],[Product Name]],Inventory[Product Name],Inventory[Sale Price]))</f>
        <v/>
      </c>
      <c r="I1612" s="19" t="str">
        <f>IFERROR(G1612*H1612,"")</f>
        <v/>
      </c>
      <c r="J1612" s="19"/>
    </row>
    <row r="1613" spans="1:10" ht="21">
      <c r="A1613" s="14">
        <v>1608</v>
      </c>
      <c r="C1613" s="16"/>
      <c r="D1613" s="14" t="str">
        <f>IF(Sales[[#This Row],[Product ID]]="","",Sales[[#This Row],[Date]]&amp;Sales[[#This Row],[Invoice no]])</f>
        <v/>
      </c>
      <c r="E16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3" s="19" t="str">
        <f>IF(_xlfn.XLOOKUP(Sales[[#This Row],[Product Name]],Inventory[Product Name],Inventory[Sale Price],"")=0,"",_xlfn.XLOOKUP(Sales[[#This Row],[Product Name]],Inventory[Product Name],Inventory[Sale Price]))</f>
        <v/>
      </c>
      <c r="I1613" s="19" t="str">
        <f>IFERROR(G1613*H1613,"")</f>
        <v/>
      </c>
      <c r="J1613" s="19"/>
    </row>
    <row r="1614" spans="1:10" ht="21">
      <c r="A1614" s="14">
        <v>1609</v>
      </c>
      <c r="C1614" s="16"/>
      <c r="D1614" s="14" t="str">
        <f>IF(Sales[[#This Row],[Product ID]]="","",Sales[[#This Row],[Date]]&amp;Sales[[#This Row],[Invoice no]])</f>
        <v/>
      </c>
      <c r="E16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4" s="19" t="str">
        <f>IF(_xlfn.XLOOKUP(Sales[[#This Row],[Product Name]],Inventory[Product Name],Inventory[Sale Price],"")=0,"",_xlfn.XLOOKUP(Sales[[#This Row],[Product Name]],Inventory[Product Name],Inventory[Sale Price]))</f>
        <v/>
      </c>
      <c r="I1614" s="19" t="str">
        <f>IFERROR(G1614*H1614,"")</f>
        <v/>
      </c>
      <c r="J1614" s="19"/>
    </row>
    <row r="1615" spans="1:10" ht="21">
      <c r="A1615" s="14">
        <v>1610</v>
      </c>
      <c r="C1615" s="16"/>
      <c r="D1615" s="14" t="str">
        <f>IF(Sales[[#This Row],[Product ID]]="","",Sales[[#This Row],[Date]]&amp;Sales[[#This Row],[Invoice no]])</f>
        <v/>
      </c>
      <c r="E16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5" s="19" t="str">
        <f>IF(_xlfn.XLOOKUP(Sales[[#This Row],[Product Name]],Inventory[Product Name],Inventory[Sale Price],"")=0,"",_xlfn.XLOOKUP(Sales[[#This Row],[Product Name]],Inventory[Product Name],Inventory[Sale Price]))</f>
        <v/>
      </c>
      <c r="I1615" s="19" t="str">
        <f>IFERROR(G1615*H1615,"")</f>
        <v/>
      </c>
      <c r="J1615" s="19"/>
    </row>
    <row r="1616" spans="1:10" ht="21">
      <c r="A1616" s="14">
        <v>1611</v>
      </c>
      <c r="C1616" s="16"/>
      <c r="D1616" s="14" t="str">
        <f>IF(Sales[[#This Row],[Product ID]]="","",Sales[[#This Row],[Date]]&amp;Sales[[#This Row],[Invoice no]])</f>
        <v/>
      </c>
      <c r="E16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6" s="19" t="str">
        <f>IF(_xlfn.XLOOKUP(Sales[[#This Row],[Product Name]],Inventory[Product Name],Inventory[Sale Price],"")=0,"",_xlfn.XLOOKUP(Sales[[#This Row],[Product Name]],Inventory[Product Name],Inventory[Sale Price]))</f>
        <v/>
      </c>
      <c r="I1616" s="19" t="str">
        <f>IFERROR(G1616*H1616,"")</f>
        <v/>
      </c>
      <c r="J1616" s="19"/>
    </row>
    <row r="1617" spans="1:10" ht="21">
      <c r="A1617" s="14">
        <v>1612</v>
      </c>
      <c r="C1617" s="16"/>
      <c r="D1617" s="14" t="str">
        <f>IF(Sales[[#This Row],[Product ID]]="","",Sales[[#This Row],[Date]]&amp;Sales[[#This Row],[Invoice no]])</f>
        <v/>
      </c>
      <c r="E16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7" s="19" t="str">
        <f>IF(_xlfn.XLOOKUP(Sales[[#This Row],[Product Name]],Inventory[Product Name],Inventory[Sale Price],"")=0,"",_xlfn.XLOOKUP(Sales[[#This Row],[Product Name]],Inventory[Product Name],Inventory[Sale Price]))</f>
        <v/>
      </c>
      <c r="I1617" s="19" t="str">
        <f>IFERROR(G1617*H1617,"")</f>
        <v/>
      </c>
      <c r="J1617" s="19"/>
    </row>
    <row r="1618" spans="1:10" ht="21">
      <c r="A1618" s="14">
        <v>1613</v>
      </c>
      <c r="C1618" s="16"/>
      <c r="D1618" s="14" t="str">
        <f>IF(Sales[[#This Row],[Product ID]]="","",Sales[[#This Row],[Date]]&amp;Sales[[#This Row],[Invoice no]])</f>
        <v/>
      </c>
      <c r="E16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8" s="19" t="str">
        <f>IF(_xlfn.XLOOKUP(Sales[[#This Row],[Product Name]],Inventory[Product Name],Inventory[Sale Price],"")=0,"",_xlfn.XLOOKUP(Sales[[#This Row],[Product Name]],Inventory[Product Name],Inventory[Sale Price]))</f>
        <v/>
      </c>
      <c r="I1618" s="19" t="str">
        <f>IFERROR(G1618*H1618,"")</f>
        <v/>
      </c>
      <c r="J1618" s="19"/>
    </row>
    <row r="1619" spans="1:10" ht="21">
      <c r="A1619" s="14">
        <v>1614</v>
      </c>
      <c r="C1619" s="16"/>
      <c r="D1619" s="14" t="str">
        <f>IF(Sales[[#This Row],[Product ID]]="","",Sales[[#This Row],[Date]]&amp;Sales[[#This Row],[Invoice no]])</f>
        <v/>
      </c>
      <c r="E16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19" s="19" t="str">
        <f>IF(_xlfn.XLOOKUP(Sales[[#This Row],[Product Name]],Inventory[Product Name],Inventory[Sale Price],"")=0,"",_xlfn.XLOOKUP(Sales[[#This Row],[Product Name]],Inventory[Product Name],Inventory[Sale Price]))</f>
        <v/>
      </c>
      <c r="I1619" s="19" t="str">
        <f>IFERROR(G1619*H1619,"")</f>
        <v/>
      </c>
      <c r="J1619" s="19"/>
    </row>
    <row r="1620" spans="1:10" ht="21">
      <c r="A1620" s="14">
        <v>1615</v>
      </c>
      <c r="C1620" s="16"/>
      <c r="D1620" s="14" t="str">
        <f>IF(Sales[[#This Row],[Product ID]]="","",Sales[[#This Row],[Date]]&amp;Sales[[#This Row],[Invoice no]])</f>
        <v/>
      </c>
      <c r="E16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0" s="19" t="str">
        <f>IF(_xlfn.XLOOKUP(Sales[[#This Row],[Product Name]],Inventory[Product Name],Inventory[Sale Price],"")=0,"",_xlfn.XLOOKUP(Sales[[#This Row],[Product Name]],Inventory[Product Name],Inventory[Sale Price]))</f>
        <v/>
      </c>
      <c r="I1620" s="19" t="str">
        <f>IFERROR(G1620*H1620,"")</f>
        <v/>
      </c>
      <c r="J1620" s="19"/>
    </row>
    <row r="1621" spans="1:10" ht="21">
      <c r="A1621" s="14">
        <v>1616</v>
      </c>
      <c r="C1621" s="16"/>
      <c r="D1621" s="14" t="str">
        <f>IF(Sales[[#This Row],[Product ID]]="","",Sales[[#This Row],[Date]]&amp;Sales[[#This Row],[Invoice no]])</f>
        <v/>
      </c>
      <c r="E16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1" s="19" t="str">
        <f>IF(_xlfn.XLOOKUP(Sales[[#This Row],[Product Name]],Inventory[Product Name],Inventory[Sale Price],"")=0,"",_xlfn.XLOOKUP(Sales[[#This Row],[Product Name]],Inventory[Product Name],Inventory[Sale Price]))</f>
        <v/>
      </c>
      <c r="I1621" s="19" t="str">
        <f>IFERROR(G1621*H1621,"")</f>
        <v/>
      </c>
      <c r="J1621" s="19"/>
    </row>
    <row r="1622" spans="1:10" ht="21">
      <c r="A1622" s="14">
        <v>1617</v>
      </c>
      <c r="C1622" s="16"/>
      <c r="D1622" s="14" t="str">
        <f>IF(Sales[[#This Row],[Product ID]]="","",Sales[[#This Row],[Date]]&amp;Sales[[#This Row],[Invoice no]])</f>
        <v/>
      </c>
      <c r="E16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2" s="19" t="str">
        <f>IF(_xlfn.XLOOKUP(Sales[[#This Row],[Product Name]],Inventory[Product Name],Inventory[Sale Price],"")=0,"",_xlfn.XLOOKUP(Sales[[#This Row],[Product Name]],Inventory[Product Name],Inventory[Sale Price]))</f>
        <v/>
      </c>
      <c r="I1622" s="19" t="str">
        <f>IFERROR(G1622*H1622,"")</f>
        <v/>
      </c>
      <c r="J1622" s="19"/>
    </row>
    <row r="1623" spans="1:10" ht="21">
      <c r="A1623" s="14">
        <v>1618</v>
      </c>
      <c r="C1623" s="16"/>
      <c r="D1623" s="14" t="str">
        <f>IF(Sales[[#This Row],[Product ID]]="","",Sales[[#This Row],[Date]]&amp;Sales[[#This Row],[Invoice no]])</f>
        <v/>
      </c>
      <c r="E16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3" s="19" t="str">
        <f>IF(_xlfn.XLOOKUP(Sales[[#This Row],[Product Name]],Inventory[Product Name],Inventory[Sale Price],"")=0,"",_xlfn.XLOOKUP(Sales[[#This Row],[Product Name]],Inventory[Product Name],Inventory[Sale Price]))</f>
        <v/>
      </c>
      <c r="I1623" s="19" t="str">
        <f>IFERROR(G1623*H1623,"")</f>
        <v/>
      </c>
      <c r="J1623" s="19"/>
    </row>
    <row r="1624" spans="1:10" ht="21">
      <c r="A1624" s="14">
        <v>1619</v>
      </c>
      <c r="C1624" s="16"/>
      <c r="D1624" s="14" t="str">
        <f>IF(Sales[[#This Row],[Product ID]]="","",Sales[[#This Row],[Date]]&amp;Sales[[#This Row],[Invoice no]])</f>
        <v/>
      </c>
      <c r="E16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4" s="19" t="str">
        <f>IF(_xlfn.XLOOKUP(Sales[[#This Row],[Product Name]],Inventory[Product Name],Inventory[Sale Price],"")=0,"",_xlfn.XLOOKUP(Sales[[#This Row],[Product Name]],Inventory[Product Name],Inventory[Sale Price]))</f>
        <v/>
      </c>
      <c r="I1624" s="19" t="str">
        <f>IFERROR(G1624*H1624,"")</f>
        <v/>
      </c>
      <c r="J1624" s="19"/>
    </row>
    <row r="1625" spans="1:10" ht="21">
      <c r="A1625" s="14">
        <v>1620</v>
      </c>
      <c r="C1625" s="16"/>
      <c r="D1625" s="14" t="str">
        <f>IF(Sales[[#This Row],[Product ID]]="","",Sales[[#This Row],[Date]]&amp;Sales[[#This Row],[Invoice no]])</f>
        <v/>
      </c>
      <c r="E16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5" s="19" t="str">
        <f>IF(_xlfn.XLOOKUP(Sales[[#This Row],[Product Name]],Inventory[Product Name],Inventory[Sale Price],"")=0,"",_xlfn.XLOOKUP(Sales[[#This Row],[Product Name]],Inventory[Product Name],Inventory[Sale Price]))</f>
        <v/>
      </c>
      <c r="I1625" s="19" t="str">
        <f>IFERROR(G1625*H1625,"")</f>
        <v/>
      </c>
      <c r="J1625" s="19"/>
    </row>
    <row r="1626" spans="1:10" ht="21">
      <c r="A1626" s="14">
        <v>1621</v>
      </c>
      <c r="C1626" s="16"/>
      <c r="D1626" s="14" t="str">
        <f>IF(Sales[[#This Row],[Product ID]]="","",Sales[[#This Row],[Date]]&amp;Sales[[#This Row],[Invoice no]])</f>
        <v/>
      </c>
      <c r="E16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6" s="19" t="str">
        <f>IF(_xlfn.XLOOKUP(Sales[[#This Row],[Product Name]],Inventory[Product Name],Inventory[Sale Price],"")=0,"",_xlfn.XLOOKUP(Sales[[#This Row],[Product Name]],Inventory[Product Name],Inventory[Sale Price]))</f>
        <v/>
      </c>
      <c r="I1626" s="19" t="str">
        <f>IFERROR(G1626*H1626,"")</f>
        <v/>
      </c>
      <c r="J1626" s="19"/>
    </row>
    <row r="1627" spans="1:10" ht="21">
      <c r="A1627" s="14">
        <v>1622</v>
      </c>
      <c r="C1627" s="16"/>
      <c r="D1627" s="14" t="str">
        <f>IF(Sales[[#This Row],[Product ID]]="","",Sales[[#This Row],[Date]]&amp;Sales[[#This Row],[Invoice no]])</f>
        <v/>
      </c>
      <c r="E16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7" s="19" t="str">
        <f>IF(_xlfn.XLOOKUP(Sales[[#This Row],[Product Name]],Inventory[Product Name],Inventory[Sale Price],"")=0,"",_xlfn.XLOOKUP(Sales[[#This Row],[Product Name]],Inventory[Product Name],Inventory[Sale Price]))</f>
        <v/>
      </c>
      <c r="I1627" s="19" t="str">
        <f>IFERROR(G1627*H1627,"")</f>
        <v/>
      </c>
      <c r="J1627" s="19"/>
    </row>
    <row r="1628" spans="1:10" ht="21">
      <c r="A1628" s="14">
        <v>1623</v>
      </c>
      <c r="C1628" s="16"/>
      <c r="D1628" s="14" t="str">
        <f>IF(Sales[[#This Row],[Product ID]]="","",Sales[[#This Row],[Date]]&amp;Sales[[#This Row],[Invoice no]])</f>
        <v/>
      </c>
      <c r="E16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8" s="19" t="str">
        <f>IF(_xlfn.XLOOKUP(Sales[[#This Row],[Product Name]],Inventory[Product Name],Inventory[Sale Price],"")=0,"",_xlfn.XLOOKUP(Sales[[#This Row],[Product Name]],Inventory[Product Name],Inventory[Sale Price]))</f>
        <v/>
      </c>
      <c r="I1628" s="19" t="str">
        <f>IFERROR(G1628*H1628,"")</f>
        <v/>
      </c>
      <c r="J1628" s="19"/>
    </row>
    <row r="1629" spans="1:10" ht="21">
      <c r="A1629" s="14">
        <v>1624</v>
      </c>
      <c r="C1629" s="16"/>
      <c r="D1629" s="14" t="str">
        <f>IF(Sales[[#This Row],[Product ID]]="","",Sales[[#This Row],[Date]]&amp;Sales[[#This Row],[Invoice no]])</f>
        <v/>
      </c>
      <c r="E16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29" s="19" t="str">
        <f>IF(_xlfn.XLOOKUP(Sales[[#This Row],[Product Name]],Inventory[Product Name],Inventory[Sale Price],"")=0,"",_xlfn.XLOOKUP(Sales[[#This Row],[Product Name]],Inventory[Product Name],Inventory[Sale Price]))</f>
        <v/>
      </c>
      <c r="I1629" s="19" t="str">
        <f>IFERROR(G1629*H1629,"")</f>
        <v/>
      </c>
      <c r="J1629" s="19"/>
    </row>
    <row r="1630" spans="1:10" ht="21">
      <c r="A1630" s="14">
        <v>1625</v>
      </c>
      <c r="C1630" s="16"/>
      <c r="D1630" s="14" t="str">
        <f>IF(Sales[[#This Row],[Product ID]]="","",Sales[[#This Row],[Date]]&amp;Sales[[#This Row],[Invoice no]])</f>
        <v/>
      </c>
      <c r="E16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0" s="19" t="str">
        <f>IF(_xlfn.XLOOKUP(Sales[[#This Row],[Product Name]],Inventory[Product Name],Inventory[Sale Price],"")=0,"",_xlfn.XLOOKUP(Sales[[#This Row],[Product Name]],Inventory[Product Name],Inventory[Sale Price]))</f>
        <v/>
      </c>
      <c r="I1630" s="19" t="str">
        <f>IFERROR(G1630*H1630,"")</f>
        <v/>
      </c>
      <c r="J1630" s="19"/>
    </row>
    <row r="1631" spans="1:10" ht="21">
      <c r="A1631" s="14">
        <v>1626</v>
      </c>
      <c r="C1631" s="16"/>
      <c r="D1631" s="14" t="str">
        <f>IF(Sales[[#This Row],[Product ID]]="","",Sales[[#This Row],[Date]]&amp;Sales[[#This Row],[Invoice no]])</f>
        <v/>
      </c>
      <c r="E16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1" s="19" t="str">
        <f>IF(_xlfn.XLOOKUP(Sales[[#This Row],[Product Name]],Inventory[Product Name],Inventory[Sale Price],"")=0,"",_xlfn.XLOOKUP(Sales[[#This Row],[Product Name]],Inventory[Product Name],Inventory[Sale Price]))</f>
        <v/>
      </c>
      <c r="I1631" s="19" t="str">
        <f>IFERROR(G1631*H1631,"")</f>
        <v/>
      </c>
      <c r="J1631" s="19"/>
    </row>
    <row r="1632" spans="1:10" ht="21">
      <c r="A1632" s="14">
        <v>1627</v>
      </c>
      <c r="C1632" s="16"/>
      <c r="D1632" s="14" t="str">
        <f>IF(Sales[[#This Row],[Product ID]]="","",Sales[[#This Row],[Date]]&amp;Sales[[#This Row],[Invoice no]])</f>
        <v/>
      </c>
      <c r="E16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2" s="19" t="str">
        <f>IF(_xlfn.XLOOKUP(Sales[[#This Row],[Product Name]],Inventory[Product Name],Inventory[Sale Price],"")=0,"",_xlfn.XLOOKUP(Sales[[#This Row],[Product Name]],Inventory[Product Name],Inventory[Sale Price]))</f>
        <v/>
      </c>
      <c r="I1632" s="19" t="str">
        <f>IFERROR(G1632*H1632,"")</f>
        <v/>
      </c>
      <c r="J1632" s="19"/>
    </row>
    <row r="1633" spans="1:10" ht="21">
      <c r="A1633" s="14">
        <v>1628</v>
      </c>
      <c r="C1633" s="16"/>
      <c r="D1633" s="14" t="str">
        <f>IF(Sales[[#This Row],[Product ID]]="","",Sales[[#This Row],[Date]]&amp;Sales[[#This Row],[Invoice no]])</f>
        <v/>
      </c>
      <c r="E16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3" s="19" t="str">
        <f>IF(_xlfn.XLOOKUP(Sales[[#This Row],[Product Name]],Inventory[Product Name],Inventory[Sale Price],"")=0,"",_xlfn.XLOOKUP(Sales[[#This Row],[Product Name]],Inventory[Product Name],Inventory[Sale Price]))</f>
        <v/>
      </c>
      <c r="I1633" s="19" t="str">
        <f>IFERROR(G1633*H1633,"")</f>
        <v/>
      </c>
      <c r="J1633" s="19"/>
    </row>
    <row r="1634" spans="1:10" ht="21">
      <c r="A1634" s="14">
        <v>1629</v>
      </c>
      <c r="C1634" s="16"/>
      <c r="D1634" s="14" t="str">
        <f>IF(Sales[[#This Row],[Product ID]]="","",Sales[[#This Row],[Date]]&amp;Sales[[#This Row],[Invoice no]])</f>
        <v/>
      </c>
      <c r="E16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4" s="19" t="str">
        <f>IF(_xlfn.XLOOKUP(Sales[[#This Row],[Product Name]],Inventory[Product Name],Inventory[Sale Price],"")=0,"",_xlfn.XLOOKUP(Sales[[#This Row],[Product Name]],Inventory[Product Name],Inventory[Sale Price]))</f>
        <v/>
      </c>
      <c r="I1634" s="19" t="str">
        <f>IFERROR(G1634*H1634,"")</f>
        <v/>
      </c>
      <c r="J1634" s="19"/>
    </row>
    <row r="1635" spans="1:10" ht="21">
      <c r="A1635" s="14">
        <v>1630</v>
      </c>
      <c r="C1635" s="16"/>
      <c r="D1635" s="14" t="str">
        <f>IF(Sales[[#This Row],[Product ID]]="","",Sales[[#This Row],[Date]]&amp;Sales[[#This Row],[Invoice no]])</f>
        <v/>
      </c>
      <c r="E16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5" s="19" t="str">
        <f>IF(_xlfn.XLOOKUP(Sales[[#This Row],[Product Name]],Inventory[Product Name],Inventory[Sale Price],"")=0,"",_xlfn.XLOOKUP(Sales[[#This Row],[Product Name]],Inventory[Product Name],Inventory[Sale Price]))</f>
        <v/>
      </c>
      <c r="I1635" s="19" t="str">
        <f>IFERROR(G1635*H1635,"")</f>
        <v/>
      </c>
      <c r="J1635" s="19"/>
    </row>
    <row r="1636" spans="1:10" ht="21">
      <c r="A1636" s="14">
        <v>1631</v>
      </c>
      <c r="C1636" s="16"/>
      <c r="D1636" s="14" t="str">
        <f>IF(Sales[[#This Row],[Product ID]]="","",Sales[[#This Row],[Date]]&amp;Sales[[#This Row],[Invoice no]])</f>
        <v/>
      </c>
      <c r="E16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6" s="19" t="str">
        <f>IF(_xlfn.XLOOKUP(Sales[[#This Row],[Product Name]],Inventory[Product Name],Inventory[Sale Price],"")=0,"",_xlfn.XLOOKUP(Sales[[#This Row],[Product Name]],Inventory[Product Name],Inventory[Sale Price]))</f>
        <v/>
      </c>
      <c r="I1636" s="19" t="str">
        <f>IFERROR(G1636*H1636,"")</f>
        <v/>
      </c>
      <c r="J1636" s="19"/>
    </row>
    <row r="1637" spans="1:10" ht="21">
      <c r="A1637" s="14">
        <v>1632</v>
      </c>
      <c r="C1637" s="16"/>
      <c r="D1637" s="14" t="str">
        <f>IF(Sales[[#This Row],[Product ID]]="","",Sales[[#This Row],[Date]]&amp;Sales[[#This Row],[Invoice no]])</f>
        <v/>
      </c>
      <c r="E16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7" s="19" t="str">
        <f>IF(_xlfn.XLOOKUP(Sales[[#This Row],[Product Name]],Inventory[Product Name],Inventory[Sale Price],"")=0,"",_xlfn.XLOOKUP(Sales[[#This Row],[Product Name]],Inventory[Product Name],Inventory[Sale Price]))</f>
        <v/>
      </c>
      <c r="I1637" s="19" t="str">
        <f>IFERROR(G1637*H1637,"")</f>
        <v/>
      </c>
      <c r="J1637" s="19"/>
    </row>
    <row r="1638" spans="1:10" ht="21">
      <c r="A1638" s="14">
        <v>1633</v>
      </c>
      <c r="C1638" s="16"/>
      <c r="D1638" s="14" t="str">
        <f>IF(Sales[[#This Row],[Product ID]]="","",Sales[[#This Row],[Date]]&amp;Sales[[#This Row],[Invoice no]])</f>
        <v/>
      </c>
      <c r="E16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8" s="19" t="str">
        <f>IF(_xlfn.XLOOKUP(Sales[[#This Row],[Product Name]],Inventory[Product Name],Inventory[Sale Price],"")=0,"",_xlfn.XLOOKUP(Sales[[#This Row],[Product Name]],Inventory[Product Name],Inventory[Sale Price]))</f>
        <v/>
      </c>
      <c r="I1638" s="19" t="str">
        <f>IFERROR(G1638*H1638,"")</f>
        <v/>
      </c>
      <c r="J1638" s="19"/>
    </row>
    <row r="1639" spans="1:10" ht="21">
      <c r="A1639" s="14">
        <v>1634</v>
      </c>
      <c r="C1639" s="16"/>
      <c r="D1639" s="14" t="str">
        <f>IF(Sales[[#This Row],[Product ID]]="","",Sales[[#This Row],[Date]]&amp;Sales[[#This Row],[Invoice no]])</f>
        <v/>
      </c>
      <c r="E16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39" s="19" t="str">
        <f>IF(_xlfn.XLOOKUP(Sales[[#This Row],[Product Name]],Inventory[Product Name],Inventory[Sale Price],"")=0,"",_xlfn.XLOOKUP(Sales[[#This Row],[Product Name]],Inventory[Product Name],Inventory[Sale Price]))</f>
        <v/>
      </c>
      <c r="I1639" s="19" t="str">
        <f>IFERROR(G1639*H1639,"")</f>
        <v/>
      </c>
      <c r="J1639" s="19"/>
    </row>
    <row r="1640" spans="1:10" ht="21">
      <c r="A1640" s="14">
        <v>1635</v>
      </c>
      <c r="C1640" s="16"/>
      <c r="D1640" s="14" t="str">
        <f>IF(Sales[[#This Row],[Product ID]]="","",Sales[[#This Row],[Date]]&amp;Sales[[#This Row],[Invoice no]])</f>
        <v/>
      </c>
      <c r="E16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0" s="19" t="str">
        <f>IF(_xlfn.XLOOKUP(Sales[[#This Row],[Product Name]],Inventory[Product Name],Inventory[Sale Price],"")=0,"",_xlfn.XLOOKUP(Sales[[#This Row],[Product Name]],Inventory[Product Name],Inventory[Sale Price]))</f>
        <v/>
      </c>
      <c r="I1640" s="19" t="str">
        <f>IFERROR(G1640*H1640,"")</f>
        <v/>
      </c>
      <c r="J1640" s="19"/>
    </row>
    <row r="1641" spans="1:10" ht="21">
      <c r="A1641" s="14">
        <v>1636</v>
      </c>
      <c r="C1641" s="16"/>
      <c r="D1641" s="14" t="str">
        <f>IF(Sales[[#This Row],[Product ID]]="","",Sales[[#This Row],[Date]]&amp;Sales[[#This Row],[Invoice no]])</f>
        <v/>
      </c>
      <c r="E16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1" s="19" t="str">
        <f>IF(_xlfn.XLOOKUP(Sales[[#This Row],[Product Name]],Inventory[Product Name],Inventory[Sale Price],"")=0,"",_xlfn.XLOOKUP(Sales[[#This Row],[Product Name]],Inventory[Product Name],Inventory[Sale Price]))</f>
        <v/>
      </c>
      <c r="I1641" s="19" t="str">
        <f>IFERROR(G1641*H1641,"")</f>
        <v/>
      </c>
      <c r="J1641" s="19"/>
    </row>
    <row r="1642" spans="1:10" ht="21">
      <c r="A1642" s="14">
        <v>1637</v>
      </c>
      <c r="C1642" s="16"/>
      <c r="D1642" s="14" t="str">
        <f>IF(Sales[[#This Row],[Product ID]]="","",Sales[[#This Row],[Date]]&amp;Sales[[#This Row],[Invoice no]])</f>
        <v/>
      </c>
      <c r="E16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2" s="19" t="str">
        <f>IF(_xlfn.XLOOKUP(Sales[[#This Row],[Product Name]],Inventory[Product Name],Inventory[Sale Price],"")=0,"",_xlfn.XLOOKUP(Sales[[#This Row],[Product Name]],Inventory[Product Name],Inventory[Sale Price]))</f>
        <v/>
      </c>
      <c r="I1642" s="19" t="str">
        <f>IFERROR(G1642*H1642,"")</f>
        <v/>
      </c>
      <c r="J1642" s="19"/>
    </row>
    <row r="1643" spans="1:10" ht="21">
      <c r="A1643" s="14">
        <v>1638</v>
      </c>
      <c r="C1643" s="16"/>
      <c r="D1643" s="14" t="str">
        <f>IF(Sales[[#This Row],[Product ID]]="","",Sales[[#This Row],[Date]]&amp;Sales[[#This Row],[Invoice no]])</f>
        <v/>
      </c>
      <c r="E16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3" s="19" t="str">
        <f>IF(_xlfn.XLOOKUP(Sales[[#This Row],[Product Name]],Inventory[Product Name],Inventory[Sale Price],"")=0,"",_xlfn.XLOOKUP(Sales[[#This Row],[Product Name]],Inventory[Product Name],Inventory[Sale Price]))</f>
        <v/>
      </c>
      <c r="I1643" s="19" t="str">
        <f>IFERROR(G1643*H1643,"")</f>
        <v/>
      </c>
      <c r="J1643" s="19"/>
    </row>
    <row r="1644" spans="1:10" ht="21">
      <c r="A1644" s="14">
        <v>1639</v>
      </c>
      <c r="C1644" s="16"/>
      <c r="D1644" s="14" t="str">
        <f>IF(Sales[[#This Row],[Product ID]]="","",Sales[[#This Row],[Date]]&amp;Sales[[#This Row],[Invoice no]])</f>
        <v/>
      </c>
      <c r="E16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4" s="19" t="str">
        <f>IF(_xlfn.XLOOKUP(Sales[[#This Row],[Product Name]],Inventory[Product Name],Inventory[Sale Price],"")=0,"",_xlfn.XLOOKUP(Sales[[#This Row],[Product Name]],Inventory[Product Name],Inventory[Sale Price]))</f>
        <v/>
      </c>
      <c r="I1644" s="19" t="str">
        <f>IFERROR(G1644*H1644,"")</f>
        <v/>
      </c>
      <c r="J1644" s="19"/>
    </row>
    <row r="1645" spans="1:10" ht="21">
      <c r="A1645" s="14">
        <v>1640</v>
      </c>
      <c r="C1645" s="16"/>
      <c r="D1645" s="14" t="str">
        <f>IF(Sales[[#This Row],[Product ID]]="","",Sales[[#This Row],[Date]]&amp;Sales[[#This Row],[Invoice no]])</f>
        <v/>
      </c>
      <c r="E16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5" s="19" t="str">
        <f>IF(_xlfn.XLOOKUP(Sales[[#This Row],[Product Name]],Inventory[Product Name],Inventory[Sale Price],"")=0,"",_xlfn.XLOOKUP(Sales[[#This Row],[Product Name]],Inventory[Product Name],Inventory[Sale Price]))</f>
        <v/>
      </c>
      <c r="I1645" s="19" t="str">
        <f>IFERROR(G1645*H1645,"")</f>
        <v/>
      </c>
      <c r="J1645" s="19"/>
    </row>
    <row r="1646" spans="1:10" ht="21">
      <c r="A1646" s="14">
        <v>1641</v>
      </c>
      <c r="C1646" s="16"/>
      <c r="D1646" s="14" t="str">
        <f>IF(Sales[[#This Row],[Product ID]]="","",Sales[[#This Row],[Date]]&amp;Sales[[#This Row],[Invoice no]])</f>
        <v/>
      </c>
      <c r="E16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6" s="19" t="str">
        <f>IF(_xlfn.XLOOKUP(Sales[[#This Row],[Product Name]],Inventory[Product Name],Inventory[Sale Price],"")=0,"",_xlfn.XLOOKUP(Sales[[#This Row],[Product Name]],Inventory[Product Name],Inventory[Sale Price]))</f>
        <v/>
      </c>
      <c r="I1646" s="19" t="str">
        <f>IFERROR(G1646*H1646,"")</f>
        <v/>
      </c>
      <c r="J1646" s="19"/>
    </row>
    <row r="1647" spans="1:10" ht="21">
      <c r="A1647" s="14">
        <v>1642</v>
      </c>
      <c r="C1647" s="16"/>
      <c r="D1647" s="14" t="str">
        <f>IF(Sales[[#This Row],[Product ID]]="","",Sales[[#This Row],[Date]]&amp;Sales[[#This Row],[Invoice no]])</f>
        <v/>
      </c>
      <c r="E16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7" s="19" t="str">
        <f>IF(_xlfn.XLOOKUP(Sales[[#This Row],[Product Name]],Inventory[Product Name],Inventory[Sale Price],"")=0,"",_xlfn.XLOOKUP(Sales[[#This Row],[Product Name]],Inventory[Product Name],Inventory[Sale Price]))</f>
        <v/>
      </c>
      <c r="I1647" s="19" t="str">
        <f>IFERROR(G1647*H1647,"")</f>
        <v/>
      </c>
      <c r="J1647" s="19"/>
    </row>
    <row r="1648" spans="1:10" ht="21">
      <c r="A1648" s="14">
        <v>1643</v>
      </c>
      <c r="C1648" s="16"/>
      <c r="D1648" s="14" t="str">
        <f>IF(Sales[[#This Row],[Product ID]]="","",Sales[[#This Row],[Date]]&amp;Sales[[#This Row],[Invoice no]])</f>
        <v/>
      </c>
      <c r="E16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8" s="19" t="str">
        <f>IF(_xlfn.XLOOKUP(Sales[[#This Row],[Product Name]],Inventory[Product Name],Inventory[Sale Price],"")=0,"",_xlfn.XLOOKUP(Sales[[#This Row],[Product Name]],Inventory[Product Name],Inventory[Sale Price]))</f>
        <v/>
      </c>
      <c r="I1648" s="19" t="str">
        <f>IFERROR(G1648*H1648,"")</f>
        <v/>
      </c>
      <c r="J1648" s="19"/>
    </row>
    <row r="1649" spans="1:10" ht="21">
      <c r="A1649" s="14">
        <v>1644</v>
      </c>
      <c r="C1649" s="16"/>
      <c r="D1649" s="14" t="str">
        <f>IF(Sales[[#This Row],[Product ID]]="","",Sales[[#This Row],[Date]]&amp;Sales[[#This Row],[Invoice no]])</f>
        <v/>
      </c>
      <c r="E16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49" s="19" t="str">
        <f>IF(_xlfn.XLOOKUP(Sales[[#This Row],[Product Name]],Inventory[Product Name],Inventory[Sale Price],"")=0,"",_xlfn.XLOOKUP(Sales[[#This Row],[Product Name]],Inventory[Product Name],Inventory[Sale Price]))</f>
        <v/>
      </c>
      <c r="I1649" s="19" t="str">
        <f>IFERROR(G1649*H1649,"")</f>
        <v/>
      </c>
      <c r="J1649" s="19"/>
    </row>
    <row r="1650" spans="1:10" ht="21">
      <c r="A1650" s="14">
        <v>1645</v>
      </c>
      <c r="C1650" s="16"/>
      <c r="D1650" s="14" t="str">
        <f>IF(Sales[[#This Row],[Product ID]]="","",Sales[[#This Row],[Date]]&amp;Sales[[#This Row],[Invoice no]])</f>
        <v/>
      </c>
      <c r="E16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0" s="19" t="str">
        <f>IF(_xlfn.XLOOKUP(Sales[[#This Row],[Product Name]],Inventory[Product Name],Inventory[Sale Price],"")=0,"",_xlfn.XLOOKUP(Sales[[#This Row],[Product Name]],Inventory[Product Name],Inventory[Sale Price]))</f>
        <v/>
      </c>
      <c r="I1650" s="19" t="str">
        <f>IFERROR(G1650*H1650,"")</f>
        <v/>
      </c>
      <c r="J1650" s="19"/>
    </row>
    <row r="1651" spans="1:10" ht="21">
      <c r="A1651" s="14">
        <v>1646</v>
      </c>
      <c r="C1651" s="16"/>
      <c r="D1651" s="14" t="str">
        <f>IF(Sales[[#This Row],[Product ID]]="","",Sales[[#This Row],[Date]]&amp;Sales[[#This Row],[Invoice no]])</f>
        <v/>
      </c>
      <c r="E16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1" s="19" t="str">
        <f>IF(_xlfn.XLOOKUP(Sales[[#This Row],[Product Name]],Inventory[Product Name],Inventory[Sale Price],"")=0,"",_xlfn.XLOOKUP(Sales[[#This Row],[Product Name]],Inventory[Product Name],Inventory[Sale Price]))</f>
        <v/>
      </c>
      <c r="I1651" s="19" t="str">
        <f>IFERROR(G1651*H1651,"")</f>
        <v/>
      </c>
      <c r="J1651" s="19"/>
    </row>
    <row r="1652" spans="1:10" ht="21">
      <c r="A1652" s="14">
        <v>1647</v>
      </c>
      <c r="C1652" s="16"/>
      <c r="D1652" s="14" t="str">
        <f>IF(Sales[[#This Row],[Product ID]]="","",Sales[[#This Row],[Date]]&amp;Sales[[#This Row],[Invoice no]])</f>
        <v/>
      </c>
      <c r="E16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2" s="19" t="str">
        <f>IF(_xlfn.XLOOKUP(Sales[[#This Row],[Product Name]],Inventory[Product Name],Inventory[Sale Price],"")=0,"",_xlfn.XLOOKUP(Sales[[#This Row],[Product Name]],Inventory[Product Name],Inventory[Sale Price]))</f>
        <v/>
      </c>
      <c r="I1652" s="19" t="str">
        <f>IFERROR(G1652*H1652,"")</f>
        <v/>
      </c>
      <c r="J1652" s="19"/>
    </row>
    <row r="1653" spans="1:10" ht="21">
      <c r="A1653" s="14">
        <v>1648</v>
      </c>
      <c r="C1653" s="16"/>
      <c r="D1653" s="14" t="str">
        <f>IF(Sales[[#This Row],[Product ID]]="","",Sales[[#This Row],[Date]]&amp;Sales[[#This Row],[Invoice no]])</f>
        <v/>
      </c>
      <c r="E16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3" s="19" t="str">
        <f>IF(_xlfn.XLOOKUP(Sales[[#This Row],[Product Name]],Inventory[Product Name],Inventory[Sale Price],"")=0,"",_xlfn.XLOOKUP(Sales[[#This Row],[Product Name]],Inventory[Product Name],Inventory[Sale Price]))</f>
        <v/>
      </c>
      <c r="I1653" s="19" t="str">
        <f>IFERROR(G1653*H1653,"")</f>
        <v/>
      </c>
      <c r="J1653" s="19"/>
    </row>
    <row r="1654" spans="1:10" ht="21">
      <c r="A1654" s="14">
        <v>1649</v>
      </c>
      <c r="C1654" s="16"/>
      <c r="D1654" s="14" t="str">
        <f>IF(Sales[[#This Row],[Product ID]]="","",Sales[[#This Row],[Date]]&amp;Sales[[#This Row],[Invoice no]])</f>
        <v/>
      </c>
      <c r="E16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4" s="19" t="str">
        <f>IF(_xlfn.XLOOKUP(Sales[[#This Row],[Product Name]],Inventory[Product Name],Inventory[Sale Price],"")=0,"",_xlfn.XLOOKUP(Sales[[#This Row],[Product Name]],Inventory[Product Name],Inventory[Sale Price]))</f>
        <v/>
      </c>
      <c r="I1654" s="19" t="str">
        <f>IFERROR(G1654*H1654,"")</f>
        <v/>
      </c>
      <c r="J1654" s="19"/>
    </row>
    <row r="1655" spans="1:10" ht="21">
      <c r="A1655" s="14">
        <v>1650</v>
      </c>
      <c r="C1655" s="16"/>
      <c r="D1655" s="14" t="str">
        <f>IF(Sales[[#This Row],[Product ID]]="","",Sales[[#This Row],[Date]]&amp;Sales[[#This Row],[Invoice no]])</f>
        <v/>
      </c>
      <c r="E16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5" s="19" t="str">
        <f>IF(_xlfn.XLOOKUP(Sales[[#This Row],[Product Name]],Inventory[Product Name],Inventory[Sale Price],"")=0,"",_xlfn.XLOOKUP(Sales[[#This Row],[Product Name]],Inventory[Product Name],Inventory[Sale Price]))</f>
        <v/>
      </c>
      <c r="I1655" s="19" t="str">
        <f>IFERROR(G1655*H1655,"")</f>
        <v/>
      </c>
      <c r="J1655" s="19"/>
    </row>
    <row r="1656" spans="1:10" ht="21">
      <c r="A1656" s="14">
        <v>1651</v>
      </c>
      <c r="C1656" s="16"/>
      <c r="D1656" s="14" t="str">
        <f>IF(Sales[[#This Row],[Product ID]]="","",Sales[[#This Row],[Date]]&amp;Sales[[#This Row],[Invoice no]])</f>
        <v/>
      </c>
      <c r="E16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6" s="19" t="str">
        <f>IF(_xlfn.XLOOKUP(Sales[[#This Row],[Product Name]],Inventory[Product Name],Inventory[Sale Price],"")=0,"",_xlfn.XLOOKUP(Sales[[#This Row],[Product Name]],Inventory[Product Name],Inventory[Sale Price]))</f>
        <v/>
      </c>
      <c r="I1656" s="19" t="str">
        <f>IFERROR(G1656*H1656,"")</f>
        <v/>
      </c>
      <c r="J1656" s="19"/>
    </row>
    <row r="1657" spans="1:10" ht="21">
      <c r="A1657" s="14">
        <v>1652</v>
      </c>
      <c r="C1657" s="16"/>
      <c r="D1657" s="14" t="str">
        <f>IF(Sales[[#This Row],[Product ID]]="","",Sales[[#This Row],[Date]]&amp;Sales[[#This Row],[Invoice no]])</f>
        <v/>
      </c>
      <c r="E16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7" s="19" t="str">
        <f>IF(_xlfn.XLOOKUP(Sales[[#This Row],[Product Name]],Inventory[Product Name],Inventory[Sale Price],"")=0,"",_xlfn.XLOOKUP(Sales[[#This Row],[Product Name]],Inventory[Product Name],Inventory[Sale Price]))</f>
        <v/>
      </c>
      <c r="I1657" s="19" t="str">
        <f>IFERROR(G1657*H1657,"")</f>
        <v/>
      </c>
      <c r="J1657" s="19"/>
    </row>
    <row r="1658" spans="1:10" ht="21">
      <c r="A1658" s="14">
        <v>1653</v>
      </c>
      <c r="C1658" s="16"/>
      <c r="D1658" s="14" t="str">
        <f>IF(Sales[[#This Row],[Product ID]]="","",Sales[[#This Row],[Date]]&amp;Sales[[#This Row],[Invoice no]])</f>
        <v/>
      </c>
      <c r="E16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8" s="19" t="str">
        <f>IF(_xlfn.XLOOKUP(Sales[[#This Row],[Product Name]],Inventory[Product Name],Inventory[Sale Price],"")=0,"",_xlfn.XLOOKUP(Sales[[#This Row],[Product Name]],Inventory[Product Name],Inventory[Sale Price]))</f>
        <v/>
      </c>
      <c r="I1658" s="19" t="str">
        <f>IFERROR(G1658*H1658,"")</f>
        <v/>
      </c>
      <c r="J1658" s="19"/>
    </row>
    <row r="1659" spans="1:10" ht="21">
      <c r="A1659" s="14">
        <v>1654</v>
      </c>
      <c r="C1659" s="16"/>
      <c r="D1659" s="14" t="str">
        <f>IF(Sales[[#This Row],[Product ID]]="","",Sales[[#This Row],[Date]]&amp;Sales[[#This Row],[Invoice no]])</f>
        <v/>
      </c>
      <c r="E16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59" s="19" t="str">
        <f>IF(_xlfn.XLOOKUP(Sales[[#This Row],[Product Name]],Inventory[Product Name],Inventory[Sale Price],"")=0,"",_xlfn.XLOOKUP(Sales[[#This Row],[Product Name]],Inventory[Product Name],Inventory[Sale Price]))</f>
        <v/>
      </c>
      <c r="I1659" s="19" t="str">
        <f>IFERROR(G1659*H1659,"")</f>
        <v/>
      </c>
      <c r="J1659" s="19"/>
    </row>
    <row r="1660" spans="1:10" ht="21">
      <c r="A1660" s="14">
        <v>1655</v>
      </c>
      <c r="C1660" s="16"/>
      <c r="D1660" s="14" t="str">
        <f>IF(Sales[[#This Row],[Product ID]]="","",Sales[[#This Row],[Date]]&amp;Sales[[#This Row],[Invoice no]])</f>
        <v/>
      </c>
      <c r="E16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0" s="19" t="str">
        <f>IF(_xlfn.XLOOKUP(Sales[[#This Row],[Product Name]],Inventory[Product Name],Inventory[Sale Price],"")=0,"",_xlfn.XLOOKUP(Sales[[#This Row],[Product Name]],Inventory[Product Name],Inventory[Sale Price]))</f>
        <v/>
      </c>
      <c r="I1660" s="19" t="str">
        <f>IFERROR(G1660*H1660,"")</f>
        <v/>
      </c>
      <c r="J1660" s="19"/>
    </row>
    <row r="1661" spans="1:10" ht="21">
      <c r="A1661" s="14">
        <v>1656</v>
      </c>
      <c r="C1661" s="16"/>
      <c r="D1661" s="14" t="str">
        <f>IF(Sales[[#This Row],[Product ID]]="","",Sales[[#This Row],[Date]]&amp;Sales[[#This Row],[Invoice no]])</f>
        <v/>
      </c>
      <c r="E16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1" s="19" t="str">
        <f>IF(_xlfn.XLOOKUP(Sales[[#This Row],[Product Name]],Inventory[Product Name],Inventory[Sale Price],"")=0,"",_xlfn.XLOOKUP(Sales[[#This Row],[Product Name]],Inventory[Product Name],Inventory[Sale Price]))</f>
        <v/>
      </c>
      <c r="I1661" s="19" t="str">
        <f>IFERROR(G1661*H1661,"")</f>
        <v/>
      </c>
      <c r="J1661" s="19"/>
    </row>
    <row r="1662" spans="1:10" ht="21">
      <c r="A1662" s="14">
        <v>1657</v>
      </c>
      <c r="C1662" s="16"/>
      <c r="D1662" s="14" t="str">
        <f>IF(Sales[[#This Row],[Product ID]]="","",Sales[[#This Row],[Date]]&amp;Sales[[#This Row],[Invoice no]])</f>
        <v/>
      </c>
      <c r="E16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2" s="19" t="str">
        <f>IF(_xlfn.XLOOKUP(Sales[[#This Row],[Product Name]],Inventory[Product Name],Inventory[Sale Price],"")=0,"",_xlfn.XLOOKUP(Sales[[#This Row],[Product Name]],Inventory[Product Name],Inventory[Sale Price]))</f>
        <v/>
      </c>
      <c r="I1662" s="19" t="str">
        <f>IFERROR(G1662*H1662,"")</f>
        <v/>
      </c>
      <c r="J1662" s="19"/>
    </row>
    <row r="1663" spans="1:10" ht="21">
      <c r="A1663" s="14">
        <v>1658</v>
      </c>
      <c r="C1663" s="16"/>
      <c r="D1663" s="14" t="str">
        <f>IF(Sales[[#This Row],[Product ID]]="","",Sales[[#This Row],[Date]]&amp;Sales[[#This Row],[Invoice no]])</f>
        <v/>
      </c>
      <c r="E16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3" s="19" t="str">
        <f>IF(_xlfn.XLOOKUP(Sales[[#This Row],[Product Name]],Inventory[Product Name],Inventory[Sale Price],"")=0,"",_xlfn.XLOOKUP(Sales[[#This Row],[Product Name]],Inventory[Product Name],Inventory[Sale Price]))</f>
        <v/>
      </c>
      <c r="I1663" s="19" t="str">
        <f>IFERROR(G1663*H1663,"")</f>
        <v/>
      </c>
      <c r="J1663" s="19"/>
    </row>
    <row r="1664" spans="1:10" ht="21">
      <c r="A1664" s="14">
        <v>1659</v>
      </c>
      <c r="C1664" s="16"/>
      <c r="D1664" s="14" t="str">
        <f>IF(Sales[[#This Row],[Product ID]]="","",Sales[[#This Row],[Date]]&amp;Sales[[#This Row],[Invoice no]])</f>
        <v/>
      </c>
      <c r="E16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4" s="19" t="str">
        <f>IF(_xlfn.XLOOKUP(Sales[[#This Row],[Product Name]],Inventory[Product Name],Inventory[Sale Price],"")=0,"",_xlfn.XLOOKUP(Sales[[#This Row],[Product Name]],Inventory[Product Name],Inventory[Sale Price]))</f>
        <v/>
      </c>
      <c r="I1664" s="19" t="str">
        <f>IFERROR(G1664*H1664,"")</f>
        <v/>
      </c>
      <c r="J1664" s="19"/>
    </row>
    <row r="1665" spans="1:10" ht="21">
      <c r="A1665" s="14">
        <v>1660</v>
      </c>
      <c r="C1665" s="16"/>
      <c r="D1665" s="14" t="str">
        <f>IF(Sales[[#This Row],[Product ID]]="","",Sales[[#This Row],[Date]]&amp;Sales[[#This Row],[Invoice no]])</f>
        <v/>
      </c>
      <c r="E16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5" s="19" t="str">
        <f>IF(_xlfn.XLOOKUP(Sales[[#This Row],[Product Name]],Inventory[Product Name],Inventory[Sale Price],"")=0,"",_xlfn.XLOOKUP(Sales[[#This Row],[Product Name]],Inventory[Product Name],Inventory[Sale Price]))</f>
        <v/>
      </c>
      <c r="I1665" s="19" t="str">
        <f>IFERROR(G1665*H1665,"")</f>
        <v/>
      </c>
      <c r="J1665" s="19"/>
    </row>
    <row r="1666" spans="1:10" ht="21">
      <c r="A1666" s="14">
        <v>1661</v>
      </c>
      <c r="C1666" s="16"/>
      <c r="D1666" s="14" t="str">
        <f>IF(Sales[[#This Row],[Product ID]]="","",Sales[[#This Row],[Date]]&amp;Sales[[#This Row],[Invoice no]])</f>
        <v/>
      </c>
      <c r="E16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6" s="19" t="str">
        <f>IF(_xlfn.XLOOKUP(Sales[[#This Row],[Product Name]],Inventory[Product Name],Inventory[Sale Price],"")=0,"",_xlfn.XLOOKUP(Sales[[#This Row],[Product Name]],Inventory[Product Name],Inventory[Sale Price]))</f>
        <v/>
      </c>
      <c r="I1666" s="19" t="str">
        <f>IFERROR(G1666*H1666,"")</f>
        <v/>
      </c>
      <c r="J1666" s="19"/>
    </row>
    <row r="1667" spans="1:10" ht="21">
      <c r="A1667" s="14">
        <v>1662</v>
      </c>
      <c r="C1667" s="16"/>
      <c r="D1667" s="14" t="str">
        <f>IF(Sales[[#This Row],[Product ID]]="","",Sales[[#This Row],[Date]]&amp;Sales[[#This Row],[Invoice no]])</f>
        <v/>
      </c>
      <c r="E16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7" s="19" t="str">
        <f>IF(_xlfn.XLOOKUP(Sales[[#This Row],[Product Name]],Inventory[Product Name],Inventory[Sale Price],"")=0,"",_xlfn.XLOOKUP(Sales[[#This Row],[Product Name]],Inventory[Product Name],Inventory[Sale Price]))</f>
        <v/>
      </c>
      <c r="I1667" s="19" t="str">
        <f>IFERROR(G1667*H1667,"")</f>
        <v/>
      </c>
      <c r="J1667" s="19"/>
    </row>
    <row r="1668" spans="1:10" ht="21">
      <c r="A1668" s="14">
        <v>1663</v>
      </c>
      <c r="C1668" s="16"/>
      <c r="D1668" s="14" t="str">
        <f>IF(Sales[[#This Row],[Product ID]]="","",Sales[[#This Row],[Date]]&amp;Sales[[#This Row],[Invoice no]])</f>
        <v/>
      </c>
      <c r="E16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8" s="19" t="str">
        <f>IF(_xlfn.XLOOKUP(Sales[[#This Row],[Product Name]],Inventory[Product Name],Inventory[Sale Price],"")=0,"",_xlfn.XLOOKUP(Sales[[#This Row],[Product Name]],Inventory[Product Name],Inventory[Sale Price]))</f>
        <v/>
      </c>
      <c r="I1668" s="19" t="str">
        <f>IFERROR(G1668*H1668,"")</f>
        <v/>
      </c>
      <c r="J1668" s="19"/>
    </row>
    <row r="1669" spans="1:10" ht="21">
      <c r="A1669" s="14">
        <v>1664</v>
      </c>
      <c r="C1669" s="16"/>
      <c r="D1669" s="14" t="str">
        <f>IF(Sales[[#This Row],[Product ID]]="","",Sales[[#This Row],[Date]]&amp;Sales[[#This Row],[Invoice no]])</f>
        <v/>
      </c>
      <c r="E16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69" s="19" t="str">
        <f>IF(_xlfn.XLOOKUP(Sales[[#This Row],[Product Name]],Inventory[Product Name],Inventory[Sale Price],"")=0,"",_xlfn.XLOOKUP(Sales[[#This Row],[Product Name]],Inventory[Product Name],Inventory[Sale Price]))</f>
        <v/>
      </c>
      <c r="I1669" s="19" t="str">
        <f>IFERROR(G1669*H1669,"")</f>
        <v/>
      </c>
      <c r="J1669" s="19"/>
    </row>
    <row r="1670" spans="1:10" ht="21">
      <c r="A1670" s="14">
        <v>1665</v>
      </c>
      <c r="C1670" s="16"/>
      <c r="D1670" s="14" t="str">
        <f>IF(Sales[[#This Row],[Product ID]]="","",Sales[[#This Row],[Date]]&amp;Sales[[#This Row],[Invoice no]])</f>
        <v/>
      </c>
      <c r="E16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0" s="19" t="str">
        <f>IF(_xlfn.XLOOKUP(Sales[[#This Row],[Product Name]],Inventory[Product Name],Inventory[Sale Price],"")=0,"",_xlfn.XLOOKUP(Sales[[#This Row],[Product Name]],Inventory[Product Name],Inventory[Sale Price]))</f>
        <v/>
      </c>
      <c r="I1670" s="19" t="str">
        <f>IFERROR(G1670*H1670,"")</f>
        <v/>
      </c>
      <c r="J1670" s="19"/>
    </row>
    <row r="1671" spans="1:10" ht="21">
      <c r="A1671" s="14">
        <v>1666</v>
      </c>
      <c r="C1671" s="16"/>
      <c r="D1671" s="14" t="str">
        <f>IF(Sales[[#This Row],[Product ID]]="","",Sales[[#This Row],[Date]]&amp;Sales[[#This Row],[Invoice no]])</f>
        <v/>
      </c>
      <c r="E16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1" s="19" t="str">
        <f>IF(_xlfn.XLOOKUP(Sales[[#This Row],[Product Name]],Inventory[Product Name],Inventory[Sale Price],"")=0,"",_xlfn.XLOOKUP(Sales[[#This Row],[Product Name]],Inventory[Product Name],Inventory[Sale Price]))</f>
        <v/>
      </c>
      <c r="I1671" s="19" t="str">
        <f>IFERROR(G1671*H1671,"")</f>
        <v/>
      </c>
      <c r="J1671" s="19"/>
    </row>
    <row r="1672" spans="1:10" ht="21">
      <c r="A1672" s="14">
        <v>1667</v>
      </c>
      <c r="C1672" s="16"/>
      <c r="D1672" s="14" t="str">
        <f>IF(Sales[[#This Row],[Product ID]]="","",Sales[[#This Row],[Date]]&amp;Sales[[#This Row],[Invoice no]])</f>
        <v/>
      </c>
      <c r="E16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2" s="19" t="str">
        <f>IF(_xlfn.XLOOKUP(Sales[[#This Row],[Product Name]],Inventory[Product Name],Inventory[Sale Price],"")=0,"",_xlfn.XLOOKUP(Sales[[#This Row],[Product Name]],Inventory[Product Name],Inventory[Sale Price]))</f>
        <v/>
      </c>
      <c r="I1672" s="19" t="str">
        <f>IFERROR(G1672*H1672,"")</f>
        <v/>
      </c>
      <c r="J1672" s="19"/>
    </row>
    <row r="1673" spans="1:10" ht="21">
      <c r="A1673" s="14">
        <v>1668</v>
      </c>
      <c r="C1673" s="16"/>
      <c r="D1673" s="14" t="str">
        <f>IF(Sales[[#This Row],[Product ID]]="","",Sales[[#This Row],[Date]]&amp;Sales[[#This Row],[Invoice no]])</f>
        <v/>
      </c>
      <c r="E16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3" s="19" t="str">
        <f>IF(_xlfn.XLOOKUP(Sales[[#This Row],[Product Name]],Inventory[Product Name],Inventory[Sale Price],"")=0,"",_xlfn.XLOOKUP(Sales[[#This Row],[Product Name]],Inventory[Product Name],Inventory[Sale Price]))</f>
        <v/>
      </c>
      <c r="I1673" s="19" t="str">
        <f>IFERROR(G1673*H1673,"")</f>
        <v/>
      </c>
      <c r="J1673" s="19"/>
    </row>
    <row r="1674" spans="1:10" ht="21">
      <c r="A1674" s="14">
        <v>1669</v>
      </c>
      <c r="C1674" s="16"/>
      <c r="D1674" s="14" t="str">
        <f>IF(Sales[[#This Row],[Product ID]]="","",Sales[[#This Row],[Date]]&amp;Sales[[#This Row],[Invoice no]])</f>
        <v/>
      </c>
      <c r="E16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4" s="19" t="str">
        <f>IF(_xlfn.XLOOKUP(Sales[[#This Row],[Product Name]],Inventory[Product Name],Inventory[Sale Price],"")=0,"",_xlfn.XLOOKUP(Sales[[#This Row],[Product Name]],Inventory[Product Name],Inventory[Sale Price]))</f>
        <v/>
      </c>
      <c r="I1674" s="19" t="str">
        <f>IFERROR(G1674*H1674,"")</f>
        <v/>
      </c>
      <c r="J1674" s="19"/>
    </row>
    <row r="1675" spans="1:10" ht="21">
      <c r="A1675" s="14">
        <v>1670</v>
      </c>
      <c r="C1675" s="16"/>
      <c r="D1675" s="14" t="str">
        <f>IF(Sales[[#This Row],[Product ID]]="","",Sales[[#This Row],[Date]]&amp;Sales[[#This Row],[Invoice no]])</f>
        <v/>
      </c>
      <c r="E16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5" s="19" t="str">
        <f>IF(_xlfn.XLOOKUP(Sales[[#This Row],[Product Name]],Inventory[Product Name],Inventory[Sale Price],"")=0,"",_xlfn.XLOOKUP(Sales[[#This Row],[Product Name]],Inventory[Product Name],Inventory[Sale Price]))</f>
        <v/>
      </c>
      <c r="I1675" s="19" t="str">
        <f>IFERROR(G1675*H1675,"")</f>
        <v/>
      </c>
      <c r="J1675" s="19"/>
    </row>
    <row r="1676" spans="1:10" ht="21">
      <c r="A1676" s="14">
        <v>1671</v>
      </c>
      <c r="C1676" s="16"/>
      <c r="D1676" s="14" t="str">
        <f>IF(Sales[[#This Row],[Product ID]]="","",Sales[[#This Row],[Date]]&amp;Sales[[#This Row],[Invoice no]])</f>
        <v/>
      </c>
      <c r="E16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6" s="19" t="str">
        <f>IF(_xlfn.XLOOKUP(Sales[[#This Row],[Product Name]],Inventory[Product Name],Inventory[Sale Price],"")=0,"",_xlfn.XLOOKUP(Sales[[#This Row],[Product Name]],Inventory[Product Name],Inventory[Sale Price]))</f>
        <v/>
      </c>
      <c r="I1676" s="19" t="str">
        <f>IFERROR(G1676*H1676,"")</f>
        <v/>
      </c>
      <c r="J1676" s="19"/>
    </row>
    <row r="1677" spans="1:10" ht="21">
      <c r="A1677" s="14">
        <v>1672</v>
      </c>
      <c r="C1677" s="16"/>
      <c r="D1677" s="14" t="str">
        <f>IF(Sales[[#This Row],[Product ID]]="","",Sales[[#This Row],[Date]]&amp;Sales[[#This Row],[Invoice no]])</f>
        <v/>
      </c>
      <c r="E16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7" s="19" t="str">
        <f>IF(_xlfn.XLOOKUP(Sales[[#This Row],[Product Name]],Inventory[Product Name],Inventory[Sale Price],"")=0,"",_xlfn.XLOOKUP(Sales[[#This Row],[Product Name]],Inventory[Product Name],Inventory[Sale Price]))</f>
        <v/>
      </c>
      <c r="I1677" s="19" t="str">
        <f>IFERROR(G1677*H1677,"")</f>
        <v/>
      </c>
      <c r="J1677" s="19"/>
    </row>
    <row r="1678" spans="1:10" ht="21">
      <c r="A1678" s="14">
        <v>1673</v>
      </c>
      <c r="C1678" s="16"/>
      <c r="D1678" s="14" t="str">
        <f>IF(Sales[[#This Row],[Product ID]]="","",Sales[[#This Row],[Date]]&amp;Sales[[#This Row],[Invoice no]])</f>
        <v/>
      </c>
      <c r="E16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8" s="19" t="str">
        <f>IF(_xlfn.XLOOKUP(Sales[[#This Row],[Product Name]],Inventory[Product Name],Inventory[Sale Price],"")=0,"",_xlfn.XLOOKUP(Sales[[#This Row],[Product Name]],Inventory[Product Name],Inventory[Sale Price]))</f>
        <v/>
      </c>
      <c r="I1678" s="19" t="str">
        <f>IFERROR(G1678*H1678,"")</f>
        <v/>
      </c>
      <c r="J1678" s="19"/>
    </row>
    <row r="1679" spans="1:10" ht="21">
      <c r="A1679" s="14">
        <v>1674</v>
      </c>
      <c r="C1679" s="16"/>
      <c r="D1679" s="14" t="str">
        <f>IF(Sales[[#This Row],[Product ID]]="","",Sales[[#This Row],[Date]]&amp;Sales[[#This Row],[Invoice no]])</f>
        <v/>
      </c>
      <c r="E16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79" s="19" t="str">
        <f>IF(_xlfn.XLOOKUP(Sales[[#This Row],[Product Name]],Inventory[Product Name],Inventory[Sale Price],"")=0,"",_xlfn.XLOOKUP(Sales[[#This Row],[Product Name]],Inventory[Product Name],Inventory[Sale Price]))</f>
        <v/>
      </c>
      <c r="I1679" s="19" t="str">
        <f>IFERROR(G1679*H1679,"")</f>
        <v/>
      </c>
      <c r="J1679" s="19"/>
    </row>
    <row r="1680" spans="1:10" ht="21">
      <c r="A1680" s="14">
        <v>1675</v>
      </c>
      <c r="C1680" s="16"/>
      <c r="D1680" s="14" t="str">
        <f>IF(Sales[[#This Row],[Product ID]]="","",Sales[[#This Row],[Date]]&amp;Sales[[#This Row],[Invoice no]])</f>
        <v/>
      </c>
      <c r="E16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0" s="19" t="str">
        <f>IF(_xlfn.XLOOKUP(Sales[[#This Row],[Product Name]],Inventory[Product Name],Inventory[Sale Price],"")=0,"",_xlfn.XLOOKUP(Sales[[#This Row],[Product Name]],Inventory[Product Name],Inventory[Sale Price]))</f>
        <v/>
      </c>
      <c r="I1680" s="19" t="str">
        <f>IFERROR(G1680*H1680,"")</f>
        <v/>
      </c>
      <c r="J1680" s="19"/>
    </row>
    <row r="1681" spans="1:10" ht="21">
      <c r="A1681" s="14">
        <v>1676</v>
      </c>
      <c r="C1681" s="16"/>
      <c r="D1681" s="14" t="str">
        <f>IF(Sales[[#This Row],[Product ID]]="","",Sales[[#This Row],[Date]]&amp;Sales[[#This Row],[Invoice no]])</f>
        <v/>
      </c>
      <c r="E16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1" s="19" t="str">
        <f>IF(_xlfn.XLOOKUP(Sales[[#This Row],[Product Name]],Inventory[Product Name],Inventory[Sale Price],"")=0,"",_xlfn.XLOOKUP(Sales[[#This Row],[Product Name]],Inventory[Product Name],Inventory[Sale Price]))</f>
        <v/>
      </c>
      <c r="I1681" s="19" t="str">
        <f>IFERROR(G1681*H1681,"")</f>
        <v/>
      </c>
      <c r="J1681" s="19"/>
    </row>
    <row r="1682" spans="1:10" ht="21">
      <c r="A1682" s="14">
        <v>1677</v>
      </c>
      <c r="C1682" s="16"/>
      <c r="D1682" s="14" t="str">
        <f>IF(Sales[[#This Row],[Product ID]]="","",Sales[[#This Row],[Date]]&amp;Sales[[#This Row],[Invoice no]])</f>
        <v/>
      </c>
      <c r="E16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2" s="19" t="str">
        <f>IF(_xlfn.XLOOKUP(Sales[[#This Row],[Product Name]],Inventory[Product Name],Inventory[Sale Price],"")=0,"",_xlfn.XLOOKUP(Sales[[#This Row],[Product Name]],Inventory[Product Name],Inventory[Sale Price]))</f>
        <v/>
      </c>
      <c r="I1682" s="19" t="str">
        <f>IFERROR(G1682*H1682,"")</f>
        <v/>
      </c>
      <c r="J1682" s="19"/>
    </row>
    <row r="1683" spans="1:10" ht="21">
      <c r="A1683" s="14">
        <v>1678</v>
      </c>
      <c r="C1683" s="16"/>
      <c r="D1683" s="14" t="str">
        <f>IF(Sales[[#This Row],[Product ID]]="","",Sales[[#This Row],[Date]]&amp;Sales[[#This Row],[Invoice no]])</f>
        <v/>
      </c>
      <c r="E16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3" s="19" t="str">
        <f>IF(_xlfn.XLOOKUP(Sales[[#This Row],[Product Name]],Inventory[Product Name],Inventory[Sale Price],"")=0,"",_xlfn.XLOOKUP(Sales[[#This Row],[Product Name]],Inventory[Product Name],Inventory[Sale Price]))</f>
        <v/>
      </c>
      <c r="I1683" s="19" t="str">
        <f>IFERROR(G1683*H1683,"")</f>
        <v/>
      </c>
      <c r="J1683" s="19"/>
    </row>
    <row r="1684" spans="1:10" ht="21">
      <c r="A1684" s="14">
        <v>1679</v>
      </c>
      <c r="C1684" s="16"/>
      <c r="D1684" s="14" t="str">
        <f>IF(Sales[[#This Row],[Product ID]]="","",Sales[[#This Row],[Date]]&amp;Sales[[#This Row],[Invoice no]])</f>
        <v/>
      </c>
      <c r="E16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4" s="19" t="str">
        <f>IF(_xlfn.XLOOKUP(Sales[[#This Row],[Product Name]],Inventory[Product Name],Inventory[Sale Price],"")=0,"",_xlfn.XLOOKUP(Sales[[#This Row],[Product Name]],Inventory[Product Name],Inventory[Sale Price]))</f>
        <v/>
      </c>
      <c r="I1684" s="19" t="str">
        <f>IFERROR(G1684*H1684,"")</f>
        <v/>
      </c>
      <c r="J1684" s="19"/>
    </row>
    <row r="1685" spans="1:10" ht="21">
      <c r="A1685" s="14">
        <v>1680</v>
      </c>
      <c r="C1685" s="16"/>
      <c r="D1685" s="14" t="str">
        <f>IF(Sales[[#This Row],[Product ID]]="","",Sales[[#This Row],[Date]]&amp;Sales[[#This Row],[Invoice no]])</f>
        <v/>
      </c>
      <c r="E16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5" s="19" t="str">
        <f>IF(_xlfn.XLOOKUP(Sales[[#This Row],[Product Name]],Inventory[Product Name],Inventory[Sale Price],"")=0,"",_xlfn.XLOOKUP(Sales[[#This Row],[Product Name]],Inventory[Product Name],Inventory[Sale Price]))</f>
        <v/>
      </c>
      <c r="I1685" s="19" t="str">
        <f>IFERROR(G1685*H1685,"")</f>
        <v/>
      </c>
      <c r="J1685" s="19"/>
    </row>
    <row r="1686" spans="1:10" ht="21">
      <c r="A1686" s="14">
        <v>1681</v>
      </c>
      <c r="C1686" s="16"/>
      <c r="D1686" s="14" t="str">
        <f>IF(Sales[[#This Row],[Product ID]]="","",Sales[[#This Row],[Date]]&amp;Sales[[#This Row],[Invoice no]])</f>
        <v/>
      </c>
      <c r="E16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6" s="19" t="str">
        <f>IF(_xlfn.XLOOKUP(Sales[[#This Row],[Product Name]],Inventory[Product Name],Inventory[Sale Price],"")=0,"",_xlfn.XLOOKUP(Sales[[#This Row],[Product Name]],Inventory[Product Name],Inventory[Sale Price]))</f>
        <v/>
      </c>
      <c r="I1686" s="19" t="str">
        <f>IFERROR(G1686*H1686,"")</f>
        <v/>
      </c>
      <c r="J1686" s="19"/>
    </row>
    <row r="1687" spans="1:10" ht="21">
      <c r="A1687" s="14">
        <v>1682</v>
      </c>
      <c r="C1687" s="16"/>
      <c r="D1687" s="14" t="str">
        <f>IF(Sales[[#This Row],[Product ID]]="","",Sales[[#This Row],[Date]]&amp;Sales[[#This Row],[Invoice no]])</f>
        <v/>
      </c>
      <c r="E16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7" s="19" t="str">
        <f>IF(_xlfn.XLOOKUP(Sales[[#This Row],[Product Name]],Inventory[Product Name],Inventory[Sale Price],"")=0,"",_xlfn.XLOOKUP(Sales[[#This Row],[Product Name]],Inventory[Product Name],Inventory[Sale Price]))</f>
        <v/>
      </c>
      <c r="I1687" s="19" t="str">
        <f>IFERROR(G1687*H1687,"")</f>
        <v/>
      </c>
      <c r="J1687" s="19"/>
    </row>
    <row r="1688" spans="1:10" ht="21">
      <c r="A1688" s="14">
        <v>1683</v>
      </c>
      <c r="C1688" s="16"/>
      <c r="D1688" s="14" t="str">
        <f>IF(Sales[[#This Row],[Product ID]]="","",Sales[[#This Row],[Date]]&amp;Sales[[#This Row],[Invoice no]])</f>
        <v/>
      </c>
      <c r="E16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8" s="19" t="str">
        <f>IF(_xlfn.XLOOKUP(Sales[[#This Row],[Product Name]],Inventory[Product Name],Inventory[Sale Price],"")=0,"",_xlfn.XLOOKUP(Sales[[#This Row],[Product Name]],Inventory[Product Name],Inventory[Sale Price]))</f>
        <v/>
      </c>
      <c r="I1688" s="19" t="str">
        <f>IFERROR(G1688*H1688,"")</f>
        <v/>
      </c>
      <c r="J1688" s="19"/>
    </row>
    <row r="1689" spans="1:10" ht="21">
      <c r="A1689" s="14">
        <v>1684</v>
      </c>
      <c r="C1689" s="16"/>
      <c r="D1689" s="14" t="str">
        <f>IF(Sales[[#This Row],[Product ID]]="","",Sales[[#This Row],[Date]]&amp;Sales[[#This Row],[Invoice no]])</f>
        <v/>
      </c>
      <c r="E16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89" s="19" t="str">
        <f>IF(_xlfn.XLOOKUP(Sales[[#This Row],[Product Name]],Inventory[Product Name],Inventory[Sale Price],"")=0,"",_xlfn.XLOOKUP(Sales[[#This Row],[Product Name]],Inventory[Product Name],Inventory[Sale Price]))</f>
        <v/>
      </c>
      <c r="I1689" s="19" t="str">
        <f>IFERROR(G1689*H1689,"")</f>
        <v/>
      </c>
      <c r="J1689" s="19"/>
    </row>
    <row r="1690" spans="1:10" ht="21">
      <c r="A1690" s="14">
        <v>1685</v>
      </c>
      <c r="C1690" s="16"/>
      <c r="D1690" s="14" t="str">
        <f>IF(Sales[[#This Row],[Product ID]]="","",Sales[[#This Row],[Date]]&amp;Sales[[#This Row],[Invoice no]])</f>
        <v/>
      </c>
      <c r="E16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0" s="19" t="str">
        <f>IF(_xlfn.XLOOKUP(Sales[[#This Row],[Product Name]],Inventory[Product Name],Inventory[Sale Price],"")=0,"",_xlfn.XLOOKUP(Sales[[#This Row],[Product Name]],Inventory[Product Name],Inventory[Sale Price]))</f>
        <v/>
      </c>
      <c r="I1690" s="19" t="str">
        <f>IFERROR(G1690*H1690,"")</f>
        <v/>
      </c>
      <c r="J1690" s="19"/>
    </row>
    <row r="1691" spans="1:10" ht="21">
      <c r="A1691" s="14">
        <v>1686</v>
      </c>
      <c r="C1691" s="16"/>
      <c r="D1691" s="14" t="str">
        <f>IF(Sales[[#This Row],[Product ID]]="","",Sales[[#This Row],[Date]]&amp;Sales[[#This Row],[Invoice no]])</f>
        <v/>
      </c>
      <c r="E16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1" s="19" t="str">
        <f>IF(_xlfn.XLOOKUP(Sales[[#This Row],[Product Name]],Inventory[Product Name],Inventory[Sale Price],"")=0,"",_xlfn.XLOOKUP(Sales[[#This Row],[Product Name]],Inventory[Product Name],Inventory[Sale Price]))</f>
        <v/>
      </c>
      <c r="I1691" s="19" t="str">
        <f>IFERROR(G1691*H1691,"")</f>
        <v/>
      </c>
      <c r="J1691" s="19"/>
    </row>
    <row r="1692" spans="1:10" ht="21">
      <c r="A1692" s="14">
        <v>1687</v>
      </c>
      <c r="C1692" s="16"/>
      <c r="D1692" s="14" t="str">
        <f>IF(Sales[[#This Row],[Product ID]]="","",Sales[[#This Row],[Date]]&amp;Sales[[#This Row],[Invoice no]])</f>
        <v/>
      </c>
      <c r="E16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2" s="19" t="str">
        <f>IF(_xlfn.XLOOKUP(Sales[[#This Row],[Product Name]],Inventory[Product Name],Inventory[Sale Price],"")=0,"",_xlfn.XLOOKUP(Sales[[#This Row],[Product Name]],Inventory[Product Name],Inventory[Sale Price]))</f>
        <v/>
      </c>
      <c r="I1692" s="19" t="str">
        <f>IFERROR(G1692*H1692,"")</f>
        <v/>
      </c>
      <c r="J1692" s="19"/>
    </row>
    <row r="1693" spans="1:10" ht="21">
      <c r="A1693" s="14">
        <v>1688</v>
      </c>
      <c r="C1693" s="16"/>
      <c r="D1693" s="14" t="str">
        <f>IF(Sales[[#This Row],[Product ID]]="","",Sales[[#This Row],[Date]]&amp;Sales[[#This Row],[Invoice no]])</f>
        <v/>
      </c>
      <c r="E16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3" s="19" t="str">
        <f>IF(_xlfn.XLOOKUP(Sales[[#This Row],[Product Name]],Inventory[Product Name],Inventory[Sale Price],"")=0,"",_xlfn.XLOOKUP(Sales[[#This Row],[Product Name]],Inventory[Product Name],Inventory[Sale Price]))</f>
        <v/>
      </c>
      <c r="I1693" s="19" t="str">
        <f>IFERROR(G1693*H1693,"")</f>
        <v/>
      </c>
      <c r="J1693" s="19"/>
    </row>
    <row r="1694" spans="1:10" ht="21">
      <c r="A1694" s="14">
        <v>1689</v>
      </c>
      <c r="C1694" s="16"/>
      <c r="D1694" s="14" t="str">
        <f>IF(Sales[[#This Row],[Product ID]]="","",Sales[[#This Row],[Date]]&amp;Sales[[#This Row],[Invoice no]])</f>
        <v/>
      </c>
      <c r="E16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4" s="19" t="str">
        <f>IF(_xlfn.XLOOKUP(Sales[[#This Row],[Product Name]],Inventory[Product Name],Inventory[Sale Price],"")=0,"",_xlfn.XLOOKUP(Sales[[#This Row],[Product Name]],Inventory[Product Name],Inventory[Sale Price]))</f>
        <v/>
      </c>
      <c r="I1694" s="19" t="str">
        <f>IFERROR(G1694*H1694,"")</f>
        <v/>
      </c>
      <c r="J1694" s="19"/>
    </row>
    <row r="1695" spans="1:10" ht="21">
      <c r="A1695" s="14">
        <v>1690</v>
      </c>
      <c r="C1695" s="16"/>
      <c r="D1695" s="14" t="str">
        <f>IF(Sales[[#This Row],[Product ID]]="","",Sales[[#This Row],[Date]]&amp;Sales[[#This Row],[Invoice no]])</f>
        <v/>
      </c>
      <c r="E16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5" s="19" t="str">
        <f>IF(_xlfn.XLOOKUP(Sales[[#This Row],[Product Name]],Inventory[Product Name],Inventory[Sale Price],"")=0,"",_xlfn.XLOOKUP(Sales[[#This Row],[Product Name]],Inventory[Product Name],Inventory[Sale Price]))</f>
        <v/>
      </c>
      <c r="I1695" s="19" t="str">
        <f>IFERROR(G1695*H1695,"")</f>
        <v/>
      </c>
      <c r="J1695" s="19"/>
    </row>
    <row r="1696" spans="1:10" ht="21">
      <c r="A1696" s="14">
        <v>1691</v>
      </c>
      <c r="C1696" s="16"/>
      <c r="D1696" s="14" t="str">
        <f>IF(Sales[[#This Row],[Product ID]]="","",Sales[[#This Row],[Date]]&amp;Sales[[#This Row],[Invoice no]])</f>
        <v/>
      </c>
      <c r="E16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6" s="19" t="str">
        <f>IF(_xlfn.XLOOKUP(Sales[[#This Row],[Product Name]],Inventory[Product Name],Inventory[Sale Price],"")=0,"",_xlfn.XLOOKUP(Sales[[#This Row],[Product Name]],Inventory[Product Name],Inventory[Sale Price]))</f>
        <v/>
      </c>
      <c r="I1696" s="19" t="str">
        <f>IFERROR(G1696*H1696,"")</f>
        <v/>
      </c>
      <c r="J1696" s="19"/>
    </row>
    <row r="1697" spans="1:10" ht="21">
      <c r="A1697" s="14">
        <v>1692</v>
      </c>
      <c r="C1697" s="16"/>
      <c r="D1697" s="14" t="str">
        <f>IF(Sales[[#This Row],[Product ID]]="","",Sales[[#This Row],[Date]]&amp;Sales[[#This Row],[Invoice no]])</f>
        <v/>
      </c>
      <c r="E16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7" s="19" t="str">
        <f>IF(_xlfn.XLOOKUP(Sales[[#This Row],[Product Name]],Inventory[Product Name],Inventory[Sale Price],"")=0,"",_xlfn.XLOOKUP(Sales[[#This Row],[Product Name]],Inventory[Product Name],Inventory[Sale Price]))</f>
        <v/>
      </c>
      <c r="I1697" s="19" t="str">
        <f>IFERROR(G1697*H1697,"")</f>
        <v/>
      </c>
      <c r="J1697" s="19"/>
    </row>
    <row r="1698" spans="1:10" ht="21">
      <c r="A1698" s="14">
        <v>1693</v>
      </c>
      <c r="C1698" s="16"/>
      <c r="D1698" s="14" t="str">
        <f>IF(Sales[[#This Row],[Product ID]]="","",Sales[[#This Row],[Date]]&amp;Sales[[#This Row],[Invoice no]])</f>
        <v/>
      </c>
      <c r="E16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8" s="19" t="str">
        <f>IF(_xlfn.XLOOKUP(Sales[[#This Row],[Product Name]],Inventory[Product Name],Inventory[Sale Price],"")=0,"",_xlfn.XLOOKUP(Sales[[#This Row],[Product Name]],Inventory[Product Name],Inventory[Sale Price]))</f>
        <v/>
      </c>
      <c r="I1698" s="19" t="str">
        <f>IFERROR(G1698*H1698,"")</f>
        <v/>
      </c>
      <c r="J1698" s="19"/>
    </row>
    <row r="1699" spans="1:10" ht="21">
      <c r="A1699" s="14">
        <v>1694</v>
      </c>
      <c r="C1699" s="16"/>
      <c r="D1699" s="14" t="str">
        <f>IF(Sales[[#This Row],[Product ID]]="","",Sales[[#This Row],[Date]]&amp;Sales[[#This Row],[Invoice no]])</f>
        <v/>
      </c>
      <c r="E16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699" s="19" t="str">
        <f>IF(_xlfn.XLOOKUP(Sales[[#This Row],[Product Name]],Inventory[Product Name],Inventory[Sale Price],"")=0,"",_xlfn.XLOOKUP(Sales[[#This Row],[Product Name]],Inventory[Product Name],Inventory[Sale Price]))</f>
        <v/>
      </c>
      <c r="I1699" s="19" t="str">
        <f>IFERROR(G1699*H1699,"")</f>
        <v/>
      </c>
      <c r="J1699" s="19"/>
    </row>
    <row r="1700" spans="1:10" ht="21">
      <c r="A1700" s="14">
        <v>1695</v>
      </c>
      <c r="C1700" s="16"/>
      <c r="D1700" s="14" t="str">
        <f>IF(Sales[[#This Row],[Product ID]]="","",Sales[[#This Row],[Date]]&amp;Sales[[#This Row],[Invoice no]])</f>
        <v/>
      </c>
      <c r="E17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0" s="19" t="str">
        <f>IF(_xlfn.XLOOKUP(Sales[[#This Row],[Product Name]],Inventory[Product Name],Inventory[Sale Price],"")=0,"",_xlfn.XLOOKUP(Sales[[#This Row],[Product Name]],Inventory[Product Name],Inventory[Sale Price]))</f>
        <v/>
      </c>
      <c r="I1700" s="19" t="str">
        <f>IFERROR(G1700*H1700,"")</f>
        <v/>
      </c>
      <c r="J1700" s="19"/>
    </row>
    <row r="1701" spans="1:10" ht="21">
      <c r="A1701" s="14">
        <v>1696</v>
      </c>
      <c r="C1701" s="16"/>
      <c r="D1701" s="14" t="str">
        <f>IF(Sales[[#This Row],[Product ID]]="","",Sales[[#This Row],[Date]]&amp;Sales[[#This Row],[Invoice no]])</f>
        <v/>
      </c>
      <c r="E17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1" s="19" t="str">
        <f>IF(_xlfn.XLOOKUP(Sales[[#This Row],[Product Name]],Inventory[Product Name],Inventory[Sale Price],"")=0,"",_xlfn.XLOOKUP(Sales[[#This Row],[Product Name]],Inventory[Product Name],Inventory[Sale Price]))</f>
        <v/>
      </c>
      <c r="I1701" s="19" t="str">
        <f>IFERROR(G1701*H1701,"")</f>
        <v/>
      </c>
      <c r="J1701" s="19"/>
    </row>
    <row r="1702" spans="1:10" ht="21">
      <c r="A1702" s="14">
        <v>1697</v>
      </c>
      <c r="C1702" s="16"/>
      <c r="D1702" s="14" t="str">
        <f>IF(Sales[[#This Row],[Product ID]]="","",Sales[[#This Row],[Date]]&amp;Sales[[#This Row],[Invoice no]])</f>
        <v/>
      </c>
      <c r="E17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2" s="19" t="str">
        <f>IF(_xlfn.XLOOKUP(Sales[[#This Row],[Product Name]],Inventory[Product Name],Inventory[Sale Price],"")=0,"",_xlfn.XLOOKUP(Sales[[#This Row],[Product Name]],Inventory[Product Name],Inventory[Sale Price]))</f>
        <v/>
      </c>
      <c r="I1702" s="19" t="str">
        <f>IFERROR(G1702*H1702,"")</f>
        <v/>
      </c>
      <c r="J1702" s="19"/>
    </row>
    <row r="1703" spans="1:10" ht="21">
      <c r="A1703" s="14">
        <v>1698</v>
      </c>
      <c r="C1703" s="16"/>
      <c r="D1703" s="14" t="str">
        <f>IF(Sales[[#This Row],[Product ID]]="","",Sales[[#This Row],[Date]]&amp;Sales[[#This Row],[Invoice no]])</f>
        <v/>
      </c>
      <c r="E17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3" s="19" t="str">
        <f>IF(_xlfn.XLOOKUP(Sales[[#This Row],[Product Name]],Inventory[Product Name],Inventory[Sale Price],"")=0,"",_xlfn.XLOOKUP(Sales[[#This Row],[Product Name]],Inventory[Product Name],Inventory[Sale Price]))</f>
        <v/>
      </c>
      <c r="I1703" s="19" t="str">
        <f>IFERROR(G1703*H1703,"")</f>
        <v/>
      </c>
      <c r="J1703" s="19"/>
    </row>
    <row r="1704" spans="1:10" ht="21">
      <c r="A1704" s="14">
        <v>1699</v>
      </c>
      <c r="C1704" s="16"/>
      <c r="D1704" s="14" t="str">
        <f>IF(Sales[[#This Row],[Product ID]]="","",Sales[[#This Row],[Date]]&amp;Sales[[#This Row],[Invoice no]])</f>
        <v/>
      </c>
      <c r="E17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4" s="19" t="str">
        <f>IF(_xlfn.XLOOKUP(Sales[[#This Row],[Product Name]],Inventory[Product Name],Inventory[Sale Price],"")=0,"",_xlfn.XLOOKUP(Sales[[#This Row],[Product Name]],Inventory[Product Name],Inventory[Sale Price]))</f>
        <v/>
      </c>
      <c r="I1704" s="19" t="str">
        <f>IFERROR(G1704*H1704,"")</f>
        <v/>
      </c>
      <c r="J1704" s="19"/>
    </row>
    <row r="1705" spans="1:10" ht="21">
      <c r="A1705" s="14">
        <v>1700</v>
      </c>
      <c r="C1705" s="16"/>
      <c r="D1705" s="14" t="str">
        <f>IF(Sales[[#This Row],[Product ID]]="","",Sales[[#This Row],[Date]]&amp;Sales[[#This Row],[Invoice no]])</f>
        <v/>
      </c>
      <c r="E17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5" s="19" t="str">
        <f>IF(_xlfn.XLOOKUP(Sales[[#This Row],[Product Name]],Inventory[Product Name],Inventory[Sale Price],"")=0,"",_xlfn.XLOOKUP(Sales[[#This Row],[Product Name]],Inventory[Product Name],Inventory[Sale Price]))</f>
        <v/>
      </c>
      <c r="I1705" s="19" t="str">
        <f>IFERROR(G1705*H1705,"")</f>
        <v/>
      </c>
      <c r="J1705" s="19"/>
    </row>
    <row r="1706" spans="1:10" ht="21">
      <c r="A1706" s="14">
        <v>1701</v>
      </c>
      <c r="C1706" s="16"/>
      <c r="D1706" s="14" t="str">
        <f>IF(Sales[[#This Row],[Product ID]]="","",Sales[[#This Row],[Date]]&amp;Sales[[#This Row],[Invoice no]])</f>
        <v/>
      </c>
      <c r="E17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6" s="19" t="str">
        <f>IF(_xlfn.XLOOKUP(Sales[[#This Row],[Product Name]],Inventory[Product Name],Inventory[Sale Price],"")=0,"",_xlfn.XLOOKUP(Sales[[#This Row],[Product Name]],Inventory[Product Name],Inventory[Sale Price]))</f>
        <v/>
      </c>
      <c r="I1706" s="19" t="str">
        <f>IFERROR(G1706*H1706,"")</f>
        <v/>
      </c>
      <c r="J1706" s="19"/>
    </row>
    <row r="1707" spans="1:10" ht="21">
      <c r="A1707" s="14">
        <v>1702</v>
      </c>
      <c r="C1707" s="16"/>
      <c r="D1707" s="14" t="str">
        <f>IF(Sales[[#This Row],[Product ID]]="","",Sales[[#This Row],[Date]]&amp;Sales[[#This Row],[Invoice no]])</f>
        <v/>
      </c>
      <c r="E17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7" s="19" t="str">
        <f>IF(_xlfn.XLOOKUP(Sales[[#This Row],[Product Name]],Inventory[Product Name],Inventory[Sale Price],"")=0,"",_xlfn.XLOOKUP(Sales[[#This Row],[Product Name]],Inventory[Product Name],Inventory[Sale Price]))</f>
        <v/>
      </c>
      <c r="I1707" s="19" t="str">
        <f>IFERROR(G1707*H1707,"")</f>
        <v/>
      </c>
      <c r="J1707" s="19"/>
    </row>
    <row r="1708" spans="1:10" ht="21">
      <c r="A1708" s="14">
        <v>1703</v>
      </c>
      <c r="C1708" s="16"/>
      <c r="D1708" s="14" t="str">
        <f>IF(Sales[[#This Row],[Product ID]]="","",Sales[[#This Row],[Date]]&amp;Sales[[#This Row],[Invoice no]])</f>
        <v/>
      </c>
      <c r="E17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8" s="19" t="str">
        <f>IF(_xlfn.XLOOKUP(Sales[[#This Row],[Product Name]],Inventory[Product Name],Inventory[Sale Price],"")=0,"",_xlfn.XLOOKUP(Sales[[#This Row],[Product Name]],Inventory[Product Name],Inventory[Sale Price]))</f>
        <v/>
      </c>
      <c r="I1708" s="19" t="str">
        <f>IFERROR(G1708*H1708,"")</f>
        <v/>
      </c>
      <c r="J1708" s="19"/>
    </row>
    <row r="1709" spans="1:10" ht="21">
      <c r="A1709" s="14">
        <v>1704</v>
      </c>
      <c r="C1709" s="16"/>
      <c r="D1709" s="14" t="str">
        <f>IF(Sales[[#This Row],[Product ID]]="","",Sales[[#This Row],[Date]]&amp;Sales[[#This Row],[Invoice no]])</f>
        <v/>
      </c>
      <c r="E17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09" s="19" t="str">
        <f>IF(_xlfn.XLOOKUP(Sales[[#This Row],[Product Name]],Inventory[Product Name],Inventory[Sale Price],"")=0,"",_xlfn.XLOOKUP(Sales[[#This Row],[Product Name]],Inventory[Product Name],Inventory[Sale Price]))</f>
        <v/>
      </c>
      <c r="I1709" s="19" t="str">
        <f>IFERROR(G1709*H1709,"")</f>
        <v/>
      </c>
      <c r="J1709" s="19"/>
    </row>
    <row r="1710" spans="1:10" ht="21">
      <c r="A1710" s="14">
        <v>1705</v>
      </c>
      <c r="C1710" s="16"/>
      <c r="D1710" s="14" t="str">
        <f>IF(Sales[[#This Row],[Product ID]]="","",Sales[[#This Row],[Date]]&amp;Sales[[#This Row],[Invoice no]])</f>
        <v/>
      </c>
      <c r="E17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0" s="19" t="str">
        <f>IF(_xlfn.XLOOKUP(Sales[[#This Row],[Product Name]],Inventory[Product Name],Inventory[Sale Price],"")=0,"",_xlfn.XLOOKUP(Sales[[#This Row],[Product Name]],Inventory[Product Name],Inventory[Sale Price]))</f>
        <v/>
      </c>
      <c r="I1710" s="19" t="str">
        <f>IFERROR(G1710*H1710,"")</f>
        <v/>
      </c>
      <c r="J1710" s="19"/>
    </row>
    <row r="1711" spans="1:10" ht="21">
      <c r="A1711" s="14">
        <v>1706</v>
      </c>
      <c r="C1711" s="16"/>
      <c r="D1711" s="14" t="str">
        <f>IF(Sales[[#This Row],[Product ID]]="","",Sales[[#This Row],[Date]]&amp;Sales[[#This Row],[Invoice no]])</f>
        <v/>
      </c>
      <c r="E17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1" s="19" t="str">
        <f>IF(_xlfn.XLOOKUP(Sales[[#This Row],[Product Name]],Inventory[Product Name],Inventory[Sale Price],"")=0,"",_xlfn.XLOOKUP(Sales[[#This Row],[Product Name]],Inventory[Product Name],Inventory[Sale Price]))</f>
        <v/>
      </c>
      <c r="I1711" s="19" t="str">
        <f>IFERROR(G1711*H1711,"")</f>
        <v/>
      </c>
      <c r="J1711" s="19"/>
    </row>
    <row r="1712" spans="1:10" ht="21">
      <c r="A1712" s="14">
        <v>1707</v>
      </c>
      <c r="C1712" s="16"/>
      <c r="D1712" s="14" t="str">
        <f>IF(Sales[[#This Row],[Product ID]]="","",Sales[[#This Row],[Date]]&amp;Sales[[#This Row],[Invoice no]])</f>
        <v/>
      </c>
      <c r="E17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2" s="19" t="str">
        <f>IF(_xlfn.XLOOKUP(Sales[[#This Row],[Product Name]],Inventory[Product Name],Inventory[Sale Price],"")=0,"",_xlfn.XLOOKUP(Sales[[#This Row],[Product Name]],Inventory[Product Name],Inventory[Sale Price]))</f>
        <v/>
      </c>
      <c r="I1712" s="19" t="str">
        <f>IFERROR(G1712*H1712,"")</f>
        <v/>
      </c>
      <c r="J1712" s="19"/>
    </row>
    <row r="1713" spans="1:10" ht="21">
      <c r="A1713" s="14">
        <v>1708</v>
      </c>
      <c r="C1713" s="16"/>
      <c r="D1713" s="14" t="str">
        <f>IF(Sales[[#This Row],[Product ID]]="","",Sales[[#This Row],[Date]]&amp;Sales[[#This Row],[Invoice no]])</f>
        <v/>
      </c>
      <c r="E17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3" s="19" t="str">
        <f>IF(_xlfn.XLOOKUP(Sales[[#This Row],[Product Name]],Inventory[Product Name],Inventory[Sale Price],"")=0,"",_xlfn.XLOOKUP(Sales[[#This Row],[Product Name]],Inventory[Product Name],Inventory[Sale Price]))</f>
        <v/>
      </c>
      <c r="I1713" s="19" t="str">
        <f>IFERROR(G1713*H1713,"")</f>
        <v/>
      </c>
      <c r="J1713" s="19"/>
    </row>
    <row r="1714" spans="1:10" ht="21">
      <c r="A1714" s="14">
        <v>1709</v>
      </c>
      <c r="C1714" s="16"/>
      <c r="D1714" s="14" t="str">
        <f>IF(Sales[[#This Row],[Product ID]]="","",Sales[[#This Row],[Date]]&amp;Sales[[#This Row],[Invoice no]])</f>
        <v/>
      </c>
      <c r="E17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4" s="19" t="str">
        <f>IF(_xlfn.XLOOKUP(Sales[[#This Row],[Product Name]],Inventory[Product Name],Inventory[Sale Price],"")=0,"",_xlfn.XLOOKUP(Sales[[#This Row],[Product Name]],Inventory[Product Name],Inventory[Sale Price]))</f>
        <v/>
      </c>
      <c r="I1714" s="19" t="str">
        <f>IFERROR(G1714*H1714,"")</f>
        <v/>
      </c>
      <c r="J1714" s="19"/>
    </row>
    <row r="1715" spans="1:10" ht="21">
      <c r="A1715" s="14">
        <v>1710</v>
      </c>
      <c r="C1715" s="16"/>
      <c r="D1715" s="14" t="str">
        <f>IF(Sales[[#This Row],[Product ID]]="","",Sales[[#This Row],[Date]]&amp;Sales[[#This Row],[Invoice no]])</f>
        <v/>
      </c>
      <c r="E17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5" s="19" t="str">
        <f>IF(_xlfn.XLOOKUP(Sales[[#This Row],[Product Name]],Inventory[Product Name],Inventory[Sale Price],"")=0,"",_xlfn.XLOOKUP(Sales[[#This Row],[Product Name]],Inventory[Product Name],Inventory[Sale Price]))</f>
        <v/>
      </c>
      <c r="I1715" s="19" t="str">
        <f>IFERROR(G1715*H1715,"")</f>
        <v/>
      </c>
      <c r="J1715" s="19"/>
    </row>
    <row r="1716" spans="1:10" ht="21">
      <c r="A1716" s="14">
        <v>1711</v>
      </c>
      <c r="C1716" s="16"/>
      <c r="D1716" s="14" t="str">
        <f>IF(Sales[[#This Row],[Product ID]]="","",Sales[[#This Row],[Date]]&amp;Sales[[#This Row],[Invoice no]])</f>
        <v/>
      </c>
      <c r="E17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6" s="19" t="str">
        <f>IF(_xlfn.XLOOKUP(Sales[[#This Row],[Product Name]],Inventory[Product Name],Inventory[Sale Price],"")=0,"",_xlfn.XLOOKUP(Sales[[#This Row],[Product Name]],Inventory[Product Name],Inventory[Sale Price]))</f>
        <v/>
      </c>
      <c r="I1716" s="19" t="str">
        <f>IFERROR(G1716*H1716,"")</f>
        <v/>
      </c>
      <c r="J1716" s="19"/>
    </row>
    <row r="1717" spans="1:10" ht="21">
      <c r="A1717" s="14">
        <v>1712</v>
      </c>
      <c r="C1717" s="16"/>
      <c r="D1717" s="14" t="str">
        <f>IF(Sales[[#This Row],[Product ID]]="","",Sales[[#This Row],[Date]]&amp;Sales[[#This Row],[Invoice no]])</f>
        <v/>
      </c>
      <c r="E17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7" s="19" t="str">
        <f>IF(_xlfn.XLOOKUP(Sales[[#This Row],[Product Name]],Inventory[Product Name],Inventory[Sale Price],"")=0,"",_xlfn.XLOOKUP(Sales[[#This Row],[Product Name]],Inventory[Product Name],Inventory[Sale Price]))</f>
        <v/>
      </c>
      <c r="I1717" s="19" t="str">
        <f>IFERROR(G1717*H1717,"")</f>
        <v/>
      </c>
      <c r="J1717" s="19"/>
    </row>
    <row r="1718" spans="1:10" ht="21">
      <c r="A1718" s="14">
        <v>1713</v>
      </c>
      <c r="C1718" s="16"/>
      <c r="D1718" s="14" t="str">
        <f>IF(Sales[[#This Row],[Product ID]]="","",Sales[[#This Row],[Date]]&amp;Sales[[#This Row],[Invoice no]])</f>
        <v/>
      </c>
      <c r="E17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8" s="19" t="str">
        <f>IF(_xlfn.XLOOKUP(Sales[[#This Row],[Product Name]],Inventory[Product Name],Inventory[Sale Price],"")=0,"",_xlfn.XLOOKUP(Sales[[#This Row],[Product Name]],Inventory[Product Name],Inventory[Sale Price]))</f>
        <v/>
      </c>
      <c r="I1718" s="19" t="str">
        <f>IFERROR(G1718*H1718,"")</f>
        <v/>
      </c>
      <c r="J1718" s="19"/>
    </row>
    <row r="1719" spans="1:10" ht="21">
      <c r="A1719" s="14">
        <v>1714</v>
      </c>
      <c r="C1719" s="16"/>
      <c r="D1719" s="14" t="str">
        <f>IF(Sales[[#This Row],[Product ID]]="","",Sales[[#This Row],[Date]]&amp;Sales[[#This Row],[Invoice no]])</f>
        <v/>
      </c>
      <c r="E17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19" s="19" t="str">
        <f>IF(_xlfn.XLOOKUP(Sales[[#This Row],[Product Name]],Inventory[Product Name],Inventory[Sale Price],"")=0,"",_xlfn.XLOOKUP(Sales[[#This Row],[Product Name]],Inventory[Product Name],Inventory[Sale Price]))</f>
        <v/>
      </c>
      <c r="I1719" s="19" t="str">
        <f>IFERROR(G1719*H1719,"")</f>
        <v/>
      </c>
      <c r="J1719" s="19"/>
    </row>
    <row r="1720" spans="1:10" ht="21">
      <c r="A1720" s="14">
        <v>1715</v>
      </c>
      <c r="C1720" s="16"/>
      <c r="D1720" s="14" t="str">
        <f>IF(Sales[[#This Row],[Product ID]]="","",Sales[[#This Row],[Date]]&amp;Sales[[#This Row],[Invoice no]])</f>
        <v/>
      </c>
      <c r="E17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0" s="19" t="str">
        <f>IF(_xlfn.XLOOKUP(Sales[[#This Row],[Product Name]],Inventory[Product Name],Inventory[Sale Price],"")=0,"",_xlfn.XLOOKUP(Sales[[#This Row],[Product Name]],Inventory[Product Name],Inventory[Sale Price]))</f>
        <v/>
      </c>
      <c r="I1720" s="19" t="str">
        <f>IFERROR(G1720*H1720,"")</f>
        <v/>
      </c>
      <c r="J1720" s="19"/>
    </row>
    <row r="1721" spans="1:10" ht="21">
      <c r="A1721" s="14">
        <v>1716</v>
      </c>
      <c r="C1721" s="16"/>
      <c r="D1721" s="14" t="str">
        <f>IF(Sales[[#This Row],[Product ID]]="","",Sales[[#This Row],[Date]]&amp;Sales[[#This Row],[Invoice no]])</f>
        <v/>
      </c>
      <c r="E17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1" s="19" t="str">
        <f>IF(_xlfn.XLOOKUP(Sales[[#This Row],[Product Name]],Inventory[Product Name],Inventory[Sale Price],"")=0,"",_xlfn.XLOOKUP(Sales[[#This Row],[Product Name]],Inventory[Product Name],Inventory[Sale Price]))</f>
        <v/>
      </c>
      <c r="I1721" s="19" t="str">
        <f>IFERROR(G1721*H1721,"")</f>
        <v/>
      </c>
      <c r="J1721" s="19"/>
    </row>
    <row r="1722" spans="1:10" ht="21">
      <c r="A1722" s="14">
        <v>1717</v>
      </c>
      <c r="C1722" s="16"/>
      <c r="D1722" s="14" t="str">
        <f>IF(Sales[[#This Row],[Product ID]]="","",Sales[[#This Row],[Date]]&amp;Sales[[#This Row],[Invoice no]])</f>
        <v/>
      </c>
      <c r="E17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2" s="19" t="str">
        <f>IF(_xlfn.XLOOKUP(Sales[[#This Row],[Product Name]],Inventory[Product Name],Inventory[Sale Price],"")=0,"",_xlfn.XLOOKUP(Sales[[#This Row],[Product Name]],Inventory[Product Name],Inventory[Sale Price]))</f>
        <v/>
      </c>
      <c r="I1722" s="19" t="str">
        <f>IFERROR(G1722*H1722,"")</f>
        <v/>
      </c>
      <c r="J1722" s="19"/>
    </row>
    <row r="1723" spans="1:10" ht="21">
      <c r="A1723" s="14">
        <v>1718</v>
      </c>
      <c r="C1723" s="16"/>
      <c r="D1723" s="14" t="str">
        <f>IF(Sales[[#This Row],[Product ID]]="","",Sales[[#This Row],[Date]]&amp;Sales[[#This Row],[Invoice no]])</f>
        <v/>
      </c>
      <c r="E17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3" s="19" t="str">
        <f>IF(_xlfn.XLOOKUP(Sales[[#This Row],[Product Name]],Inventory[Product Name],Inventory[Sale Price],"")=0,"",_xlfn.XLOOKUP(Sales[[#This Row],[Product Name]],Inventory[Product Name],Inventory[Sale Price]))</f>
        <v/>
      </c>
      <c r="I1723" s="19" t="str">
        <f>IFERROR(G1723*H1723,"")</f>
        <v/>
      </c>
      <c r="J1723" s="19"/>
    </row>
    <row r="1724" spans="1:10" ht="21">
      <c r="A1724" s="14">
        <v>1719</v>
      </c>
      <c r="C1724" s="16"/>
      <c r="D1724" s="14" t="str">
        <f>IF(Sales[[#This Row],[Product ID]]="","",Sales[[#This Row],[Date]]&amp;Sales[[#This Row],[Invoice no]])</f>
        <v/>
      </c>
      <c r="E17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4" s="19" t="str">
        <f>IF(_xlfn.XLOOKUP(Sales[[#This Row],[Product Name]],Inventory[Product Name],Inventory[Sale Price],"")=0,"",_xlfn.XLOOKUP(Sales[[#This Row],[Product Name]],Inventory[Product Name],Inventory[Sale Price]))</f>
        <v/>
      </c>
      <c r="I1724" s="19" t="str">
        <f>IFERROR(G1724*H1724,"")</f>
        <v/>
      </c>
      <c r="J1724" s="19"/>
    </row>
    <row r="1725" spans="1:10" ht="21">
      <c r="A1725" s="14">
        <v>1720</v>
      </c>
      <c r="C1725" s="16"/>
      <c r="D1725" s="14" t="str">
        <f>IF(Sales[[#This Row],[Product ID]]="","",Sales[[#This Row],[Date]]&amp;Sales[[#This Row],[Invoice no]])</f>
        <v/>
      </c>
      <c r="E17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5" s="19" t="str">
        <f>IF(_xlfn.XLOOKUP(Sales[[#This Row],[Product Name]],Inventory[Product Name],Inventory[Sale Price],"")=0,"",_xlfn.XLOOKUP(Sales[[#This Row],[Product Name]],Inventory[Product Name],Inventory[Sale Price]))</f>
        <v/>
      </c>
      <c r="I1725" s="19" t="str">
        <f>IFERROR(G1725*H1725,"")</f>
        <v/>
      </c>
      <c r="J1725" s="19"/>
    </row>
    <row r="1726" spans="1:10" ht="21">
      <c r="A1726" s="14">
        <v>1721</v>
      </c>
      <c r="C1726" s="16"/>
      <c r="D1726" s="14" t="str">
        <f>IF(Sales[[#This Row],[Product ID]]="","",Sales[[#This Row],[Date]]&amp;Sales[[#This Row],[Invoice no]])</f>
        <v/>
      </c>
      <c r="E17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6" s="19" t="str">
        <f>IF(_xlfn.XLOOKUP(Sales[[#This Row],[Product Name]],Inventory[Product Name],Inventory[Sale Price],"")=0,"",_xlfn.XLOOKUP(Sales[[#This Row],[Product Name]],Inventory[Product Name],Inventory[Sale Price]))</f>
        <v/>
      </c>
      <c r="I1726" s="19" t="str">
        <f>IFERROR(G1726*H1726,"")</f>
        <v/>
      </c>
      <c r="J1726" s="19"/>
    </row>
    <row r="1727" spans="1:10" ht="21">
      <c r="A1727" s="14">
        <v>1722</v>
      </c>
      <c r="C1727" s="16"/>
      <c r="D1727" s="14" t="str">
        <f>IF(Sales[[#This Row],[Product ID]]="","",Sales[[#This Row],[Date]]&amp;Sales[[#This Row],[Invoice no]])</f>
        <v/>
      </c>
      <c r="E17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7" s="19" t="str">
        <f>IF(_xlfn.XLOOKUP(Sales[[#This Row],[Product Name]],Inventory[Product Name],Inventory[Sale Price],"")=0,"",_xlfn.XLOOKUP(Sales[[#This Row],[Product Name]],Inventory[Product Name],Inventory[Sale Price]))</f>
        <v/>
      </c>
      <c r="I1727" s="19" t="str">
        <f>IFERROR(G1727*H1727,"")</f>
        <v/>
      </c>
      <c r="J1727" s="19"/>
    </row>
    <row r="1728" spans="1:10" ht="21">
      <c r="A1728" s="14">
        <v>1723</v>
      </c>
      <c r="C1728" s="16"/>
      <c r="D1728" s="14" t="str">
        <f>IF(Sales[[#This Row],[Product ID]]="","",Sales[[#This Row],[Date]]&amp;Sales[[#This Row],[Invoice no]])</f>
        <v/>
      </c>
      <c r="E17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8" s="19" t="str">
        <f>IF(_xlfn.XLOOKUP(Sales[[#This Row],[Product Name]],Inventory[Product Name],Inventory[Sale Price],"")=0,"",_xlfn.XLOOKUP(Sales[[#This Row],[Product Name]],Inventory[Product Name],Inventory[Sale Price]))</f>
        <v/>
      </c>
      <c r="I1728" s="19" t="str">
        <f>IFERROR(G1728*H1728,"")</f>
        <v/>
      </c>
      <c r="J1728" s="19"/>
    </row>
    <row r="1729" spans="1:10" ht="21">
      <c r="A1729" s="14">
        <v>1724</v>
      </c>
      <c r="C1729" s="16"/>
      <c r="D1729" s="14" t="str">
        <f>IF(Sales[[#This Row],[Product ID]]="","",Sales[[#This Row],[Date]]&amp;Sales[[#This Row],[Invoice no]])</f>
        <v/>
      </c>
      <c r="E17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29" s="19" t="str">
        <f>IF(_xlfn.XLOOKUP(Sales[[#This Row],[Product Name]],Inventory[Product Name],Inventory[Sale Price],"")=0,"",_xlfn.XLOOKUP(Sales[[#This Row],[Product Name]],Inventory[Product Name],Inventory[Sale Price]))</f>
        <v/>
      </c>
      <c r="I1729" s="19" t="str">
        <f>IFERROR(G1729*H1729,"")</f>
        <v/>
      </c>
      <c r="J1729" s="19"/>
    </row>
    <row r="1730" spans="1:10" ht="21">
      <c r="A1730" s="14">
        <v>1725</v>
      </c>
      <c r="C1730" s="16"/>
      <c r="D1730" s="14" t="str">
        <f>IF(Sales[[#This Row],[Product ID]]="","",Sales[[#This Row],[Date]]&amp;Sales[[#This Row],[Invoice no]])</f>
        <v/>
      </c>
      <c r="E17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0" s="19" t="str">
        <f>IF(_xlfn.XLOOKUP(Sales[[#This Row],[Product Name]],Inventory[Product Name],Inventory[Sale Price],"")=0,"",_xlfn.XLOOKUP(Sales[[#This Row],[Product Name]],Inventory[Product Name],Inventory[Sale Price]))</f>
        <v/>
      </c>
      <c r="I1730" s="19" t="str">
        <f>IFERROR(G1730*H1730,"")</f>
        <v/>
      </c>
      <c r="J1730" s="19"/>
    </row>
    <row r="1731" spans="1:10" ht="21">
      <c r="A1731" s="14">
        <v>1726</v>
      </c>
      <c r="C1731" s="16"/>
      <c r="D1731" s="14" t="str">
        <f>IF(Sales[[#This Row],[Product ID]]="","",Sales[[#This Row],[Date]]&amp;Sales[[#This Row],[Invoice no]])</f>
        <v/>
      </c>
      <c r="E17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1" s="19" t="str">
        <f>IF(_xlfn.XLOOKUP(Sales[[#This Row],[Product Name]],Inventory[Product Name],Inventory[Sale Price],"")=0,"",_xlfn.XLOOKUP(Sales[[#This Row],[Product Name]],Inventory[Product Name],Inventory[Sale Price]))</f>
        <v/>
      </c>
      <c r="I1731" s="19" t="str">
        <f>IFERROR(G1731*H1731,"")</f>
        <v/>
      </c>
      <c r="J1731" s="19"/>
    </row>
    <row r="1732" spans="1:10" ht="21">
      <c r="A1732" s="14">
        <v>1727</v>
      </c>
      <c r="C1732" s="16"/>
      <c r="D1732" s="14" t="str">
        <f>IF(Sales[[#This Row],[Product ID]]="","",Sales[[#This Row],[Date]]&amp;Sales[[#This Row],[Invoice no]])</f>
        <v/>
      </c>
      <c r="E17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2" s="19" t="str">
        <f>IF(_xlfn.XLOOKUP(Sales[[#This Row],[Product Name]],Inventory[Product Name],Inventory[Sale Price],"")=0,"",_xlfn.XLOOKUP(Sales[[#This Row],[Product Name]],Inventory[Product Name],Inventory[Sale Price]))</f>
        <v/>
      </c>
      <c r="I1732" s="19" t="str">
        <f>IFERROR(G1732*H1732,"")</f>
        <v/>
      </c>
      <c r="J1732" s="19"/>
    </row>
    <row r="1733" spans="1:10" ht="21">
      <c r="A1733" s="14">
        <v>1728</v>
      </c>
      <c r="C1733" s="16"/>
      <c r="D1733" s="14" t="str">
        <f>IF(Sales[[#This Row],[Product ID]]="","",Sales[[#This Row],[Date]]&amp;Sales[[#This Row],[Invoice no]])</f>
        <v/>
      </c>
      <c r="E17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3" s="19" t="str">
        <f>IF(_xlfn.XLOOKUP(Sales[[#This Row],[Product Name]],Inventory[Product Name],Inventory[Sale Price],"")=0,"",_xlfn.XLOOKUP(Sales[[#This Row],[Product Name]],Inventory[Product Name],Inventory[Sale Price]))</f>
        <v/>
      </c>
      <c r="I1733" s="19" t="str">
        <f>IFERROR(G1733*H1733,"")</f>
        <v/>
      </c>
      <c r="J1733" s="19"/>
    </row>
    <row r="1734" spans="1:10" ht="21">
      <c r="A1734" s="14">
        <v>1729</v>
      </c>
      <c r="C1734" s="16"/>
      <c r="D1734" s="14" t="str">
        <f>IF(Sales[[#This Row],[Product ID]]="","",Sales[[#This Row],[Date]]&amp;Sales[[#This Row],[Invoice no]])</f>
        <v/>
      </c>
      <c r="E17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4" s="19" t="str">
        <f>IF(_xlfn.XLOOKUP(Sales[[#This Row],[Product Name]],Inventory[Product Name],Inventory[Sale Price],"")=0,"",_xlfn.XLOOKUP(Sales[[#This Row],[Product Name]],Inventory[Product Name],Inventory[Sale Price]))</f>
        <v/>
      </c>
      <c r="I1734" s="19" t="str">
        <f>IFERROR(G1734*H1734,"")</f>
        <v/>
      </c>
      <c r="J1734" s="19"/>
    </row>
    <row r="1735" spans="1:10" ht="21">
      <c r="A1735" s="14">
        <v>1730</v>
      </c>
      <c r="C1735" s="16"/>
      <c r="D1735" s="14" t="str">
        <f>IF(Sales[[#This Row],[Product ID]]="","",Sales[[#This Row],[Date]]&amp;Sales[[#This Row],[Invoice no]])</f>
        <v/>
      </c>
      <c r="E17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5" s="19" t="str">
        <f>IF(_xlfn.XLOOKUP(Sales[[#This Row],[Product Name]],Inventory[Product Name],Inventory[Sale Price],"")=0,"",_xlfn.XLOOKUP(Sales[[#This Row],[Product Name]],Inventory[Product Name],Inventory[Sale Price]))</f>
        <v/>
      </c>
      <c r="I1735" s="19" t="str">
        <f>IFERROR(G1735*H1735,"")</f>
        <v/>
      </c>
      <c r="J1735" s="19"/>
    </row>
    <row r="1736" spans="1:10" ht="21">
      <c r="A1736" s="14">
        <v>1731</v>
      </c>
      <c r="C1736" s="16"/>
      <c r="D1736" s="14" t="str">
        <f>IF(Sales[[#This Row],[Product ID]]="","",Sales[[#This Row],[Date]]&amp;Sales[[#This Row],[Invoice no]])</f>
        <v/>
      </c>
      <c r="E17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6" s="19" t="str">
        <f>IF(_xlfn.XLOOKUP(Sales[[#This Row],[Product Name]],Inventory[Product Name],Inventory[Sale Price],"")=0,"",_xlfn.XLOOKUP(Sales[[#This Row],[Product Name]],Inventory[Product Name],Inventory[Sale Price]))</f>
        <v/>
      </c>
      <c r="I1736" s="19" t="str">
        <f>IFERROR(G1736*H1736,"")</f>
        <v/>
      </c>
      <c r="J1736" s="19"/>
    </row>
    <row r="1737" spans="1:10" ht="21">
      <c r="A1737" s="14">
        <v>1732</v>
      </c>
      <c r="C1737" s="16"/>
      <c r="D1737" s="14" t="str">
        <f>IF(Sales[[#This Row],[Product ID]]="","",Sales[[#This Row],[Date]]&amp;Sales[[#This Row],[Invoice no]])</f>
        <v/>
      </c>
      <c r="E17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7" s="19" t="str">
        <f>IF(_xlfn.XLOOKUP(Sales[[#This Row],[Product Name]],Inventory[Product Name],Inventory[Sale Price],"")=0,"",_xlfn.XLOOKUP(Sales[[#This Row],[Product Name]],Inventory[Product Name],Inventory[Sale Price]))</f>
        <v/>
      </c>
      <c r="I1737" s="19" t="str">
        <f>IFERROR(G1737*H1737,"")</f>
        <v/>
      </c>
      <c r="J1737" s="19"/>
    </row>
    <row r="1738" spans="1:10" ht="21">
      <c r="A1738" s="14">
        <v>1733</v>
      </c>
      <c r="C1738" s="16"/>
      <c r="D1738" s="14" t="str">
        <f>IF(Sales[[#This Row],[Product ID]]="","",Sales[[#This Row],[Date]]&amp;Sales[[#This Row],[Invoice no]])</f>
        <v/>
      </c>
      <c r="E17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8" s="19" t="str">
        <f>IF(_xlfn.XLOOKUP(Sales[[#This Row],[Product Name]],Inventory[Product Name],Inventory[Sale Price],"")=0,"",_xlfn.XLOOKUP(Sales[[#This Row],[Product Name]],Inventory[Product Name],Inventory[Sale Price]))</f>
        <v/>
      </c>
      <c r="I1738" s="19" t="str">
        <f>IFERROR(G1738*H1738,"")</f>
        <v/>
      </c>
      <c r="J1738" s="19"/>
    </row>
    <row r="1739" spans="1:10" ht="21">
      <c r="A1739" s="14">
        <v>1734</v>
      </c>
      <c r="C1739" s="16"/>
      <c r="D1739" s="14" t="str">
        <f>IF(Sales[[#This Row],[Product ID]]="","",Sales[[#This Row],[Date]]&amp;Sales[[#This Row],[Invoice no]])</f>
        <v/>
      </c>
      <c r="E17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39" s="19" t="str">
        <f>IF(_xlfn.XLOOKUP(Sales[[#This Row],[Product Name]],Inventory[Product Name],Inventory[Sale Price],"")=0,"",_xlfn.XLOOKUP(Sales[[#This Row],[Product Name]],Inventory[Product Name],Inventory[Sale Price]))</f>
        <v/>
      </c>
      <c r="I1739" s="19" t="str">
        <f>IFERROR(G1739*H1739,"")</f>
        <v/>
      </c>
      <c r="J1739" s="19"/>
    </row>
    <row r="1740" spans="1:10" ht="21">
      <c r="A1740" s="14">
        <v>1735</v>
      </c>
      <c r="C1740" s="16"/>
      <c r="D1740" s="14" t="str">
        <f>IF(Sales[[#This Row],[Product ID]]="","",Sales[[#This Row],[Date]]&amp;Sales[[#This Row],[Invoice no]])</f>
        <v/>
      </c>
      <c r="E17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0" s="19" t="str">
        <f>IF(_xlfn.XLOOKUP(Sales[[#This Row],[Product Name]],Inventory[Product Name],Inventory[Sale Price],"")=0,"",_xlfn.XLOOKUP(Sales[[#This Row],[Product Name]],Inventory[Product Name],Inventory[Sale Price]))</f>
        <v/>
      </c>
      <c r="I1740" s="19" t="str">
        <f>IFERROR(G1740*H1740,"")</f>
        <v/>
      </c>
      <c r="J1740" s="19"/>
    </row>
    <row r="1741" spans="1:10" ht="21">
      <c r="A1741" s="14">
        <v>1736</v>
      </c>
      <c r="C1741" s="16"/>
      <c r="D1741" s="14" t="str">
        <f>IF(Sales[[#This Row],[Product ID]]="","",Sales[[#This Row],[Date]]&amp;Sales[[#This Row],[Invoice no]])</f>
        <v/>
      </c>
      <c r="E17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1" s="19" t="str">
        <f>IF(_xlfn.XLOOKUP(Sales[[#This Row],[Product Name]],Inventory[Product Name],Inventory[Sale Price],"")=0,"",_xlfn.XLOOKUP(Sales[[#This Row],[Product Name]],Inventory[Product Name],Inventory[Sale Price]))</f>
        <v/>
      </c>
      <c r="I1741" s="19" t="str">
        <f>IFERROR(G1741*H1741,"")</f>
        <v/>
      </c>
      <c r="J1741" s="19"/>
    </row>
    <row r="1742" spans="1:10" ht="21">
      <c r="A1742" s="14">
        <v>1737</v>
      </c>
      <c r="C1742" s="16"/>
      <c r="D1742" s="14" t="str">
        <f>IF(Sales[[#This Row],[Product ID]]="","",Sales[[#This Row],[Date]]&amp;Sales[[#This Row],[Invoice no]])</f>
        <v/>
      </c>
      <c r="E17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2" s="19" t="str">
        <f>IF(_xlfn.XLOOKUP(Sales[[#This Row],[Product Name]],Inventory[Product Name],Inventory[Sale Price],"")=0,"",_xlfn.XLOOKUP(Sales[[#This Row],[Product Name]],Inventory[Product Name],Inventory[Sale Price]))</f>
        <v/>
      </c>
      <c r="I1742" s="19" t="str">
        <f>IFERROR(G1742*H1742,"")</f>
        <v/>
      </c>
      <c r="J1742" s="19"/>
    </row>
    <row r="1743" spans="1:10" ht="21">
      <c r="A1743" s="14">
        <v>1738</v>
      </c>
      <c r="C1743" s="16"/>
      <c r="D1743" s="14" t="str">
        <f>IF(Sales[[#This Row],[Product ID]]="","",Sales[[#This Row],[Date]]&amp;Sales[[#This Row],[Invoice no]])</f>
        <v/>
      </c>
      <c r="E17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3" s="19" t="str">
        <f>IF(_xlfn.XLOOKUP(Sales[[#This Row],[Product Name]],Inventory[Product Name],Inventory[Sale Price],"")=0,"",_xlfn.XLOOKUP(Sales[[#This Row],[Product Name]],Inventory[Product Name],Inventory[Sale Price]))</f>
        <v/>
      </c>
      <c r="I1743" s="19" t="str">
        <f>IFERROR(G1743*H1743,"")</f>
        <v/>
      </c>
      <c r="J1743" s="19"/>
    </row>
    <row r="1744" spans="1:10" ht="21">
      <c r="A1744" s="14">
        <v>1739</v>
      </c>
      <c r="C1744" s="16"/>
      <c r="D1744" s="14" t="str">
        <f>IF(Sales[[#This Row],[Product ID]]="","",Sales[[#This Row],[Date]]&amp;Sales[[#This Row],[Invoice no]])</f>
        <v/>
      </c>
      <c r="E17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4" s="19" t="str">
        <f>IF(_xlfn.XLOOKUP(Sales[[#This Row],[Product Name]],Inventory[Product Name],Inventory[Sale Price],"")=0,"",_xlfn.XLOOKUP(Sales[[#This Row],[Product Name]],Inventory[Product Name],Inventory[Sale Price]))</f>
        <v/>
      </c>
      <c r="I1744" s="19" t="str">
        <f>IFERROR(G1744*H1744,"")</f>
        <v/>
      </c>
      <c r="J1744" s="19"/>
    </row>
    <row r="1745" spans="1:10" ht="21">
      <c r="A1745" s="14">
        <v>1740</v>
      </c>
      <c r="C1745" s="16"/>
      <c r="D1745" s="14" t="str">
        <f>IF(Sales[[#This Row],[Product ID]]="","",Sales[[#This Row],[Date]]&amp;Sales[[#This Row],[Invoice no]])</f>
        <v/>
      </c>
      <c r="E17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5" s="19" t="str">
        <f>IF(_xlfn.XLOOKUP(Sales[[#This Row],[Product Name]],Inventory[Product Name],Inventory[Sale Price],"")=0,"",_xlfn.XLOOKUP(Sales[[#This Row],[Product Name]],Inventory[Product Name],Inventory[Sale Price]))</f>
        <v/>
      </c>
      <c r="I1745" s="19" t="str">
        <f>IFERROR(G1745*H1745,"")</f>
        <v/>
      </c>
      <c r="J1745" s="19"/>
    </row>
    <row r="1746" spans="1:10" ht="21">
      <c r="A1746" s="14">
        <v>1741</v>
      </c>
      <c r="C1746" s="16"/>
      <c r="D1746" s="14" t="str">
        <f>IF(Sales[[#This Row],[Product ID]]="","",Sales[[#This Row],[Date]]&amp;Sales[[#This Row],[Invoice no]])</f>
        <v/>
      </c>
      <c r="E17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6" s="19" t="str">
        <f>IF(_xlfn.XLOOKUP(Sales[[#This Row],[Product Name]],Inventory[Product Name],Inventory[Sale Price],"")=0,"",_xlfn.XLOOKUP(Sales[[#This Row],[Product Name]],Inventory[Product Name],Inventory[Sale Price]))</f>
        <v/>
      </c>
      <c r="I1746" s="19" t="str">
        <f>IFERROR(G1746*H1746,"")</f>
        <v/>
      </c>
      <c r="J1746" s="19"/>
    </row>
    <row r="1747" spans="1:10" ht="21">
      <c r="A1747" s="14">
        <v>1742</v>
      </c>
      <c r="C1747" s="16"/>
      <c r="D1747" s="14" t="str">
        <f>IF(Sales[[#This Row],[Product ID]]="","",Sales[[#This Row],[Date]]&amp;Sales[[#This Row],[Invoice no]])</f>
        <v/>
      </c>
      <c r="E17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7" s="19" t="str">
        <f>IF(_xlfn.XLOOKUP(Sales[[#This Row],[Product Name]],Inventory[Product Name],Inventory[Sale Price],"")=0,"",_xlfn.XLOOKUP(Sales[[#This Row],[Product Name]],Inventory[Product Name],Inventory[Sale Price]))</f>
        <v/>
      </c>
      <c r="I1747" s="19" t="str">
        <f>IFERROR(G1747*H1747,"")</f>
        <v/>
      </c>
      <c r="J1747" s="19"/>
    </row>
    <row r="1748" spans="1:10" ht="21">
      <c r="A1748" s="14">
        <v>1743</v>
      </c>
      <c r="C1748" s="16"/>
      <c r="D1748" s="14" t="str">
        <f>IF(Sales[[#This Row],[Product ID]]="","",Sales[[#This Row],[Date]]&amp;Sales[[#This Row],[Invoice no]])</f>
        <v/>
      </c>
      <c r="E17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8" s="19" t="str">
        <f>IF(_xlfn.XLOOKUP(Sales[[#This Row],[Product Name]],Inventory[Product Name],Inventory[Sale Price],"")=0,"",_xlfn.XLOOKUP(Sales[[#This Row],[Product Name]],Inventory[Product Name],Inventory[Sale Price]))</f>
        <v/>
      </c>
      <c r="I1748" s="19" t="str">
        <f>IFERROR(G1748*H1748,"")</f>
        <v/>
      </c>
      <c r="J1748" s="19"/>
    </row>
    <row r="1749" spans="1:10" ht="21">
      <c r="A1749" s="14">
        <v>1744</v>
      </c>
      <c r="C1749" s="16"/>
      <c r="D1749" s="14" t="str">
        <f>IF(Sales[[#This Row],[Product ID]]="","",Sales[[#This Row],[Date]]&amp;Sales[[#This Row],[Invoice no]])</f>
        <v/>
      </c>
      <c r="E17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49" s="19" t="str">
        <f>IF(_xlfn.XLOOKUP(Sales[[#This Row],[Product Name]],Inventory[Product Name],Inventory[Sale Price],"")=0,"",_xlfn.XLOOKUP(Sales[[#This Row],[Product Name]],Inventory[Product Name],Inventory[Sale Price]))</f>
        <v/>
      </c>
      <c r="I1749" s="19" t="str">
        <f>IFERROR(G1749*H1749,"")</f>
        <v/>
      </c>
      <c r="J1749" s="19"/>
    </row>
    <row r="1750" spans="1:10" ht="21">
      <c r="A1750" s="14">
        <v>1745</v>
      </c>
      <c r="C1750" s="16"/>
      <c r="D1750" s="14" t="str">
        <f>IF(Sales[[#This Row],[Product ID]]="","",Sales[[#This Row],[Date]]&amp;Sales[[#This Row],[Invoice no]])</f>
        <v/>
      </c>
      <c r="E17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0" s="19" t="str">
        <f>IF(_xlfn.XLOOKUP(Sales[[#This Row],[Product Name]],Inventory[Product Name],Inventory[Sale Price],"")=0,"",_xlfn.XLOOKUP(Sales[[#This Row],[Product Name]],Inventory[Product Name],Inventory[Sale Price]))</f>
        <v/>
      </c>
      <c r="I1750" s="19" t="str">
        <f>IFERROR(G1750*H1750,"")</f>
        <v/>
      </c>
      <c r="J1750" s="19"/>
    </row>
    <row r="1751" spans="1:10" ht="21">
      <c r="A1751" s="14">
        <v>1746</v>
      </c>
      <c r="C1751" s="16"/>
      <c r="D1751" s="14" t="str">
        <f>IF(Sales[[#This Row],[Product ID]]="","",Sales[[#This Row],[Date]]&amp;Sales[[#This Row],[Invoice no]])</f>
        <v/>
      </c>
      <c r="E17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1" s="19" t="str">
        <f>IF(_xlfn.XLOOKUP(Sales[[#This Row],[Product Name]],Inventory[Product Name],Inventory[Sale Price],"")=0,"",_xlfn.XLOOKUP(Sales[[#This Row],[Product Name]],Inventory[Product Name],Inventory[Sale Price]))</f>
        <v/>
      </c>
      <c r="I1751" s="19" t="str">
        <f>IFERROR(G1751*H1751,"")</f>
        <v/>
      </c>
      <c r="J1751" s="19"/>
    </row>
    <row r="1752" spans="1:10" ht="21">
      <c r="A1752" s="14">
        <v>1747</v>
      </c>
      <c r="C1752" s="16"/>
      <c r="D1752" s="14" t="str">
        <f>IF(Sales[[#This Row],[Product ID]]="","",Sales[[#This Row],[Date]]&amp;Sales[[#This Row],[Invoice no]])</f>
        <v/>
      </c>
      <c r="E17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2" s="19" t="str">
        <f>IF(_xlfn.XLOOKUP(Sales[[#This Row],[Product Name]],Inventory[Product Name],Inventory[Sale Price],"")=0,"",_xlfn.XLOOKUP(Sales[[#This Row],[Product Name]],Inventory[Product Name],Inventory[Sale Price]))</f>
        <v/>
      </c>
      <c r="I1752" s="19" t="str">
        <f>IFERROR(G1752*H1752,"")</f>
        <v/>
      </c>
      <c r="J1752" s="19"/>
    </row>
    <row r="1753" spans="1:10" ht="21">
      <c r="A1753" s="14">
        <v>1748</v>
      </c>
      <c r="C1753" s="16"/>
      <c r="D1753" s="14" t="str">
        <f>IF(Sales[[#This Row],[Product ID]]="","",Sales[[#This Row],[Date]]&amp;Sales[[#This Row],[Invoice no]])</f>
        <v/>
      </c>
      <c r="E17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3" s="19" t="str">
        <f>IF(_xlfn.XLOOKUP(Sales[[#This Row],[Product Name]],Inventory[Product Name],Inventory[Sale Price],"")=0,"",_xlfn.XLOOKUP(Sales[[#This Row],[Product Name]],Inventory[Product Name],Inventory[Sale Price]))</f>
        <v/>
      </c>
      <c r="I1753" s="19" t="str">
        <f>IFERROR(G1753*H1753,"")</f>
        <v/>
      </c>
      <c r="J1753" s="19"/>
    </row>
    <row r="1754" spans="1:10" ht="21">
      <c r="A1754" s="14">
        <v>1749</v>
      </c>
      <c r="C1754" s="16"/>
      <c r="D1754" s="14" t="str">
        <f>IF(Sales[[#This Row],[Product ID]]="","",Sales[[#This Row],[Date]]&amp;Sales[[#This Row],[Invoice no]])</f>
        <v/>
      </c>
      <c r="E17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4" s="19" t="str">
        <f>IF(_xlfn.XLOOKUP(Sales[[#This Row],[Product Name]],Inventory[Product Name],Inventory[Sale Price],"")=0,"",_xlfn.XLOOKUP(Sales[[#This Row],[Product Name]],Inventory[Product Name],Inventory[Sale Price]))</f>
        <v/>
      </c>
      <c r="I1754" s="19" t="str">
        <f>IFERROR(G1754*H1754,"")</f>
        <v/>
      </c>
      <c r="J1754" s="19"/>
    </row>
    <row r="1755" spans="1:10" ht="21">
      <c r="A1755" s="14">
        <v>1750</v>
      </c>
      <c r="C1755" s="16"/>
      <c r="D1755" s="14" t="str">
        <f>IF(Sales[[#This Row],[Product ID]]="","",Sales[[#This Row],[Date]]&amp;Sales[[#This Row],[Invoice no]])</f>
        <v/>
      </c>
      <c r="E17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5" s="19" t="str">
        <f>IF(_xlfn.XLOOKUP(Sales[[#This Row],[Product Name]],Inventory[Product Name],Inventory[Sale Price],"")=0,"",_xlfn.XLOOKUP(Sales[[#This Row],[Product Name]],Inventory[Product Name],Inventory[Sale Price]))</f>
        <v/>
      </c>
      <c r="I1755" s="19" t="str">
        <f>IFERROR(G1755*H1755,"")</f>
        <v/>
      </c>
      <c r="J1755" s="19"/>
    </row>
    <row r="1756" spans="1:10" ht="21">
      <c r="A1756" s="14">
        <v>1751</v>
      </c>
      <c r="C1756" s="16"/>
      <c r="D1756" s="14" t="str">
        <f>IF(Sales[[#This Row],[Product ID]]="","",Sales[[#This Row],[Date]]&amp;Sales[[#This Row],[Invoice no]])</f>
        <v/>
      </c>
      <c r="E17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6" s="19" t="str">
        <f>IF(_xlfn.XLOOKUP(Sales[[#This Row],[Product Name]],Inventory[Product Name],Inventory[Sale Price],"")=0,"",_xlfn.XLOOKUP(Sales[[#This Row],[Product Name]],Inventory[Product Name],Inventory[Sale Price]))</f>
        <v/>
      </c>
      <c r="I1756" s="19" t="str">
        <f>IFERROR(G1756*H1756,"")</f>
        <v/>
      </c>
      <c r="J1756" s="19"/>
    </row>
    <row r="1757" spans="1:10" ht="21">
      <c r="A1757" s="14">
        <v>1752</v>
      </c>
      <c r="C1757" s="16"/>
      <c r="D1757" s="14" t="str">
        <f>IF(Sales[[#This Row],[Product ID]]="","",Sales[[#This Row],[Date]]&amp;Sales[[#This Row],[Invoice no]])</f>
        <v/>
      </c>
      <c r="E17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7" s="19" t="str">
        <f>IF(_xlfn.XLOOKUP(Sales[[#This Row],[Product Name]],Inventory[Product Name],Inventory[Sale Price],"")=0,"",_xlfn.XLOOKUP(Sales[[#This Row],[Product Name]],Inventory[Product Name],Inventory[Sale Price]))</f>
        <v/>
      </c>
      <c r="I1757" s="19" t="str">
        <f>IFERROR(G1757*H1757,"")</f>
        <v/>
      </c>
      <c r="J1757" s="19"/>
    </row>
    <row r="1758" spans="1:10" ht="21">
      <c r="A1758" s="14">
        <v>1753</v>
      </c>
      <c r="C1758" s="16"/>
      <c r="D1758" s="14" t="str">
        <f>IF(Sales[[#This Row],[Product ID]]="","",Sales[[#This Row],[Date]]&amp;Sales[[#This Row],[Invoice no]])</f>
        <v/>
      </c>
      <c r="E17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8" s="19" t="str">
        <f>IF(_xlfn.XLOOKUP(Sales[[#This Row],[Product Name]],Inventory[Product Name],Inventory[Sale Price],"")=0,"",_xlfn.XLOOKUP(Sales[[#This Row],[Product Name]],Inventory[Product Name],Inventory[Sale Price]))</f>
        <v/>
      </c>
      <c r="I1758" s="19" t="str">
        <f>IFERROR(G1758*H1758,"")</f>
        <v/>
      </c>
      <c r="J1758" s="19"/>
    </row>
    <row r="1759" spans="1:10" ht="21">
      <c r="A1759" s="14">
        <v>1754</v>
      </c>
      <c r="C1759" s="16"/>
      <c r="D1759" s="14" t="str">
        <f>IF(Sales[[#This Row],[Product ID]]="","",Sales[[#This Row],[Date]]&amp;Sales[[#This Row],[Invoice no]])</f>
        <v/>
      </c>
      <c r="E17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59" s="19" t="str">
        <f>IF(_xlfn.XLOOKUP(Sales[[#This Row],[Product Name]],Inventory[Product Name],Inventory[Sale Price],"")=0,"",_xlfn.XLOOKUP(Sales[[#This Row],[Product Name]],Inventory[Product Name],Inventory[Sale Price]))</f>
        <v/>
      </c>
      <c r="I1759" s="19" t="str">
        <f>IFERROR(G1759*H1759,"")</f>
        <v/>
      </c>
      <c r="J1759" s="19"/>
    </row>
    <row r="1760" spans="1:10" ht="21">
      <c r="A1760" s="14">
        <v>1755</v>
      </c>
      <c r="C1760" s="16"/>
      <c r="D1760" s="14" t="str">
        <f>IF(Sales[[#This Row],[Product ID]]="","",Sales[[#This Row],[Date]]&amp;Sales[[#This Row],[Invoice no]])</f>
        <v/>
      </c>
      <c r="E17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0" s="19" t="str">
        <f>IF(_xlfn.XLOOKUP(Sales[[#This Row],[Product Name]],Inventory[Product Name],Inventory[Sale Price],"")=0,"",_xlfn.XLOOKUP(Sales[[#This Row],[Product Name]],Inventory[Product Name],Inventory[Sale Price]))</f>
        <v/>
      </c>
      <c r="I1760" s="19" t="str">
        <f>IFERROR(G1760*H1760,"")</f>
        <v/>
      </c>
      <c r="J1760" s="19"/>
    </row>
    <row r="1761" spans="1:10" ht="21">
      <c r="A1761" s="14">
        <v>1756</v>
      </c>
      <c r="C1761" s="16"/>
      <c r="D1761" s="14" t="str">
        <f>IF(Sales[[#This Row],[Product ID]]="","",Sales[[#This Row],[Date]]&amp;Sales[[#This Row],[Invoice no]])</f>
        <v/>
      </c>
      <c r="E17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1" s="19" t="str">
        <f>IF(_xlfn.XLOOKUP(Sales[[#This Row],[Product Name]],Inventory[Product Name],Inventory[Sale Price],"")=0,"",_xlfn.XLOOKUP(Sales[[#This Row],[Product Name]],Inventory[Product Name],Inventory[Sale Price]))</f>
        <v/>
      </c>
      <c r="I1761" s="19" t="str">
        <f>IFERROR(G1761*H1761,"")</f>
        <v/>
      </c>
      <c r="J1761" s="19"/>
    </row>
    <row r="1762" spans="1:10" ht="21">
      <c r="A1762" s="14">
        <v>1757</v>
      </c>
      <c r="C1762" s="16"/>
      <c r="D1762" s="14" t="str">
        <f>IF(Sales[[#This Row],[Product ID]]="","",Sales[[#This Row],[Date]]&amp;Sales[[#This Row],[Invoice no]])</f>
        <v/>
      </c>
      <c r="E17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2" s="19" t="str">
        <f>IF(_xlfn.XLOOKUP(Sales[[#This Row],[Product Name]],Inventory[Product Name],Inventory[Sale Price],"")=0,"",_xlfn.XLOOKUP(Sales[[#This Row],[Product Name]],Inventory[Product Name],Inventory[Sale Price]))</f>
        <v/>
      </c>
      <c r="I1762" s="19" t="str">
        <f>IFERROR(G1762*H1762,"")</f>
        <v/>
      </c>
      <c r="J1762" s="19"/>
    </row>
    <row r="1763" spans="1:10" ht="21">
      <c r="A1763" s="14">
        <v>1758</v>
      </c>
      <c r="C1763" s="16"/>
      <c r="D1763" s="14" t="str">
        <f>IF(Sales[[#This Row],[Product ID]]="","",Sales[[#This Row],[Date]]&amp;Sales[[#This Row],[Invoice no]])</f>
        <v/>
      </c>
      <c r="E17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3" s="19" t="str">
        <f>IF(_xlfn.XLOOKUP(Sales[[#This Row],[Product Name]],Inventory[Product Name],Inventory[Sale Price],"")=0,"",_xlfn.XLOOKUP(Sales[[#This Row],[Product Name]],Inventory[Product Name],Inventory[Sale Price]))</f>
        <v/>
      </c>
      <c r="I1763" s="19" t="str">
        <f>IFERROR(G1763*H1763,"")</f>
        <v/>
      </c>
      <c r="J1763" s="19"/>
    </row>
    <row r="1764" spans="1:10" ht="21">
      <c r="A1764" s="14">
        <v>1759</v>
      </c>
      <c r="C1764" s="16"/>
      <c r="D1764" s="14" t="str">
        <f>IF(Sales[[#This Row],[Product ID]]="","",Sales[[#This Row],[Date]]&amp;Sales[[#This Row],[Invoice no]])</f>
        <v/>
      </c>
      <c r="E17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4" s="19" t="str">
        <f>IF(_xlfn.XLOOKUP(Sales[[#This Row],[Product Name]],Inventory[Product Name],Inventory[Sale Price],"")=0,"",_xlfn.XLOOKUP(Sales[[#This Row],[Product Name]],Inventory[Product Name],Inventory[Sale Price]))</f>
        <v/>
      </c>
      <c r="I1764" s="19" t="str">
        <f>IFERROR(G1764*H1764,"")</f>
        <v/>
      </c>
      <c r="J1764" s="19"/>
    </row>
    <row r="1765" spans="1:10" ht="21">
      <c r="A1765" s="14">
        <v>1760</v>
      </c>
      <c r="C1765" s="16"/>
      <c r="D1765" s="14" t="str">
        <f>IF(Sales[[#This Row],[Product ID]]="","",Sales[[#This Row],[Date]]&amp;Sales[[#This Row],[Invoice no]])</f>
        <v/>
      </c>
      <c r="E17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5" s="19" t="str">
        <f>IF(_xlfn.XLOOKUP(Sales[[#This Row],[Product Name]],Inventory[Product Name],Inventory[Sale Price],"")=0,"",_xlfn.XLOOKUP(Sales[[#This Row],[Product Name]],Inventory[Product Name],Inventory[Sale Price]))</f>
        <v/>
      </c>
      <c r="I1765" s="19" t="str">
        <f>IFERROR(G1765*H1765,"")</f>
        <v/>
      </c>
      <c r="J1765" s="19"/>
    </row>
    <row r="1766" spans="1:10" ht="21">
      <c r="A1766" s="14">
        <v>1761</v>
      </c>
      <c r="C1766" s="16"/>
      <c r="D1766" s="14" t="str">
        <f>IF(Sales[[#This Row],[Product ID]]="","",Sales[[#This Row],[Date]]&amp;Sales[[#This Row],[Invoice no]])</f>
        <v/>
      </c>
      <c r="E17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6" s="19" t="str">
        <f>IF(_xlfn.XLOOKUP(Sales[[#This Row],[Product Name]],Inventory[Product Name],Inventory[Sale Price],"")=0,"",_xlfn.XLOOKUP(Sales[[#This Row],[Product Name]],Inventory[Product Name],Inventory[Sale Price]))</f>
        <v/>
      </c>
      <c r="I1766" s="19" t="str">
        <f>IFERROR(G1766*H1766,"")</f>
        <v/>
      </c>
      <c r="J1766" s="19"/>
    </row>
    <row r="1767" spans="1:10" ht="21">
      <c r="A1767" s="14">
        <v>1762</v>
      </c>
      <c r="C1767" s="16"/>
      <c r="D1767" s="14" t="str">
        <f>IF(Sales[[#This Row],[Product ID]]="","",Sales[[#This Row],[Date]]&amp;Sales[[#This Row],[Invoice no]])</f>
        <v/>
      </c>
      <c r="E17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7" s="19" t="str">
        <f>IF(_xlfn.XLOOKUP(Sales[[#This Row],[Product Name]],Inventory[Product Name],Inventory[Sale Price],"")=0,"",_xlfn.XLOOKUP(Sales[[#This Row],[Product Name]],Inventory[Product Name],Inventory[Sale Price]))</f>
        <v/>
      </c>
      <c r="I1767" s="19" t="str">
        <f>IFERROR(G1767*H1767,"")</f>
        <v/>
      </c>
      <c r="J1767" s="19"/>
    </row>
    <row r="1768" spans="1:10" ht="21">
      <c r="A1768" s="14">
        <v>1763</v>
      </c>
      <c r="C1768" s="16"/>
      <c r="D1768" s="14" t="str">
        <f>IF(Sales[[#This Row],[Product ID]]="","",Sales[[#This Row],[Date]]&amp;Sales[[#This Row],[Invoice no]])</f>
        <v/>
      </c>
      <c r="E17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8" s="19" t="str">
        <f>IF(_xlfn.XLOOKUP(Sales[[#This Row],[Product Name]],Inventory[Product Name],Inventory[Sale Price],"")=0,"",_xlfn.XLOOKUP(Sales[[#This Row],[Product Name]],Inventory[Product Name],Inventory[Sale Price]))</f>
        <v/>
      </c>
      <c r="I1768" s="19" t="str">
        <f>IFERROR(G1768*H1768,"")</f>
        <v/>
      </c>
      <c r="J1768" s="19"/>
    </row>
    <row r="1769" spans="1:10" ht="21">
      <c r="A1769" s="14">
        <v>1764</v>
      </c>
      <c r="C1769" s="16"/>
      <c r="D1769" s="14" t="str">
        <f>IF(Sales[[#This Row],[Product ID]]="","",Sales[[#This Row],[Date]]&amp;Sales[[#This Row],[Invoice no]])</f>
        <v/>
      </c>
      <c r="E17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69" s="19" t="str">
        <f>IF(_xlfn.XLOOKUP(Sales[[#This Row],[Product Name]],Inventory[Product Name],Inventory[Sale Price],"")=0,"",_xlfn.XLOOKUP(Sales[[#This Row],[Product Name]],Inventory[Product Name],Inventory[Sale Price]))</f>
        <v/>
      </c>
      <c r="I1769" s="19" t="str">
        <f>IFERROR(G1769*H1769,"")</f>
        <v/>
      </c>
      <c r="J1769" s="19"/>
    </row>
    <row r="1770" spans="1:10" ht="21">
      <c r="A1770" s="14">
        <v>1765</v>
      </c>
      <c r="C1770" s="16"/>
      <c r="D1770" s="14" t="str">
        <f>IF(Sales[[#This Row],[Product ID]]="","",Sales[[#This Row],[Date]]&amp;Sales[[#This Row],[Invoice no]])</f>
        <v/>
      </c>
      <c r="E17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0" s="19" t="str">
        <f>IF(_xlfn.XLOOKUP(Sales[[#This Row],[Product Name]],Inventory[Product Name],Inventory[Sale Price],"")=0,"",_xlfn.XLOOKUP(Sales[[#This Row],[Product Name]],Inventory[Product Name],Inventory[Sale Price]))</f>
        <v/>
      </c>
      <c r="I1770" s="19" t="str">
        <f>IFERROR(G1770*H1770,"")</f>
        <v/>
      </c>
      <c r="J1770" s="19"/>
    </row>
    <row r="1771" spans="1:10" ht="21">
      <c r="A1771" s="14">
        <v>1766</v>
      </c>
      <c r="C1771" s="16"/>
      <c r="D1771" s="14" t="str">
        <f>IF(Sales[[#This Row],[Product ID]]="","",Sales[[#This Row],[Date]]&amp;Sales[[#This Row],[Invoice no]])</f>
        <v/>
      </c>
      <c r="E17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1" s="19" t="str">
        <f>IF(_xlfn.XLOOKUP(Sales[[#This Row],[Product Name]],Inventory[Product Name],Inventory[Sale Price],"")=0,"",_xlfn.XLOOKUP(Sales[[#This Row],[Product Name]],Inventory[Product Name],Inventory[Sale Price]))</f>
        <v/>
      </c>
      <c r="I1771" s="19" t="str">
        <f>IFERROR(G1771*H1771,"")</f>
        <v/>
      </c>
      <c r="J1771" s="19"/>
    </row>
    <row r="1772" spans="1:10" ht="21">
      <c r="A1772" s="14">
        <v>1767</v>
      </c>
      <c r="C1772" s="16"/>
      <c r="D1772" s="14" t="str">
        <f>IF(Sales[[#This Row],[Product ID]]="","",Sales[[#This Row],[Date]]&amp;Sales[[#This Row],[Invoice no]])</f>
        <v/>
      </c>
      <c r="E17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2" s="19" t="str">
        <f>IF(_xlfn.XLOOKUP(Sales[[#This Row],[Product Name]],Inventory[Product Name],Inventory[Sale Price],"")=0,"",_xlfn.XLOOKUP(Sales[[#This Row],[Product Name]],Inventory[Product Name],Inventory[Sale Price]))</f>
        <v/>
      </c>
      <c r="I1772" s="19" t="str">
        <f>IFERROR(G1772*H1772,"")</f>
        <v/>
      </c>
      <c r="J1772" s="19"/>
    </row>
    <row r="1773" spans="1:10" ht="21">
      <c r="A1773" s="14">
        <v>1768</v>
      </c>
      <c r="C1773" s="16"/>
      <c r="D1773" s="14" t="str">
        <f>IF(Sales[[#This Row],[Product ID]]="","",Sales[[#This Row],[Date]]&amp;Sales[[#This Row],[Invoice no]])</f>
        <v/>
      </c>
      <c r="E17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3" s="19" t="str">
        <f>IF(_xlfn.XLOOKUP(Sales[[#This Row],[Product Name]],Inventory[Product Name],Inventory[Sale Price],"")=0,"",_xlfn.XLOOKUP(Sales[[#This Row],[Product Name]],Inventory[Product Name],Inventory[Sale Price]))</f>
        <v/>
      </c>
      <c r="I1773" s="19" t="str">
        <f>IFERROR(G1773*H1773,"")</f>
        <v/>
      </c>
      <c r="J1773" s="19"/>
    </row>
    <row r="1774" spans="1:10" ht="21">
      <c r="A1774" s="14">
        <v>1769</v>
      </c>
      <c r="C1774" s="16"/>
      <c r="D1774" s="14" t="str">
        <f>IF(Sales[[#This Row],[Product ID]]="","",Sales[[#This Row],[Date]]&amp;Sales[[#This Row],[Invoice no]])</f>
        <v/>
      </c>
      <c r="E17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4" s="19" t="str">
        <f>IF(_xlfn.XLOOKUP(Sales[[#This Row],[Product Name]],Inventory[Product Name],Inventory[Sale Price],"")=0,"",_xlfn.XLOOKUP(Sales[[#This Row],[Product Name]],Inventory[Product Name],Inventory[Sale Price]))</f>
        <v/>
      </c>
      <c r="I1774" s="19" t="str">
        <f>IFERROR(G1774*H1774,"")</f>
        <v/>
      </c>
      <c r="J1774" s="19"/>
    </row>
    <row r="1775" spans="1:10" ht="21">
      <c r="A1775" s="14">
        <v>1770</v>
      </c>
      <c r="C1775" s="16"/>
      <c r="D1775" s="14" t="str">
        <f>IF(Sales[[#This Row],[Product ID]]="","",Sales[[#This Row],[Date]]&amp;Sales[[#This Row],[Invoice no]])</f>
        <v/>
      </c>
      <c r="E17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5" s="19" t="str">
        <f>IF(_xlfn.XLOOKUP(Sales[[#This Row],[Product Name]],Inventory[Product Name],Inventory[Sale Price],"")=0,"",_xlfn.XLOOKUP(Sales[[#This Row],[Product Name]],Inventory[Product Name],Inventory[Sale Price]))</f>
        <v/>
      </c>
      <c r="I1775" s="19" t="str">
        <f>IFERROR(G1775*H1775,"")</f>
        <v/>
      </c>
      <c r="J1775" s="19"/>
    </row>
    <row r="1776" spans="1:10" ht="21">
      <c r="A1776" s="14">
        <v>1771</v>
      </c>
      <c r="C1776" s="16"/>
      <c r="D1776" s="14" t="str">
        <f>IF(Sales[[#This Row],[Product ID]]="","",Sales[[#This Row],[Date]]&amp;Sales[[#This Row],[Invoice no]])</f>
        <v/>
      </c>
      <c r="E17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6" s="19" t="str">
        <f>IF(_xlfn.XLOOKUP(Sales[[#This Row],[Product Name]],Inventory[Product Name],Inventory[Sale Price],"")=0,"",_xlfn.XLOOKUP(Sales[[#This Row],[Product Name]],Inventory[Product Name],Inventory[Sale Price]))</f>
        <v/>
      </c>
      <c r="I1776" s="19" t="str">
        <f>IFERROR(G1776*H1776,"")</f>
        <v/>
      </c>
      <c r="J1776" s="19"/>
    </row>
    <row r="1777" spans="1:10" ht="21">
      <c r="A1777" s="14">
        <v>1772</v>
      </c>
      <c r="C1777" s="16"/>
      <c r="D1777" s="14" t="str">
        <f>IF(Sales[[#This Row],[Product ID]]="","",Sales[[#This Row],[Date]]&amp;Sales[[#This Row],[Invoice no]])</f>
        <v/>
      </c>
      <c r="E17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7" s="19" t="str">
        <f>IF(_xlfn.XLOOKUP(Sales[[#This Row],[Product Name]],Inventory[Product Name],Inventory[Sale Price],"")=0,"",_xlfn.XLOOKUP(Sales[[#This Row],[Product Name]],Inventory[Product Name],Inventory[Sale Price]))</f>
        <v/>
      </c>
      <c r="I1777" s="19" t="str">
        <f>IFERROR(G1777*H1777,"")</f>
        <v/>
      </c>
      <c r="J1777" s="19"/>
    </row>
    <row r="1778" spans="1:10" ht="21">
      <c r="A1778" s="14">
        <v>1773</v>
      </c>
      <c r="C1778" s="16"/>
      <c r="D1778" s="14" t="str">
        <f>IF(Sales[[#This Row],[Product ID]]="","",Sales[[#This Row],[Date]]&amp;Sales[[#This Row],[Invoice no]])</f>
        <v/>
      </c>
      <c r="E17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8" s="19" t="str">
        <f>IF(_xlfn.XLOOKUP(Sales[[#This Row],[Product Name]],Inventory[Product Name],Inventory[Sale Price],"")=0,"",_xlfn.XLOOKUP(Sales[[#This Row],[Product Name]],Inventory[Product Name],Inventory[Sale Price]))</f>
        <v/>
      </c>
      <c r="I1778" s="19" t="str">
        <f>IFERROR(G1778*H1778,"")</f>
        <v/>
      </c>
      <c r="J1778" s="19"/>
    </row>
    <row r="1779" spans="1:10" ht="21">
      <c r="A1779" s="14">
        <v>1774</v>
      </c>
      <c r="C1779" s="16"/>
      <c r="D1779" s="14" t="str">
        <f>IF(Sales[[#This Row],[Product ID]]="","",Sales[[#This Row],[Date]]&amp;Sales[[#This Row],[Invoice no]])</f>
        <v/>
      </c>
      <c r="E17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79" s="19" t="str">
        <f>IF(_xlfn.XLOOKUP(Sales[[#This Row],[Product Name]],Inventory[Product Name],Inventory[Sale Price],"")=0,"",_xlfn.XLOOKUP(Sales[[#This Row],[Product Name]],Inventory[Product Name],Inventory[Sale Price]))</f>
        <v/>
      </c>
      <c r="I1779" s="19" t="str">
        <f>IFERROR(G1779*H1779,"")</f>
        <v/>
      </c>
      <c r="J1779" s="19"/>
    </row>
    <row r="1780" spans="1:10" ht="21">
      <c r="A1780" s="14">
        <v>1775</v>
      </c>
      <c r="C1780" s="16"/>
      <c r="D1780" s="14" t="str">
        <f>IF(Sales[[#This Row],[Product ID]]="","",Sales[[#This Row],[Date]]&amp;Sales[[#This Row],[Invoice no]])</f>
        <v/>
      </c>
      <c r="E17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0" s="19" t="str">
        <f>IF(_xlfn.XLOOKUP(Sales[[#This Row],[Product Name]],Inventory[Product Name],Inventory[Sale Price],"")=0,"",_xlfn.XLOOKUP(Sales[[#This Row],[Product Name]],Inventory[Product Name],Inventory[Sale Price]))</f>
        <v/>
      </c>
      <c r="I1780" s="19" t="str">
        <f>IFERROR(G1780*H1780,"")</f>
        <v/>
      </c>
      <c r="J1780" s="19"/>
    </row>
    <row r="1781" spans="1:10" ht="21">
      <c r="A1781" s="14">
        <v>1776</v>
      </c>
      <c r="C1781" s="16"/>
      <c r="D1781" s="14" t="str">
        <f>IF(Sales[[#This Row],[Product ID]]="","",Sales[[#This Row],[Date]]&amp;Sales[[#This Row],[Invoice no]])</f>
        <v/>
      </c>
      <c r="E17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1" s="19" t="str">
        <f>IF(_xlfn.XLOOKUP(Sales[[#This Row],[Product Name]],Inventory[Product Name],Inventory[Sale Price],"")=0,"",_xlfn.XLOOKUP(Sales[[#This Row],[Product Name]],Inventory[Product Name],Inventory[Sale Price]))</f>
        <v/>
      </c>
      <c r="I1781" s="19" t="str">
        <f>IFERROR(G1781*H1781,"")</f>
        <v/>
      </c>
      <c r="J1781" s="19"/>
    </row>
    <row r="1782" spans="1:10" ht="21">
      <c r="A1782" s="14">
        <v>1777</v>
      </c>
      <c r="C1782" s="16"/>
      <c r="D1782" s="14" t="str">
        <f>IF(Sales[[#This Row],[Product ID]]="","",Sales[[#This Row],[Date]]&amp;Sales[[#This Row],[Invoice no]])</f>
        <v/>
      </c>
      <c r="E17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2" s="19" t="str">
        <f>IF(_xlfn.XLOOKUP(Sales[[#This Row],[Product Name]],Inventory[Product Name],Inventory[Sale Price],"")=0,"",_xlfn.XLOOKUP(Sales[[#This Row],[Product Name]],Inventory[Product Name],Inventory[Sale Price]))</f>
        <v/>
      </c>
      <c r="I1782" s="19" t="str">
        <f>IFERROR(G1782*H1782,"")</f>
        <v/>
      </c>
      <c r="J1782" s="19"/>
    </row>
    <row r="1783" spans="1:10" ht="21">
      <c r="A1783" s="14">
        <v>1778</v>
      </c>
      <c r="C1783" s="16"/>
      <c r="D1783" s="14" t="str">
        <f>IF(Sales[[#This Row],[Product ID]]="","",Sales[[#This Row],[Date]]&amp;Sales[[#This Row],[Invoice no]])</f>
        <v/>
      </c>
      <c r="E17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3" s="19" t="str">
        <f>IF(_xlfn.XLOOKUP(Sales[[#This Row],[Product Name]],Inventory[Product Name],Inventory[Sale Price],"")=0,"",_xlfn.XLOOKUP(Sales[[#This Row],[Product Name]],Inventory[Product Name],Inventory[Sale Price]))</f>
        <v/>
      </c>
      <c r="I1783" s="19" t="str">
        <f>IFERROR(G1783*H1783,"")</f>
        <v/>
      </c>
      <c r="J1783" s="19"/>
    </row>
    <row r="1784" spans="1:10" ht="21">
      <c r="A1784" s="14">
        <v>1779</v>
      </c>
      <c r="C1784" s="16"/>
      <c r="D1784" s="14" t="str">
        <f>IF(Sales[[#This Row],[Product ID]]="","",Sales[[#This Row],[Date]]&amp;Sales[[#This Row],[Invoice no]])</f>
        <v/>
      </c>
      <c r="E17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4" s="19" t="str">
        <f>IF(_xlfn.XLOOKUP(Sales[[#This Row],[Product Name]],Inventory[Product Name],Inventory[Sale Price],"")=0,"",_xlfn.XLOOKUP(Sales[[#This Row],[Product Name]],Inventory[Product Name],Inventory[Sale Price]))</f>
        <v/>
      </c>
      <c r="I1784" s="19" t="str">
        <f>IFERROR(G1784*H1784,"")</f>
        <v/>
      </c>
      <c r="J1784" s="19"/>
    </row>
    <row r="1785" spans="1:10" ht="21">
      <c r="A1785" s="14">
        <v>1780</v>
      </c>
      <c r="C1785" s="16"/>
      <c r="D1785" s="14" t="str">
        <f>IF(Sales[[#This Row],[Product ID]]="","",Sales[[#This Row],[Date]]&amp;Sales[[#This Row],[Invoice no]])</f>
        <v/>
      </c>
      <c r="E17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5" s="19" t="str">
        <f>IF(_xlfn.XLOOKUP(Sales[[#This Row],[Product Name]],Inventory[Product Name],Inventory[Sale Price],"")=0,"",_xlfn.XLOOKUP(Sales[[#This Row],[Product Name]],Inventory[Product Name],Inventory[Sale Price]))</f>
        <v/>
      </c>
      <c r="I1785" s="19" t="str">
        <f>IFERROR(G1785*H1785,"")</f>
        <v/>
      </c>
      <c r="J1785" s="19"/>
    </row>
    <row r="1786" spans="1:10" ht="21">
      <c r="A1786" s="14">
        <v>1781</v>
      </c>
      <c r="C1786" s="16"/>
      <c r="D1786" s="14" t="str">
        <f>IF(Sales[[#This Row],[Product ID]]="","",Sales[[#This Row],[Date]]&amp;Sales[[#This Row],[Invoice no]])</f>
        <v/>
      </c>
      <c r="E17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6" s="19" t="str">
        <f>IF(_xlfn.XLOOKUP(Sales[[#This Row],[Product Name]],Inventory[Product Name],Inventory[Sale Price],"")=0,"",_xlfn.XLOOKUP(Sales[[#This Row],[Product Name]],Inventory[Product Name],Inventory[Sale Price]))</f>
        <v/>
      </c>
      <c r="I1786" s="19" t="str">
        <f>IFERROR(G1786*H1786,"")</f>
        <v/>
      </c>
      <c r="J1786" s="19"/>
    </row>
    <row r="1787" spans="1:10" ht="21">
      <c r="A1787" s="14">
        <v>1782</v>
      </c>
      <c r="C1787" s="16"/>
      <c r="D1787" s="14" t="str">
        <f>IF(Sales[[#This Row],[Product ID]]="","",Sales[[#This Row],[Date]]&amp;Sales[[#This Row],[Invoice no]])</f>
        <v/>
      </c>
      <c r="E17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7" s="19" t="str">
        <f>IF(_xlfn.XLOOKUP(Sales[[#This Row],[Product Name]],Inventory[Product Name],Inventory[Sale Price],"")=0,"",_xlfn.XLOOKUP(Sales[[#This Row],[Product Name]],Inventory[Product Name],Inventory[Sale Price]))</f>
        <v/>
      </c>
      <c r="I1787" s="19" t="str">
        <f>IFERROR(G1787*H1787,"")</f>
        <v/>
      </c>
      <c r="J1787" s="19"/>
    </row>
    <row r="1788" spans="1:10" ht="21">
      <c r="A1788" s="14">
        <v>1783</v>
      </c>
      <c r="C1788" s="16"/>
      <c r="D1788" s="14" t="str">
        <f>IF(Sales[[#This Row],[Product ID]]="","",Sales[[#This Row],[Date]]&amp;Sales[[#This Row],[Invoice no]])</f>
        <v/>
      </c>
      <c r="E17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8" s="19" t="str">
        <f>IF(_xlfn.XLOOKUP(Sales[[#This Row],[Product Name]],Inventory[Product Name],Inventory[Sale Price],"")=0,"",_xlfn.XLOOKUP(Sales[[#This Row],[Product Name]],Inventory[Product Name],Inventory[Sale Price]))</f>
        <v/>
      </c>
      <c r="I1788" s="19" t="str">
        <f>IFERROR(G1788*H1788,"")</f>
        <v/>
      </c>
      <c r="J1788" s="19"/>
    </row>
    <row r="1789" spans="1:10" ht="21">
      <c r="A1789" s="14">
        <v>1784</v>
      </c>
      <c r="C1789" s="16"/>
      <c r="D1789" s="14" t="str">
        <f>IF(Sales[[#This Row],[Product ID]]="","",Sales[[#This Row],[Date]]&amp;Sales[[#This Row],[Invoice no]])</f>
        <v/>
      </c>
      <c r="E17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89" s="19" t="str">
        <f>IF(_xlfn.XLOOKUP(Sales[[#This Row],[Product Name]],Inventory[Product Name],Inventory[Sale Price],"")=0,"",_xlfn.XLOOKUP(Sales[[#This Row],[Product Name]],Inventory[Product Name],Inventory[Sale Price]))</f>
        <v/>
      </c>
      <c r="I1789" s="19" t="str">
        <f>IFERROR(G1789*H1789,"")</f>
        <v/>
      </c>
      <c r="J1789" s="19"/>
    </row>
    <row r="1790" spans="1:10" ht="21">
      <c r="A1790" s="14">
        <v>1785</v>
      </c>
      <c r="C1790" s="16"/>
      <c r="D1790" s="14" t="str">
        <f>IF(Sales[[#This Row],[Product ID]]="","",Sales[[#This Row],[Date]]&amp;Sales[[#This Row],[Invoice no]])</f>
        <v/>
      </c>
      <c r="E17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0" s="19" t="str">
        <f>IF(_xlfn.XLOOKUP(Sales[[#This Row],[Product Name]],Inventory[Product Name],Inventory[Sale Price],"")=0,"",_xlfn.XLOOKUP(Sales[[#This Row],[Product Name]],Inventory[Product Name],Inventory[Sale Price]))</f>
        <v/>
      </c>
      <c r="I1790" s="19" t="str">
        <f>IFERROR(G1790*H1790,"")</f>
        <v/>
      </c>
      <c r="J1790" s="19"/>
    </row>
    <row r="1791" spans="1:10" ht="21">
      <c r="A1791" s="14">
        <v>1786</v>
      </c>
      <c r="C1791" s="16"/>
      <c r="D1791" s="14" t="str">
        <f>IF(Sales[[#This Row],[Product ID]]="","",Sales[[#This Row],[Date]]&amp;Sales[[#This Row],[Invoice no]])</f>
        <v/>
      </c>
      <c r="E17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1" s="19" t="str">
        <f>IF(_xlfn.XLOOKUP(Sales[[#This Row],[Product Name]],Inventory[Product Name],Inventory[Sale Price],"")=0,"",_xlfn.XLOOKUP(Sales[[#This Row],[Product Name]],Inventory[Product Name],Inventory[Sale Price]))</f>
        <v/>
      </c>
      <c r="I1791" s="19" t="str">
        <f>IFERROR(G1791*H1791,"")</f>
        <v/>
      </c>
      <c r="J1791" s="19"/>
    </row>
    <row r="1792" spans="1:10" ht="21">
      <c r="A1792" s="14">
        <v>1787</v>
      </c>
      <c r="C1792" s="16"/>
      <c r="D1792" s="14" t="str">
        <f>IF(Sales[[#This Row],[Product ID]]="","",Sales[[#This Row],[Date]]&amp;Sales[[#This Row],[Invoice no]])</f>
        <v/>
      </c>
      <c r="E17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2" s="19" t="str">
        <f>IF(_xlfn.XLOOKUP(Sales[[#This Row],[Product Name]],Inventory[Product Name],Inventory[Sale Price],"")=0,"",_xlfn.XLOOKUP(Sales[[#This Row],[Product Name]],Inventory[Product Name],Inventory[Sale Price]))</f>
        <v/>
      </c>
      <c r="I1792" s="19" t="str">
        <f>IFERROR(G1792*H1792,"")</f>
        <v/>
      </c>
      <c r="J1792" s="19"/>
    </row>
    <row r="1793" spans="1:10" ht="21">
      <c r="A1793" s="14">
        <v>1788</v>
      </c>
      <c r="C1793" s="16"/>
      <c r="D1793" s="14" t="str">
        <f>IF(Sales[[#This Row],[Product ID]]="","",Sales[[#This Row],[Date]]&amp;Sales[[#This Row],[Invoice no]])</f>
        <v/>
      </c>
      <c r="E17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3" s="19" t="str">
        <f>IF(_xlfn.XLOOKUP(Sales[[#This Row],[Product Name]],Inventory[Product Name],Inventory[Sale Price],"")=0,"",_xlfn.XLOOKUP(Sales[[#This Row],[Product Name]],Inventory[Product Name],Inventory[Sale Price]))</f>
        <v/>
      </c>
      <c r="I1793" s="19" t="str">
        <f>IFERROR(G1793*H1793,"")</f>
        <v/>
      </c>
      <c r="J1793" s="19"/>
    </row>
    <row r="1794" spans="1:10" ht="21">
      <c r="A1794" s="14">
        <v>1789</v>
      </c>
      <c r="C1794" s="16"/>
      <c r="D1794" s="14" t="str">
        <f>IF(Sales[[#This Row],[Product ID]]="","",Sales[[#This Row],[Date]]&amp;Sales[[#This Row],[Invoice no]])</f>
        <v/>
      </c>
      <c r="E17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4" s="19" t="str">
        <f>IF(_xlfn.XLOOKUP(Sales[[#This Row],[Product Name]],Inventory[Product Name],Inventory[Sale Price],"")=0,"",_xlfn.XLOOKUP(Sales[[#This Row],[Product Name]],Inventory[Product Name],Inventory[Sale Price]))</f>
        <v/>
      </c>
      <c r="I1794" s="19" t="str">
        <f>IFERROR(G1794*H1794,"")</f>
        <v/>
      </c>
      <c r="J1794" s="19"/>
    </row>
    <row r="1795" spans="1:10" ht="21">
      <c r="A1795" s="14">
        <v>1790</v>
      </c>
      <c r="C1795" s="16"/>
      <c r="D1795" s="14" t="str">
        <f>IF(Sales[[#This Row],[Product ID]]="","",Sales[[#This Row],[Date]]&amp;Sales[[#This Row],[Invoice no]])</f>
        <v/>
      </c>
      <c r="E17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5" s="19" t="str">
        <f>IF(_xlfn.XLOOKUP(Sales[[#This Row],[Product Name]],Inventory[Product Name],Inventory[Sale Price],"")=0,"",_xlfn.XLOOKUP(Sales[[#This Row],[Product Name]],Inventory[Product Name],Inventory[Sale Price]))</f>
        <v/>
      </c>
      <c r="I1795" s="19" t="str">
        <f>IFERROR(G1795*H1795,"")</f>
        <v/>
      </c>
      <c r="J1795" s="19"/>
    </row>
    <row r="1796" spans="1:10" ht="21">
      <c r="A1796" s="14">
        <v>1791</v>
      </c>
      <c r="C1796" s="16"/>
      <c r="D1796" s="14" t="str">
        <f>IF(Sales[[#This Row],[Product ID]]="","",Sales[[#This Row],[Date]]&amp;Sales[[#This Row],[Invoice no]])</f>
        <v/>
      </c>
      <c r="E17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6" s="19" t="str">
        <f>IF(_xlfn.XLOOKUP(Sales[[#This Row],[Product Name]],Inventory[Product Name],Inventory[Sale Price],"")=0,"",_xlfn.XLOOKUP(Sales[[#This Row],[Product Name]],Inventory[Product Name],Inventory[Sale Price]))</f>
        <v/>
      </c>
      <c r="I1796" s="19" t="str">
        <f>IFERROR(G1796*H1796,"")</f>
        <v/>
      </c>
      <c r="J1796" s="19"/>
    </row>
    <row r="1797" spans="1:10" ht="21">
      <c r="A1797" s="14">
        <v>1792</v>
      </c>
      <c r="C1797" s="16"/>
      <c r="D1797" s="14" t="str">
        <f>IF(Sales[[#This Row],[Product ID]]="","",Sales[[#This Row],[Date]]&amp;Sales[[#This Row],[Invoice no]])</f>
        <v/>
      </c>
      <c r="E17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7" s="19" t="str">
        <f>IF(_xlfn.XLOOKUP(Sales[[#This Row],[Product Name]],Inventory[Product Name],Inventory[Sale Price],"")=0,"",_xlfn.XLOOKUP(Sales[[#This Row],[Product Name]],Inventory[Product Name],Inventory[Sale Price]))</f>
        <v/>
      </c>
      <c r="I1797" s="19" t="str">
        <f>IFERROR(G1797*H1797,"")</f>
        <v/>
      </c>
      <c r="J1797" s="19"/>
    </row>
    <row r="1798" spans="1:10" ht="21">
      <c r="A1798" s="14">
        <v>1793</v>
      </c>
      <c r="C1798" s="16"/>
      <c r="D1798" s="14" t="str">
        <f>IF(Sales[[#This Row],[Product ID]]="","",Sales[[#This Row],[Date]]&amp;Sales[[#This Row],[Invoice no]])</f>
        <v/>
      </c>
      <c r="E17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8" s="19" t="str">
        <f>IF(_xlfn.XLOOKUP(Sales[[#This Row],[Product Name]],Inventory[Product Name],Inventory[Sale Price],"")=0,"",_xlfn.XLOOKUP(Sales[[#This Row],[Product Name]],Inventory[Product Name],Inventory[Sale Price]))</f>
        <v/>
      </c>
      <c r="I1798" s="19" t="str">
        <f>IFERROR(G1798*H1798,"")</f>
        <v/>
      </c>
      <c r="J1798" s="19"/>
    </row>
    <row r="1799" spans="1:10" ht="21">
      <c r="A1799" s="14">
        <v>1794</v>
      </c>
      <c r="C1799" s="16"/>
      <c r="D1799" s="14" t="str">
        <f>IF(Sales[[#This Row],[Product ID]]="","",Sales[[#This Row],[Date]]&amp;Sales[[#This Row],[Invoice no]])</f>
        <v/>
      </c>
      <c r="E17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799" s="19" t="str">
        <f>IF(_xlfn.XLOOKUP(Sales[[#This Row],[Product Name]],Inventory[Product Name],Inventory[Sale Price],"")=0,"",_xlfn.XLOOKUP(Sales[[#This Row],[Product Name]],Inventory[Product Name],Inventory[Sale Price]))</f>
        <v/>
      </c>
      <c r="I1799" s="19" t="str">
        <f>IFERROR(G1799*H1799,"")</f>
        <v/>
      </c>
      <c r="J1799" s="19"/>
    </row>
    <row r="1800" spans="1:10" ht="21">
      <c r="A1800" s="14">
        <v>1795</v>
      </c>
      <c r="C1800" s="16"/>
      <c r="D1800" s="14" t="str">
        <f>IF(Sales[[#This Row],[Product ID]]="","",Sales[[#This Row],[Date]]&amp;Sales[[#This Row],[Invoice no]])</f>
        <v/>
      </c>
      <c r="E18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0" s="19" t="str">
        <f>IF(_xlfn.XLOOKUP(Sales[[#This Row],[Product Name]],Inventory[Product Name],Inventory[Sale Price],"")=0,"",_xlfn.XLOOKUP(Sales[[#This Row],[Product Name]],Inventory[Product Name],Inventory[Sale Price]))</f>
        <v/>
      </c>
      <c r="I1800" s="19" t="str">
        <f>IFERROR(G1800*H1800,"")</f>
        <v/>
      </c>
      <c r="J1800" s="19"/>
    </row>
    <row r="1801" spans="1:10" ht="21">
      <c r="A1801" s="14">
        <v>1796</v>
      </c>
      <c r="C1801" s="16"/>
      <c r="D1801" s="14" t="str">
        <f>IF(Sales[[#This Row],[Product ID]]="","",Sales[[#This Row],[Date]]&amp;Sales[[#This Row],[Invoice no]])</f>
        <v/>
      </c>
      <c r="E18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1" s="19" t="str">
        <f>IF(_xlfn.XLOOKUP(Sales[[#This Row],[Product Name]],Inventory[Product Name],Inventory[Sale Price],"")=0,"",_xlfn.XLOOKUP(Sales[[#This Row],[Product Name]],Inventory[Product Name],Inventory[Sale Price]))</f>
        <v/>
      </c>
      <c r="I1801" s="19" t="str">
        <f>IFERROR(G1801*H1801,"")</f>
        <v/>
      </c>
      <c r="J1801" s="19"/>
    </row>
    <row r="1802" spans="1:10" ht="21">
      <c r="A1802" s="14">
        <v>1797</v>
      </c>
      <c r="C1802" s="16"/>
      <c r="D1802" s="14" t="str">
        <f>IF(Sales[[#This Row],[Product ID]]="","",Sales[[#This Row],[Date]]&amp;Sales[[#This Row],[Invoice no]])</f>
        <v/>
      </c>
      <c r="E18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2" s="19" t="str">
        <f>IF(_xlfn.XLOOKUP(Sales[[#This Row],[Product Name]],Inventory[Product Name],Inventory[Sale Price],"")=0,"",_xlfn.XLOOKUP(Sales[[#This Row],[Product Name]],Inventory[Product Name],Inventory[Sale Price]))</f>
        <v/>
      </c>
      <c r="I1802" s="19" t="str">
        <f>IFERROR(G1802*H1802,"")</f>
        <v/>
      </c>
      <c r="J1802" s="19"/>
    </row>
    <row r="1803" spans="1:10" ht="21">
      <c r="A1803" s="14">
        <v>1798</v>
      </c>
      <c r="C1803" s="16"/>
      <c r="D1803" s="14" t="str">
        <f>IF(Sales[[#This Row],[Product ID]]="","",Sales[[#This Row],[Date]]&amp;Sales[[#This Row],[Invoice no]])</f>
        <v/>
      </c>
      <c r="E18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3" s="19" t="str">
        <f>IF(_xlfn.XLOOKUP(Sales[[#This Row],[Product Name]],Inventory[Product Name],Inventory[Sale Price],"")=0,"",_xlfn.XLOOKUP(Sales[[#This Row],[Product Name]],Inventory[Product Name],Inventory[Sale Price]))</f>
        <v/>
      </c>
      <c r="I1803" s="19" t="str">
        <f>IFERROR(G1803*H1803,"")</f>
        <v/>
      </c>
      <c r="J1803" s="19"/>
    </row>
    <row r="1804" spans="1:10" ht="21">
      <c r="A1804" s="14">
        <v>1799</v>
      </c>
      <c r="C1804" s="16"/>
      <c r="D1804" s="14" t="str">
        <f>IF(Sales[[#This Row],[Product ID]]="","",Sales[[#This Row],[Date]]&amp;Sales[[#This Row],[Invoice no]])</f>
        <v/>
      </c>
      <c r="E18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4" s="19" t="str">
        <f>IF(_xlfn.XLOOKUP(Sales[[#This Row],[Product Name]],Inventory[Product Name],Inventory[Sale Price],"")=0,"",_xlfn.XLOOKUP(Sales[[#This Row],[Product Name]],Inventory[Product Name],Inventory[Sale Price]))</f>
        <v/>
      </c>
      <c r="I1804" s="19" t="str">
        <f>IFERROR(G1804*H1804,"")</f>
        <v/>
      </c>
      <c r="J1804" s="19"/>
    </row>
    <row r="1805" spans="1:10" ht="21">
      <c r="A1805" s="14">
        <v>1800</v>
      </c>
      <c r="C1805" s="16"/>
      <c r="D1805" s="14" t="str">
        <f>IF(Sales[[#This Row],[Product ID]]="","",Sales[[#This Row],[Date]]&amp;Sales[[#This Row],[Invoice no]])</f>
        <v/>
      </c>
      <c r="E18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5" s="19" t="str">
        <f>IF(_xlfn.XLOOKUP(Sales[[#This Row],[Product Name]],Inventory[Product Name],Inventory[Sale Price],"")=0,"",_xlfn.XLOOKUP(Sales[[#This Row],[Product Name]],Inventory[Product Name],Inventory[Sale Price]))</f>
        <v/>
      </c>
      <c r="I1805" s="19" t="str">
        <f>IFERROR(G1805*H1805,"")</f>
        <v/>
      </c>
      <c r="J1805" s="19"/>
    </row>
    <row r="1806" spans="1:10" ht="21">
      <c r="A1806" s="14">
        <v>1801</v>
      </c>
      <c r="C1806" s="16"/>
      <c r="D1806" s="14" t="str">
        <f>IF(Sales[[#This Row],[Product ID]]="","",Sales[[#This Row],[Date]]&amp;Sales[[#This Row],[Invoice no]])</f>
        <v/>
      </c>
      <c r="E18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6" s="19" t="str">
        <f>IF(_xlfn.XLOOKUP(Sales[[#This Row],[Product Name]],Inventory[Product Name],Inventory[Sale Price],"")=0,"",_xlfn.XLOOKUP(Sales[[#This Row],[Product Name]],Inventory[Product Name],Inventory[Sale Price]))</f>
        <v/>
      </c>
      <c r="I1806" s="19" t="str">
        <f>IFERROR(G1806*H1806,"")</f>
        <v/>
      </c>
      <c r="J1806" s="19"/>
    </row>
    <row r="1807" spans="1:10" ht="21">
      <c r="A1807" s="14">
        <v>1802</v>
      </c>
      <c r="C1807" s="16"/>
      <c r="D1807" s="14" t="str">
        <f>IF(Sales[[#This Row],[Product ID]]="","",Sales[[#This Row],[Date]]&amp;Sales[[#This Row],[Invoice no]])</f>
        <v/>
      </c>
      <c r="E18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7" s="19" t="str">
        <f>IF(_xlfn.XLOOKUP(Sales[[#This Row],[Product Name]],Inventory[Product Name],Inventory[Sale Price],"")=0,"",_xlfn.XLOOKUP(Sales[[#This Row],[Product Name]],Inventory[Product Name],Inventory[Sale Price]))</f>
        <v/>
      </c>
      <c r="I1807" s="19" t="str">
        <f>IFERROR(G1807*H1807,"")</f>
        <v/>
      </c>
      <c r="J1807" s="19"/>
    </row>
    <row r="1808" spans="1:10" ht="21">
      <c r="A1808" s="14">
        <v>1803</v>
      </c>
      <c r="C1808" s="16"/>
      <c r="D1808" s="14" t="str">
        <f>IF(Sales[[#This Row],[Product ID]]="","",Sales[[#This Row],[Date]]&amp;Sales[[#This Row],[Invoice no]])</f>
        <v/>
      </c>
      <c r="E18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8" s="19" t="str">
        <f>IF(_xlfn.XLOOKUP(Sales[[#This Row],[Product Name]],Inventory[Product Name],Inventory[Sale Price],"")=0,"",_xlfn.XLOOKUP(Sales[[#This Row],[Product Name]],Inventory[Product Name],Inventory[Sale Price]))</f>
        <v/>
      </c>
      <c r="I1808" s="19" t="str">
        <f>IFERROR(G1808*H1808,"")</f>
        <v/>
      </c>
      <c r="J1808" s="19"/>
    </row>
    <row r="1809" spans="1:10" ht="21">
      <c r="A1809" s="14">
        <v>1804</v>
      </c>
      <c r="C1809" s="16"/>
      <c r="D1809" s="14" t="str">
        <f>IF(Sales[[#This Row],[Product ID]]="","",Sales[[#This Row],[Date]]&amp;Sales[[#This Row],[Invoice no]])</f>
        <v/>
      </c>
      <c r="E18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09" s="19" t="str">
        <f>IF(_xlfn.XLOOKUP(Sales[[#This Row],[Product Name]],Inventory[Product Name],Inventory[Sale Price],"")=0,"",_xlfn.XLOOKUP(Sales[[#This Row],[Product Name]],Inventory[Product Name],Inventory[Sale Price]))</f>
        <v/>
      </c>
      <c r="I1809" s="19" t="str">
        <f>IFERROR(G1809*H1809,"")</f>
        <v/>
      </c>
      <c r="J1809" s="19"/>
    </row>
    <row r="1810" spans="1:10" ht="21">
      <c r="A1810" s="14">
        <v>1805</v>
      </c>
      <c r="C1810" s="16"/>
      <c r="D1810" s="14" t="str">
        <f>IF(Sales[[#This Row],[Product ID]]="","",Sales[[#This Row],[Date]]&amp;Sales[[#This Row],[Invoice no]])</f>
        <v/>
      </c>
      <c r="E18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0" s="19" t="str">
        <f>IF(_xlfn.XLOOKUP(Sales[[#This Row],[Product Name]],Inventory[Product Name],Inventory[Sale Price],"")=0,"",_xlfn.XLOOKUP(Sales[[#This Row],[Product Name]],Inventory[Product Name],Inventory[Sale Price]))</f>
        <v/>
      </c>
      <c r="I1810" s="19" t="str">
        <f>IFERROR(G1810*H1810,"")</f>
        <v/>
      </c>
      <c r="J1810" s="19"/>
    </row>
    <row r="1811" spans="1:10" ht="21">
      <c r="A1811" s="14">
        <v>1806</v>
      </c>
      <c r="C1811" s="16"/>
      <c r="D1811" s="14" t="str">
        <f>IF(Sales[[#This Row],[Product ID]]="","",Sales[[#This Row],[Date]]&amp;Sales[[#This Row],[Invoice no]])</f>
        <v/>
      </c>
      <c r="E18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1" s="19" t="str">
        <f>IF(_xlfn.XLOOKUP(Sales[[#This Row],[Product Name]],Inventory[Product Name],Inventory[Sale Price],"")=0,"",_xlfn.XLOOKUP(Sales[[#This Row],[Product Name]],Inventory[Product Name],Inventory[Sale Price]))</f>
        <v/>
      </c>
      <c r="I1811" s="19" t="str">
        <f>IFERROR(G1811*H1811,"")</f>
        <v/>
      </c>
      <c r="J1811" s="19"/>
    </row>
    <row r="1812" spans="1:10" ht="21">
      <c r="A1812" s="14">
        <v>1807</v>
      </c>
      <c r="C1812" s="16"/>
      <c r="D1812" s="14" t="str">
        <f>IF(Sales[[#This Row],[Product ID]]="","",Sales[[#This Row],[Date]]&amp;Sales[[#This Row],[Invoice no]])</f>
        <v/>
      </c>
      <c r="E18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2" s="19" t="str">
        <f>IF(_xlfn.XLOOKUP(Sales[[#This Row],[Product Name]],Inventory[Product Name],Inventory[Sale Price],"")=0,"",_xlfn.XLOOKUP(Sales[[#This Row],[Product Name]],Inventory[Product Name],Inventory[Sale Price]))</f>
        <v/>
      </c>
      <c r="I1812" s="19" t="str">
        <f>IFERROR(G1812*H1812,"")</f>
        <v/>
      </c>
      <c r="J1812" s="19"/>
    </row>
    <row r="1813" spans="1:10" ht="21">
      <c r="A1813" s="14">
        <v>1808</v>
      </c>
      <c r="C1813" s="16"/>
      <c r="D1813" s="14" t="str">
        <f>IF(Sales[[#This Row],[Product ID]]="","",Sales[[#This Row],[Date]]&amp;Sales[[#This Row],[Invoice no]])</f>
        <v/>
      </c>
      <c r="E18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3" s="19" t="str">
        <f>IF(_xlfn.XLOOKUP(Sales[[#This Row],[Product Name]],Inventory[Product Name],Inventory[Sale Price],"")=0,"",_xlfn.XLOOKUP(Sales[[#This Row],[Product Name]],Inventory[Product Name],Inventory[Sale Price]))</f>
        <v/>
      </c>
      <c r="I1813" s="19" t="str">
        <f>IFERROR(G1813*H1813,"")</f>
        <v/>
      </c>
      <c r="J1813" s="19"/>
    </row>
    <row r="1814" spans="1:10" ht="21">
      <c r="A1814" s="14">
        <v>1809</v>
      </c>
      <c r="C1814" s="16"/>
      <c r="D1814" s="14" t="str">
        <f>IF(Sales[[#This Row],[Product ID]]="","",Sales[[#This Row],[Date]]&amp;Sales[[#This Row],[Invoice no]])</f>
        <v/>
      </c>
      <c r="E18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4" s="19" t="str">
        <f>IF(_xlfn.XLOOKUP(Sales[[#This Row],[Product Name]],Inventory[Product Name],Inventory[Sale Price],"")=0,"",_xlfn.XLOOKUP(Sales[[#This Row],[Product Name]],Inventory[Product Name],Inventory[Sale Price]))</f>
        <v/>
      </c>
      <c r="I1814" s="19" t="str">
        <f>IFERROR(G1814*H1814,"")</f>
        <v/>
      </c>
      <c r="J1814" s="19"/>
    </row>
    <row r="1815" spans="1:10" ht="21">
      <c r="A1815" s="14">
        <v>1810</v>
      </c>
      <c r="C1815" s="16"/>
      <c r="D1815" s="14" t="str">
        <f>IF(Sales[[#This Row],[Product ID]]="","",Sales[[#This Row],[Date]]&amp;Sales[[#This Row],[Invoice no]])</f>
        <v/>
      </c>
      <c r="E18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5" s="19" t="str">
        <f>IF(_xlfn.XLOOKUP(Sales[[#This Row],[Product Name]],Inventory[Product Name],Inventory[Sale Price],"")=0,"",_xlfn.XLOOKUP(Sales[[#This Row],[Product Name]],Inventory[Product Name],Inventory[Sale Price]))</f>
        <v/>
      </c>
      <c r="I1815" s="19" t="str">
        <f>IFERROR(G1815*H1815,"")</f>
        <v/>
      </c>
      <c r="J1815" s="19"/>
    </row>
    <row r="1816" spans="1:10" ht="21">
      <c r="A1816" s="14">
        <v>1811</v>
      </c>
      <c r="C1816" s="16"/>
      <c r="D1816" s="14" t="str">
        <f>IF(Sales[[#This Row],[Product ID]]="","",Sales[[#This Row],[Date]]&amp;Sales[[#This Row],[Invoice no]])</f>
        <v/>
      </c>
      <c r="E18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6" s="19" t="str">
        <f>IF(_xlfn.XLOOKUP(Sales[[#This Row],[Product Name]],Inventory[Product Name],Inventory[Sale Price],"")=0,"",_xlfn.XLOOKUP(Sales[[#This Row],[Product Name]],Inventory[Product Name],Inventory[Sale Price]))</f>
        <v/>
      </c>
      <c r="I1816" s="19" t="str">
        <f>IFERROR(G1816*H1816,"")</f>
        <v/>
      </c>
      <c r="J1816" s="19"/>
    </row>
    <row r="1817" spans="1:10" ht="21">
      <c r="A1817" s="14">
        <v>1812</v>
      </c>
      <c r="C1817" s="16"/>
      <c r="D1817" s="14" t="str">
        <f>IF(Sales[[#This Row],[Product ID]]="","",Sales[[#This Row],[Date]]&amp;Sales[[#This Row],[Invoice no]])</f>
        <v/>
      </c>
      <c r="E18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7" s="19" t="str">
        <f>IF(_xlfn.XLOOKUP(Sales[[#This Row],[Product Name]],Inventory[Product Name],Inventory[Sale Price],"")=0,"",_xlfn.XLOOKUP(Sales[[#This Row],[Product Name]],Inventory[Product Name],Inventory[Sale Price]))</f>
        <v/>
      </c>
      <c r="I1817" s="19" t="str">
        <f>IFERROR(G1817*H1817,"")</f>
        <v/>
      </c>
      <c r="J1817" s="19"/>
    </row>
    <row r="1818" spans="1:10" ht="21">
      <c r="A1818" s="14">
        <v>1813</v>
      </c>
      <c r="C1818" s="16"/>
      <c r="D1818" s="14" t="str">
        <f>IF(Sales[[#This Row],[Product ID]]="","",Sales[[#This Row],[Date]]&amp;Sales[[#This Row],[Invoice no]])</f>
        <v/>
      </c>
      <c r="E18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8" s="19" t="str">
        <f>IF(_xlfn.XLOOKUP(Sales[[#This Row],[Product Name]],Inventory[Product Name],Inventory[Sale Price],"")=0,"",_xlfn.XLOOKUP(Sales[[#This Row],[Product Name]],Inventory[Product Name],Inventory[Sale Price]))</f>
        <v/>
      </c>
      <c r="I1818" s="19" t="str">
        <f>IFERROR(G1818*H1818,"")</f>
        <v/>
      </c>
      <c r="J1818" s="19"/>
    </row>
    <row r="1819" spans="1:10" ht="21">
      <c r="A1819" s="14">
        <v>1814</v>
      </c>
      <c r="C1819" s="16"/>
      <c r="D1819" s="14" t="str">
        <f>IF(Sales[[#This Row],[Product ID]]="","",Sales[[#This Row],[Date]]&amp;Sales[[#This Row],[Invoice no]])</f>
        <v/>
      </c>
      <c r="E18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19" s="19" t="str">
        <f>IF(_xlfn.XLOOKUP(Sales[[#This Row],[Product Name]],Inventory[Product Name],Inventory[Sale Price],"")=0,"",_xlfn.XLOOKUP(Sales[[#This Row],[Product Name]],Inventory[Product Name],Inventory[Sale Price]))</f>
        <v/>
      </c>
      <c r="I1819" s="19" t="str">
        <f>IFERROR(G1819*H1819,"")</f>
        <v/>
      </c>
      <c r="J1819" s="19"/>
    </row>
    <row r="1820" spans="1:10" ht="21">
      <c r="A1820" s="14">
        <v>1815</v>
      </c>
      <c r="C1820" s="16"/>
      <c r="D1820" s="14" t="str">
        <f>IF(Sales[[#This Row],[Product ID]]="","",Sales[[#This Row],[Date]]&amp;Sales[[#This Row],[Invoice no]])</f>
        <v/>
      </c>
      <c r="E18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0" s="19" t="str">
        <f>IF(_xlfn.XLOOKUP(Sales[[#This Row],[Product Name]],Inventory[Product Name],Inventory[Sale Price],"")=0,"",_xlfn.XLOOKUP(Sales[[#This Row],[Product Name]],Inventory[Product Name],Inventory[Sale Price]))</f>
        <v/>
      </c>
      <c r="I1820" s="19" t="str">
        <f>IFERROR(G1820*H1820,"")</f>
        <v/>
      </c>
      <c r="J1820" s="19"/>
    </row>
    <row r="1821" spans="1:10" ht="21">
      <c r="A1821" s="14">
        <v>1816</v>
      </c>
      <c r="C1821" s="16"/>
      <c r="D1821" s="14" t="str">
        <f>IF(Sales[[#This Row],[Product ID]]="","",Sales[[#This Row],[Date]]&amp;Sales[[#This Row],[Invoice no]])</f>
        <v/>
      </c>
      <c r="E18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1" s="19" t="str">
        <f>IF(_xlfn.XLOOKUP(Sales[[#This Row],[Product Name]],Inventory[Product Name],Inventory[Sale Price],"")=0,"",_xlfn.XLOOKUP(Sales[[#This Row],[Product Name]],Inventory[Product Name],Inventory[Sale Price]))</f>
        <v/>
      </c>
      <c r="I1821" s="19" t="str">
        <f>IFERROR(G1821*H1821,"")</f>
        <v/>
      </c>
      <c r="J1821" s="19"/>
    </row>
    <row r="1822" spans="1:10" ht="21">
      <c r="A1822" s="14">
        <v>1817</v>
      </c>
      <c r="C1822" s="16"/>
      <c r="D1822" s="14" t="str">
        <f>IF(Sales[[#This Row],[Product ID]]="","",Sales[[#This Row],[Date]]&amp;Sales[[#This Row],[Invoice no]])</f>
        <v/>
      </c>
      <c r="E18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2" s="19" t="str">
        <f>IF(_xlfn.XLOOKUP(Sales[[#This Row],[Product Name]],Inventory[Product Name],Inventory[Sale Price],"")=0,"",_xlfn.XLOOKUP(Sales[[#This Row],[Product Name]],Inventory[Product Name],Inventory[Sale Price]))</f>
        <v/>
      </c>
      <c r="I1822" s="19" t="str">
        <f>IFERROR(G1822*H1822,"")</f>
        <v/>
      </c>
      <c r="J1822" s="19"/>
    </row>
    <row r="1823" spans="1:10" ht="21">
      <c r="A1823" s="14">
        <v>1818</v>
      </c>
      <c r="C1823" s="16"/>
      <c r="D1823" s="14" t="str">
        <f>IF(Sales[[#This Row],[Product ID]]="","",Sales[[#This Row],[Date]]&amp;Sales[[#This Row],[Invoice no]])</f>
        <v/>
      </c>
      <c r="E18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3" s="19" t="str">
        <f>IF(_xlfn.XLOOKUP(Sales[[#This Row],[Product Name]],Inventory[Product Name],Inventory[Sale Price],"")=0,"",_xlfn.XLOOKUP(Sales[[#This Row],[Product Name]],Inventory[Product Name],Inventory[Sale Price]))</f>
        <v/>
      </c>
      <c r="I1823" s="19" t="str">
        <f>IFERROR(G1823*H1823,"")</f>
        <v/>
      </c>
      <c r="J1823" s="19"/>
    </row>
    <row r="1824" spans="1:10" ht="21">
      <c r="A1824" s="14">
        <v>1819</v>
      </c>
      <c r="C1824" s="16"/>
      <c r="D1824" s="14" t="str">
        <f>IF(Sales[[#This Row],[Product ID]]="","",Sales[[#This Row],[Date]]&amp;Sales[[#This Row],[Invoice no]])</f>
        <v/>
      </c>
      <c r="E18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4" s="19" t="str">
        <f>IF(_xlfn.XLOOKUP(Sales[[#This Row],[Product Name]],Inventory[Product Name],Inventory[Sale Price],"")=0,"",_xlfn.XLOOKUP(Sales[[#This Row],[Product Name]],Inventory[Product Name],Inventory[Sale Price]))</f>
        <v/>
      </c>
      <c r="I1824" s="19" t="str">
        <f>IFERROR(G1824*H1824,"")</f>
        <v/>
      </c>
      <c r="J1824" s="19"/>
    </row>
    <row r="1825" spans="1:10" ht="21">
      <c r="A1825" s="14">
        <v>1820</v>
      </c>
      <c r="C1825" s="16"/>
      <c r="D1825" s="14" t="str">
        <f>IF(Sales[[#This Row],[Product ID]]="","",Sales[[#This Row],[Date]]&amp;Sales[[#This Row],[Invoice no]])</f>
        <v/>
      </c>
      <c r="E18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5" s="19" t="str">
        <f>IF(_xlfn.XLOOKUP(Sales[[#This Row],[Product Name]],Inventory[Product Name],Inventory[Sale Price],"")=0,"",_xlfn.XLOOKUP(Sales[[#This Row],[Product Name]],Inventory[Product Name],Inventory[Sale Price]))</f>
        <v/>
      </c>
      <c r="I1825" s="19" t="str">
        <f>IFERROR(G1825*H1825,"")</f>
        <v/>
      </c>
      <c r="J1825" s="19"/>
    </row>
    <row r="1826" spans="1:10" ht="21">
      <c r="A1826" s="14">
        <v>1821</v>
      </c>
      <c r="C1826" s="16"/>
      <c r="D1826" s="14" t="str">
        <f>IF(Sales[[#This Row],[Product ID]]="","",Sales[[#This Row],[Date]]&amp;Sales[[#This Row],[Invoice no]])</f>
        <v/>
      </c>
      <c r="E18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6" s="19" t="str">
        <f>IF(_xlfn.XLOOKUP(Sales[[#This Row],[Product Name]],Inventory[Product Name],Inventory[Sale Price],"")=0,"",_xlfn.XLOOKUP(Sales[[#This Row],[Product Name]],Inventory[Product Name],Inventory[Sale Price]))</f>
        <v/>
      </c>
      <c r="I1826" s="19" t="str">
        <f>IFERROR(G1826*H1826,"")</f>
        <v/>
      </c>
      <c r="J1826" s="19"/>
    </row>
    <row r="1827" spans="1:10" ht="21">
      <c r="A1827" s="14">
        <v>1822</v>
      </c>
      <c r="C1827" s="16"/>
      <c r="D1827" s="14" t="str">
        <f>IF(Sales[[#This Row],[Product ID]]="","",Sales[[#This Row],[Date]]&amp;Sales[[#This Row],[Invoice no]])</f>
        <v/>
      </c>
      <c r="E18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7" s="19" t="str">
        <f>IF(_xlfn.XLOOKUP(Sales[[#This Row],[Product Name]],Inventory[Product Name],Inventory[Sale Price],"")=0,"",_xlfn.XLOOKUP(Sales[[#This Row],[Product Name]],Inventory[Product Name],Inventory[Sale Price]))</f>
        <v/>
      </c>
      <c r="I1827" s="19" t="str">
        <f>IFERROR(G1827*H1827,"")</f>
        <v/>
      </c>
      <c r="J1827" s="19"/>
    </row>
    <row r="1828" spans="1:10" ht="21">
      <c r="A1828" s="14">
        <v>1823</v>
      </c>
      <c r="C1828" s="16"/>
      <c r="D1828" s="14" t="str">
        <f>IF(Sales[[#This Row],[Product ID]]="","",Sales[[#This Row],[Date]]&amp;Sales[[#This Row],[Invoice no]])</f>
        <v/>
      </c>
      <c r="E18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8" s="19" t="str">
        <f>IF(_xlfn.XLOOKUP(Sales[[#This Row],[Product Name]],Inventory[Product Name],Inventory[Sale Price],"")=0,"",_xlfn.XLOOKUP(Sales[[#This Row],[Product Name]],Inventory[Product Name],Inventory[Sale Price]))</f>
        <v/>
      </c>
      <c r="I1828" s="19" t="str">
        <f>IFERROR(G1828*H1828,"")</f>
        <v/>
      </c>
      <c r="J1828" s="19"/>
    </row>
    <row r="1829" spans="1:10" ht="21">
      <c r="A1829" s="14">
        <v>1824</v>
      </c>
      <c r="C1829" s="16"/>
      <c r="D1829" s="14" t="str">
        <f>IF(Sales[[#This Row],[Product ID]]="","",Sales[[#This Row],[Date]]&amp;Sales[[#This Row],[Invoice no]])</f>
        <v/>
      </c>
      <c r="E18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29" s="19" t="str">
        <f>IF(_xlfn.XLOOKUP(Sales[[#This Row],[Product Name]],Inventory[Product Name],Inventory[Sale Price],"")=0,"",_xlfn.XLOOKUP(Sales[[#This Row],[Product Name]],Inventory[Product Name],Inventory[Sale Price]))</f>
        <v/>
      </c>
      <c r="I1829" s="19" t="str">
        <f>IFERROR(G1829*H1829,"")</f>
        <v/>
      </c>
      <c r="J1829" s="19"/>
    </row>
    <row r="1830" spans="1:10" ht="21">
      <c r="A1830" s="14">
        <v>1825</v>
      </c>
      <c r="C1830" s="16"/>
      <c r="D1830" s="14" t="str">
        <f>IF(Sales[[#This Row],[Product ID]]="","",Sales[[#This Row],[Date]]&amp;Sales[[#This Row],[Invoice no]])</f>
        <v/>
      </c>
      <c r="E18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0" s="19" t="str">
        <f>IF(_xlfn.XLOOKUP(Sales[[#This Row],[Product Name]],Inventory[Product Name],Inventory[Sale Price],"")=0,"",_xlfn.XLOOKUP(Sales[[#This Row],[Product Name]],Inventory[Product Name],Inventory[Sale Price]))</f>
        <v/>
      </c>
      <c r="I1830" s="19" t="str">
        <f>IFERROR(G1830*H1830,"")</f>
        <v/>
      </c>
      <c r="J1830" s="19"/>
    </row>
    <row r="1831" spans="1:10" ht="21">
      <c r="A1831" s="14">
        <v>1826</v>
      </c>
      <c r="C1831" s="16"/>
      <c r="D1831" s="14" t="str">
        <f>IF(Sales[[#This Row],[Product ID]]="","",Sales[[#This Row],[Date]]&amp;Sales[[#This Row],[Invoice no]])</f>
        <v/>
      </c>
      <c r="E18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1" s="19" t="str">
        <f>IF(_xlfn.XLOOKUP(Sales[[#This Row],[Product Name]],Inventory[Product Name],Inventory[Sale Price],"")=0,"",_xlfn.XLOOKUP(Sales[[#This Row],[Product Name]],Inventory[Product Name],Inventory[Sale Price]))</f>
        <v/>
      </c>
      <c r="I1831" s="19" t="str">
        <f>IFERROR(G1831*H1831,"")</f>
        <v/>
      </c>
      <c r="J1831" s="19"/>
    </row>
    <row r="1832" spans="1:10" ht="21">
      <c r="A1832" s="14">
        <v>1827</v>
      </c>
      <c r="C1832" s="16"/>
      <c r="D1832" s="14" t="str">
        <f>IF(Sales[[#This Row],[Product ID]]="","",Sales[[#This Row],[Date]]&amp;Sales[[#This Row],[Invoice no]])</f>
        <v/>
      </c>
      <c r="E18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2" s="19" t="str">
        <f>IF(_xlfn.XLOOKUP(Sales[[#This Row],[Product Name]],Inventory[Product Name],Inventory[Sale Price],"")=0,"",_xlfn.XLOOKUP(Sales[[#This Row],[Product Name]],Inventory[Product Name],Inventory[Sale Price]))</f>
        <v/>
      </c>
      <c r="I1832" s="19" t="str">
        <f>IFERROR(G1832*H1832,"")</f>
        <v/>
      </c>
      <c r="J1832" s="19"/>
    </row>
    <row r="1833" spans="1:10" ht="21">
      <c r="A1833" s="14">
        <v>1828</v>
      </c>
      <c r="C1833" s="16"/>
      <c r="D1833" s="14" t="str">
        <f>IF(Sales[[#This Row],[Product ID]]="","",Sales[[#This Row],[Date]]&amp;Sales[[#This Row],[Invoice no]])</f>
        <v/>
      </c>
      <c r="E18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3" s="19" t="str">
        <f>IF(_xlfn.XLOOKUP(Sales[[#This Row],[Product Name]],Inventory[Product Name],Inventory[Sale Price],"")=0,"",_xlfn.XLOOKUP(Sales[[#This Row],[Product Name]],Inventory[Product Name],Inventory[Sale Price]))</f>
        <v/>
      </c>
      <c r="I1833" s="19" t="str">
        <f>IFERROR(G1833*H1833,"")</f>
        <v/>
      </c>
      <c r="J1833" s="19"/>
    </row>
    <row r="1834" spans="1:10" ht="21">
      <c r="A1834" s="14">
        <v>1829</v>
      </c>
      <c r="C1834" s="16"/>
      <c r="D1834" s="14" t="str">
        <f>IF(Sales[[#This Row],[Product ID]]="","",Sales[[#This Row],[Date]]&amp;Sales[[#This Row],[Invoice no]])</f>
        <v/>
      </c>
      <c r="E18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4" s="19" t="str">
        <f>IF(_xlfn.XLOOKUP(Sales[[#This Row],[Product Name]],Inventory[Product Name],Inventory[Sale Price],"")=0,"",_xlfn.XLOOKUP(Sales[[#This Row],[Product Name]],Inventory[Product Name],Inventory[Sale Price]))</f>
        <v/>
      </c>
      <c r="I1834" s="19" t="str">
        <f>IFERROR(G1834*H1834,"")</f>
        <v/>
      </c>
      <c r="J1834" s="19"/>
    </row>
    <row r="1835" spans="1:10" ht="21">
      <c r="A1835" s="14">
        <v>1830</v>
      </c>
      <c r="C1835" s="16"/>
      <c r="D1835" s="14" t="str">
        <f>IF(Sales[[#This Row],[Product ID]]="","",Sales[[#This Row],[Date]]&amp;Sales[[#This Row],[Invoice no]])</f>
        <v/>
      </c>
      <c r="E18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5" s="19" t="str">
        <f>IF(_xlfn.XLOOKUP(Sales[[#This Row],[Product Name]],Inventory[Product Name],Inventory[Sale Price],"")=0,"",_xlfn.XLOOKUP(Sales[[#This Row],[Product Name]],Inventory[Product Name],Inventory[Sale Price]))</f>
        <v/>
      </c>
      <c r="I1835" s="19" t="str">
        <f>IFERROR(G1835*H1835,"")</f>
        <v/>
      </c>
      <c r="J1835" s="19"/>
    </row>
    <row r="1836" spans="1:10" ht="21">
      <c r="A1836" s="14">
        <v>1831</v>
      </c>
      <c r="C1836" s="16"/>
      <c r="D1836" s="14" t="str">
        <f>IF(Sales[[#This Row],[Product ID]]="","",Sales[[#This Row],[Date]]&amp;Sales[[#This Row],[Invoice no]])</f>
        <v/>
      </c>
      <c r="E18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6" s="19" t="str">
        <f>IF(_xlfn.XLOOKUP(Sales[[#This Row],[Product Name]],Inventory[Product Name],Inventory[Sale Price],"")=0,"",_xlfn.XLOOKUP(Sales[[#This Row],[Product Name]],Inventory[Product Name],Inventory[Sale Price]))</f>
        <v/>
      </c>
      <c r="I1836" s="19" t="str">
        <f>IFERROR(G1836*H1836,"")</f>
        <v/>
      </c>
      <c r="J1836" s="19"/>
    </row>
    <row r="1837" spans="1:10" ht="21">
      <c r="A1837" s="14">
        <v>1832</v>
      </c>
      <c r="C1837" s="16"/>
      <c r="D1837" s="14" t="str">
        <f>IF(Sales[[#This Row],[Product ID]]="","",Sales[[#This Row],[Date]]&amp;Sales[[#This Row],[Invoice no]])</f>
        <v/>
      </c>
      <c r="E18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7" s="19" t="str">
        <f>IF(_xlfn.XLOOKUP(Sales[[#This Row],[Product Name]],Inventory[Product Name],Inventory[Sale Price],"")=0,"",_xlfn.XLOOKUP(Sales[[#This Row],[Product Name]],Inventory[Product Name],Inventory[Sale Price]))</f>
        <v/>
      </c>
      <c r="I1837" s="19" t="str">
        <f>IFERROR(G1837*H1837,"")</f>
        <v/>
      </c>
      <c r="J1837" s="19"/>
    </row>
    <row r="1838" spans="1:10" ht="21">
      <c r="A1838" s="14">
        <v>1833</v>
      </c>
      <c r="C1838" s="16"/>
      <c r="D1838" s="14" t="str">
        <f>IF(Sales[[#This Row],[Product ID]]="","",Sales[[#This Row],[Date]]&amp;Sales[[#This Row],[Invoice no]])</f>
        <v/>
      </c>
      <c r="E18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8" s="19" t="str">
        <f>IF(_xlfn.XLOOKUP(Sales[[#This Row],[Product Name]],Inventory[Product Name],Inventory[Sale Price],"")=0,"",_xlfn.XLOOKUP(Sales[[#This Row],[Product Name]],Inventory[Product Name],Inventory[Sale Price]))</f>
        <v/>
      </c>
      <c r="I1838" s="19" t="str">
        <f>IFERROR(G1838*H1838,"")</f>
        <v/>
      </c>
      <c r="J1838" s="19"/>
    </row>
    <row r="1839" spans="1:10" ht="21">
      <c r="A1839" s="14">
        <v>1834</v>
      </c>
      <c r="C1839" s="16"/>
      <c r="D1839" s="14" t="str">
        <f>IF(Sales[[#This Row],[Product ID]]="","",Sales[[#This Row],[Date]]&amp;Sales[[#This Row],[Invoice no]])</f>
        <v/>
      </c>
      <c r="E18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39" s="19" t="str">
        <f>IF(_xlfn.XLOOKUP(Sales[[#This Row],[Product Name]],Inventory[Product Name],Inventory[Sale Price],"")=0,"",_xlfn.XLOOKUP(Sales[[#This Row],[Product Name]],Inventory[Product Name],Inventory[Sale Price]))</f>
        <v/>
      </c>
      <c r="I1839" s="19" t="str">
        <f>IFERROR(G1839*H1839,"")</f>
        <v/>
      </c>
      <c r="J1839" s="19"/>
    </row>
    <row r="1840" spans="1:10" ht="21">
      <c r="A1840" s="14">
        <v>1835</v>
      </c>
      <c r="C1840" s="16"/>
      <c r="D1840" s="14" t="str">
        <f>IF(Sales[[#This Row],[Product ID]]="","",Sales[[#This Row],[Date]]&amp;Sales[[#This Row],[Invoice no]])</f>
        <v/>
      </c>
      <c r="E18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0" s="19" t="str">
        <f>IF(_xlfn.XLOOKUP(Sales[[#This Row],[Product Name]],Inventory[Product Name],Inventory[Sale Price],"")=0,"",_xlfn.XLOOKUP(Sales[[#This Row],[Product Name]],Inventory[Product Name],Inventory[Sale Price]))</f>
        <v/>
      </c>
      <c r="I1840" s="19" t="str">
        <f>IFERROR(G1840*H1840,"")</f>
        <v/>
      </c>
      <c r="J1840" s="19"/>
    </row>
    <row r="1841" spans="1:10" ht="21">
      <c r="A1841" s="14">
        <v>1836</v>
      </c>
      <c r="C1841" s="16"/>
      <c r="D1841" s="14" t="str">
        <f>IF(Sales[[#This Row],[Product ID]]="","",Sales[[#This Row],[Date]]&amp;Sales[[#This Row],[Invoice no]])</f>
        <v/>
      </c>
      <c r="E18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1" s="19" t="str">
        <f>IF(_xlfn.XLOOKUP(Sales[[#This Row],[Product Name]],Inventory[Product Name],Inventory[Sale Price],"")=0,"",_xlfn.XLOOKUP(Sales[[#This Row],[Product Name]],Inventory[Product Name],Inventory[Sale Price]))</f>
        <v/>
      </c>
      <c r="I1841" s="19" t="str">
        <f>IFERROR(G1841*H1841,"")</f>
        <v/>
      </c>
      <c r="J1841" s="19"/>
    </row>
    <row r="1842" spans="1:10" ht="21">
      <c r="A1842" s="14">
        <v>1837</v>
      </c>
      <c r="C1842" s="16"/>
      <c r="D1842" s="14" t="str">
        <f>IF(Sales[[#This Row],[Product ID]]="","",Sales[[#This Row],[Date]]&amp;Sales[[#This Row],[Invoice no]])</f>
        <v/>
      </c>
      <c r="E18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2" s="19" t="str">
        <f>IF(_xlfn.XLOOKUP(Sales[[#This Row],[Product Name]],Inventory[Product Name],Inventory[Sale Price],"")=0,"",_xlfn.XLOOKUP(Sales[[#This Row],[Product Name]],Inventory[Product Name],Inventory[Sale Price]))</f>
        <v/>
      </c>
      <c r="I1842" s="19" t="str">
        <f>IFERROR(G1842*H1842,"")</f>
        <v/>
      </c>
      <c r="J1842" s="19"/>
    </row>
    <row r="1843" spans="1:10" ht="21">
      <c r="A1843" s="14">
        <v>1838</v>
      </c>
      <c r="C1843" s="16"/>
      <c r="D1843" s="14" t="str">
        <f>IF(Sales[[#This Row],[Product ID]]="","",Sales[[#This Row],[Date]]&amp;Sales[[#This Row],[Invoice no]])</f>
        <v/>
      </c>
      <c r="E18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3" s="19" t="str">
        <f>IF(_xlfn.XLOOKUP(Sales[[#This Row],[Product Name]],Inventory[Product Name],Inventory[Sale Price],"")=0,"",_xlfn.XLOOKUP(Sales[[#This Row],[Product Name]],Inventory[Product Name],Inventory[Sale Price]))</f>
        <v/>
      </c>
      <c r="I1843" s="19" t="str">
        <f>IFERROR(G1843*H1843,"")</f>
        <v/>
      </c>
      <c r="J1843" s="19"/>
    </row>
    <row r="1844" spans="1:10" ht="21">
      <c r="A1844" s="14">
        <v>1839</v>
      </c>
      <c r="C1844" s="16"/>
      <c r="D1844" s="14" t="str">
        <f>IF(Sales[[#This Row],[Product ID]]="","",Sales[[#This Row],[Date]]&amp;Sales[[#This Row],[Invoice no]])</f>
        <v/>
      </c>
      <c r="E18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4" s="19" t="str">
        <f>IF(_xlfn.XLOOKUP(Sales[[#This Row],[Product Name]],Inventory[Product Name],Inventory[Sale Price],"")=0,"",_xlfn.XLOOKUP(Sales[[#This Row],[Product Name]],Inventory[Product Name],Inventory[Sale Price]))</f>
        <v/>
      </c>
      <c r="I1844" s="19" t="str">
        <f>IFERROR(G1844*H1844,"")</f>
        <v/>
      </c>
      <c r="J1844" s="19"/>
    </row>
    <row r="1845" spans="1:10" ht="21">
      <c r="A1845" s="14">
        <v>1840</v>
      </c>
      <c r="C1845" s="16"/>
      <c r="D1845" s="14" t="str">
        <f>IF(Sales[[#This Row],[Product ID]]="","",Sales[[#This Row],[Date]]&amp;Sales[[#This Row],[Invoice no]])</f>
        <v/>
      </c>
      <c r="E18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5" s="19" t="str">
        <f>IF(_xlfn.XLOOKUP(Sales[[#This Row],[Product Name]],Inventory[Product Name],Inventory[Sale Price],"")=0,"",_xlfn.XLOOKUP(Sales[[#This Row],[Product Name]],Inventory[Product Name],Inventory[Sale Price]))</f>
        <v/>
      </c>
      <c r="I1845" s="19" t="str">
        <f>IFERROR(G1845*H1845,"")</f>
        <v/>
      </c>
      <c r="J1845" s="19"/>
    </row>
    <row r="1846" spans="1:10" ht="21">
      <c r="A1846" s="14">
        <v>1841</v>
      </c>
      <c r="C1846" s="16"/>
      <c r="D1846" s="14" t="str">
        <f>IF(Sales[[#This Row],[Product ID]]="","",Sales[[#This Row],[Date]]&amp;Sales[[#This Row],[Invoice no]])</f>
        <v/>
      </c>
      <c r="E18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6" s="19" t="str">
        <f>IF(_xlfn.XLOOKUP(Sales[[#This Row],[Product Name]],Inventory[Product Name],Inventory[Sale Price],"")=0,"",_xlfn.XLOOKUP(Sales[[#This Row],[Product Name]],Inventory[Product Name],Inventory[Sale Price]))</f>
        <v/>
      </c>
      <c r="I1846" s="19" t="str">
        <f>IFERROR(G1846*H1846,"")</f>
        <v/>
      </c>
      <c r="J1846" s="19"/>
    </row>
    <row r="1847" spans="1:10" ht="21">
      <c r="A1847" s="14">
        <v>1842</v>
      </c>
      <c r="C1847" s="16"/>
      <c r="D1847" s="14" t="str">
        <f>IF(Sales[[#This Row],[Product ID]]="","",Sales[[#This Row],[Date]]&amp;Sales[[#This Row],[Invoice no]])</f>
        <v/>
      </c>
      <c r="E18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7" s="19" t="str">
        <f>IF(_xlfn.XLOOKUP(Sales[[#This Row],[Product Name]],Inventory[Product Name],Inventory[Sale Price],"")=0,"",_xlfn.XLOOKUP(Sales[[#This Row],[Product Name]],Inventory[Product Name],Inventory[Sale Price]))</f>
        <v/>
      </c>
      <c r="I1847" s="19" t="str">
        <f>IFERROR(G1847*H1847,"")</f>
        <v/>
      </c>
      <c r="J1847" s="19"/>
    </row>
    <row r="1848" spans="1:10" ht="21">
      <c r="A1848" s="14">
        <v>1843</v>
      </c>
      <c r="C1848" s="16"/>
      <c r="D1848" s="14" t="str">
        <f>IF(Sales[[#This Row],[Product ID]]="","",Sales[[#This Row],[Date]]&amp;Sales[[#This Row],[Invoice no]])</f>
        <v/>
      </c>
      <c r="E18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8" s="19" t="str">
        <f>IF(_xlfn.XLOOKUP(Sales[[#This Row],[Product Name]],Inventory[Product Name],Inventory[Sale Price],"")=0,"",_xlfn.XLOOKUP(Sales[[#This Row],[Product Name]],Inventory[Product Name],Inventory[Sale Price]))</f>
        <v/>
      </c>
      <c r="I1848" s="19" t="str">
        <f>IFERROR(G1848*H1848,"")</f>
        <v/>
      </c>
      <c r="J1848" s="19"/>
    </row>
    <row r="1849" spans="1:10" ht="21">
      <c r="A1849" s="14">
        <v>1844</v>
      </c>
      <c r="C1849" s="16"/>
      <c r="D1849" s="14" t="str">
        <f>IF(Sales[[#This Row],[Product ID]]="","",Sales[[#This Row],[Date]]&amp;Sales[[#This Row],[Invoice no]])</f>
        <v/>
      </c>
      <c r="E18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49" s="19" t="str">
        <f>IF(_xlfn.XLOOKUP(Sales[[#This Row],[Product Name]],Inventory[Product Name],Inventory[Sale Price],"")=0,"",_xlfn.XLOOKUP(Sales[[#This Row],[Product Name]],Inventory[Product Name],Inventory[Sale Price]))</f>
        <v/>
      </c>
      <c r="I1849" s="19" t="str">
        <f>IFERROR(G1849*H1849,"")</f>
        <v/>
      </c>
      <c r="J1849" s="19"/>
    </row>
    <row r="1850" spans="1:10" ht="21">
      <c r="A1850" s="14">
        <v>1845</v>
      </c>
      <c r="C1850" s="16"/>
      <c r="D1850" s="14" t="str">
        <f>IF(Sales[[#This Row],[Product ID]]="","",Sales[[#This Row],[Date]]&amp;Sales[[#This Row],[Invoice no]])</f>
        <v/>
      </c>
      <c r="E18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0" s="19" t="str">
        <f>IF(_xlfn.XLOOKUP(Sales[[#This Row],[Product Name]],Inventory[Product Name],Inventory[Sale Price],"")=0,"",_xlfn.XLOOKUP(Sales[[#This Row],[Product Name]],Inventory[Product Name],Inventory[Sale Price]))</f>
        <v/>
      </c>
      <c r="I1850" s="19" t="str">
        <f>IFERROR(G1850*H1850,"")</f>
        <v/>
      </c>
      <c r="J1850" s="19"/>
    </row>
    <row r="1851" spans="1:10" ht="21">
      <c r="A1851" s="14">
        <v>1846</v>
      </c>
      <c r="C1851" s="16"/>
      <c r="D1851" s="14" t="str">
        <f>IF(Sales[[#This Row],[Product ID]]="","",Sales[[#This Row],[Date]]&amp;Sales[[#This Row],[Invoice no]])</f>
        <v/>
      </c>
      <c r="E18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1" s="19" t="str">
        <f>IF(_xlfn.XLOOKUP(Sales[[#This Row],[Product Name]],Inventory[Product Name],Inventory[Sale Price],"")=0,"",_xlfn.XLOOKUP(Sales[[#This Row],[Product Name]],Inventory[Product Name],Inventory[Sale Price]))</f>
        <v/>
      </c>
      <c r="I1851" s="19" t="str">
        <f>IFERROR(G1851*H1851,"")</f>
        <v/>
      </c>
      <c r="J1851" s="19"/>
    </row>
    <row r="1852" spans="1:10" ht="21">
      <c r="A1852" s="14">
        <v>1847</v>
      </c>
      <c r="C1852" s="16"/>
      <c r="D1852" s="14" t="str">
        <f>IF(Sales[[#This Row],[Product ID]]="","",Sales[[#This Row],[Date]]&amp;Sales[[#This Row],[Invoice no]])</f>
        <v/>
      </c>
      <c r="E18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2" s="19" t="str">
        <f>IF(_xlfn.XLOOKUP(Sales[[#This Row],[Product Name]],Inventory[Product Name],Inventory[Sale Price],"")=0,"",_xlfn.XLOOKUP(Sales[[#This Row],[Product Name]],Inventory[Product Name],Inventory[Sale Price]))</f>
        <v/>
      </c>
      <c r="I1852" s="19" t="str">
        <f>IFERROR(G1852*H1852,"")</f>
        <v/>
      </c>
      <c r="J1852" s="19"/>
    </row>
    <row r="1853" spans="1:10" ht="21">
      <c r="A1853" s="14">
        <v>1848</v>
      </c>
      <c r="C1853" s="16"/>
      <c r="D1853" s="14" t="str">
        <f>IF(Sales[[#This Row],[Product ID]]="","",Sales[[#This Row],[Date]]&amp;Sales[[#This Row],[Invoice no]])</f>
        <v/>
      </c>
      <c r="E18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3" s="19" t="str">
        <f>IF(_xlfn.XLOOKUP(Sales[[#This Row],[Product Name]],Inventory[Product Name],Inventory[Sale Price],"")=0,"",_xlfn.XLOOKUP(Sales[[#This Row],[Product Name]],Inventory[Product Name],Inventory[Sale Price]))</f>
        <v/>
      </c>
      <c r="I1853" s="19" t="str">
        <f>IFERROR(G1853*H1853,"")</f>
        <v/>
      </c>
      <c r="J1853" s="19"/>
    </row>
    <row r="1854" spans="1:10" ht="21">
      <c r="A1854" s="14">
        <v>1849</v>
      </c>
      <c r="C1854" s="16"/>
      <c r="D1854" s="14" t="str">
        <f>IF(Sales[[#This Row],[Product ID]]="","",Sales[[#This Row],[Date]]&amp;Sales[[#This Row],[Invoice no]])</f>
        <v/>
      </c>
      <c r="E18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4" s="19" t="str">
        <f>IF(_xlfn.XLOOKUP(Sales[[#This Row],[Product Name]],Inventory[Product Name],Inventory[Sale Price],"")=0,"",_xlfn.XLOOKUP(Sales[[#This Row],[Product Name]],Inventory[Product Name],Inventory[Sale Price]))</f>
        <v/>
      </c>
      <c r="I1854" s="19" t="str">
        <f>IFERROR(G1854*H1854,"")</f>
        <v/>
      </c>
      <c r="J1854" s="19"/>
    </row>
    <row r="1855" spans="1:10" ht="21">
      <c r="A1855" s="14">
        <v>1850</v>
      </c>
      <c r="C1855" s="16"/>
      <c r="D1855" s="14" t="str">
        <f>IF(Sales[[#This Row],[Product ID]]="","",Sales[[#This Row],[Date]]&amp;Sales[[#This Row],[Invoice no]])</f>
        <v/>
      </c>
      <c r="E18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5" s="19" t="str">
        <f>IF(_xlfn.XLOOKUP(Sales[[#This Row],[Product Name]],Inventory[Product Name],Inventory[Sale Price],"")=0,"",_xlfn.XLOOKUP(Sales[[#This Row],[Product Name]],Inventory[Product Name],Inventory[Sale Price]))</f>
        <v/>
      </c>
      <c r="I1855" s="19" t="str">
        <f>IFERROR(G1855*H1855,"")</f>
        <v/>
      </c>
      <c r="J1855" s="19"/>
    </row>
    <row r="1856" spans="1:10" ht="21">
      <c r="A1856" s="14">
        <v>1851</v>
      </c>
      <c r="C1856" s="16"/>
      <c r="D1856" s="14" t="str">
        <f>IF(Sales[[#This Row],[Product ID]]="","",Sales[[#This Row],[Date]]&amp;Sales[[#This Row],[Invoice no]])</f>
        <v/>
      </c>
      <c r="E18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6" s="19" t="str">
        <f>IF(_xlfn.XLOOKUP(Sales[[#This Row],[Product Name]],Inventory[Product Name],Inventory[Sale Price],"")=0,"",_xlfn.XLOOKUP(Sales[[#This Row],[Product Name]],Inventory[Product Name],Inventory[Sale Price]))</f>
        <v/>
      </c>
      <c r="I1856" s="19" t="str">
        <f>IFERROR(G1856*H1856,"")</f>
        <v/>
      </c>
      <c r="J1856" s="19"/>
    </row>
    <row r="1857" spans="1:10" ht="21">
      <c r="A1857" s="14">
        <v>1852</v>
      </c>
      <c r="C1857" s="16"/>
      <c r="D1857" s="14" t="str">
        <f>IF(Sales[[#This Row],[Product ID]]="","",Sales[[#This Row],[Date]]&amp;Sales[[#This Row],[Invoice no]])</f>
        <v/>
      </c>
      <c r="E18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7" s="19" t="str">
        <f>IF(_xlfn.XLOOKUP(Sales[[#This Row],[Product Name]],Inventory[Product Name],Inventory[Sale Price],"")=0,"",_xlfn.XLOOKUP(Sales[[#This Row],[Product Name]],Inventory[Product Name],Inventory[Sale Price]))</f>
        <v/>
      </c>
      <c r="I1857" s="19" t="str">
        <f>IFERROR(G1857*H1857,"")</f>
        <v/>
      </c>
      <c r="J1857" s="19"/>
    </row>
    <row r="1858" spans="1:10" ht="21">
      <c r="A1858" s="14">
        <v>1853</v>
      </c>
      <c r="C1858" s="16"/>
      <c r="D1858" s="14" t="str">
        <f>IF(Sales[[#This Row],[Product ID]]="","",Sales[[#This Row],[Date]]&amp;Sales[[#This Row],[Invoice no]])</f>
        <v/>
      </c>
      <c r="E18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8" s="19" t="str">
        <f>IF(_xlfn.XLOOKUP(Sales[[#This Row],[Product Name]],Inventory[Product Name],Inventory[Sale Price],"")=0,"",_xlfn.XLOOKUP(Sales[[#This Row],[Product Name]],Inventory[Product Name],Inventory[Sale Price]))</f>
        <v/>
      </c>
      <c r="I1858" s="19" t="str">
        <f>IFERROR(G1858*H1858,"")</f>
        <v/>
      </c>
      <c r="J1858" s="19"/>
    </row>
    <row r="1859" spans="1:10" ht="21">
      <c r="A1859" s="14">
        <v>1854</v>
      </c>
      <c r="C1859" s="16"/>
      <c r="D1859" s="14" t="str">
        <f>IF(Sales[[#This Row],[Product ID]]="","",Sales[[#This Row],[Date]]&amp;Sales[[#This Row],[Invoice no]])</f>
        <v/>
      </c>
      <c r="E18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59" s="19" t="str">
        <f>IF(_xlfn.XLOOKUP(Sales[[#This Row],[Product Name]],Inventory[Product Name],Inventory[Sale Price],"")=0,"",_xlfn.XLOOKUP(Sales[[#This Row],[Product Name]],Inventory[Product Name],Inventory[Sale Price]))</f>
        <v/>
      </c>
      <c r="I1859" s="19" t="str">
        <f>IFERROR(G1859*H1859,"")</f>
        <v/>
      </c>
      <c r="J1859" s="19"/>
    </row>
    <row r="1860" spans="1:10" ht="21">
      <c r="A1860" s="14">
        <v>1855</v>
      </c>
      <c r="C1860" s="16"/>
      <c r="D1860" s="14" t="str">
        <f>IF(Sales[[#This Row],[Product ID]]="","",Sales[[#This Row],[Date]]&amp;Sales[[#This Row],[Invoice no]])</f>
        <v/>
      </c>
      <c r="E18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0" s="19" t="str">
        <f>IF(_xlfn.XLOOKUP(Sales[[#This Row],[Product Name]],Inventory[Product Name],Inventory[Sale Price],"")=0,"",_xlfn.XLOOKUP(Sales[[#This Row],[Product Name]],Inventory[Product Name],Inventory[Sale Price]))</f>
        <v/>
      </c>
      <c r="I1860" s="19" t="str">
        <f>IFERROR(G1860*H1860,"")</f>
        <v/>
      </c>
      <c r="J1860" s="19"/>
    </row>
    <row r="1861" spans="1:10" ht="21">
      <c r="A1861" s="14">
        <v>1856</v>
      </c>
      <c r="C1861" s="16"/>
      <c r="D1861" s="14" t="str">
        <f>IF(Sales[[#This Row],[Product ID]]="","",Sales[[#This Row],[Date]]&amp;Sales[[#This Row],[Invoice no]])</f>
        <v/>
      </c>
      <c r="E18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1" s="19" t="str">
        <f>IF(_xlfn.XLOOKUP(Sales[[#This Row],[Product Name]],Inventory[Product Name],Inventory[Sale Price],"")=0,"",_xlfn.XLOOKUP(Sales[[#This Row],[Product Name]],Inventory[Product Name],Inventory[Sale Price]))</f>
        <v/>
      </c>
      <c r="I1861" s="19" t="str">
        <f>IFERROR(G1861*H1861,"")</f>
        <v/>
      </c>
      <c r="J1861" s="19"/>
    </row>
    <row r="1862" spans="1:10" ht="21">
      <c r="A1862" s="14">
        <v>1857</v>
      </c>
      <c r="C1862" s="16"/>
      <c r="D1862" s="14" t="str">
        <f>IF(Sales[[#This Row],[Product ID]]="","",Sales[[#This Row],[Date]]&amp;Sales[[#This Row],[Invoice no]])</f>
        <v/>
      </c>
      <c r="E18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2" s="19" t="str">
        <f>IF(_xlfn.XLOOKUP(Sales[[#This Row],[Product Name]],Inventory[Product Name],Inventory[Sale Price],"")=0,"",_xlfn.XLOOKUP(Sales[[#This Row],[Product Name]],Inventory[Product Name],Inventory[Sale Price]))</f>
        <v/>
      </c>
      <c r="I1862" s="19" t="str">
        <f>IFERROR(G1862*H1862,"")</f>
        <v/>
      </c>
      <c r="J1862" s="19"/>
    </row>
    <row r="1863" spans="1:10" ht="21">
      <c r="A1863" s="14">
        <v>1858</v>
      </c>
      <c r="C1863" s="16"/>
      <c r="D1863" s="14" t="str">
        <f>IF(Sales[[#This Row],[Product ID]]="","",Sales[[#This Row],[Date]]&amp;Sales[[#This Row],[Invoice no]])</f>
        <v/>
      </c>
      <c r="E18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3" s="19" t="str">
        <f>IF(_xlfn.XLOOKUP(Sales[[#This Row],[Product Name]],Inventory[Product Name],Inventory[Sale Price],"")=0,"",_xlfn.XLOOKUP(Sales[[#This Row],[Product Name]],Inventory[Product Name],Inventory[Sale Price]))</f>
        <v/>
      </c>
      <c r="I1863" s="19" t="str">
        <f>IFERROR(G1863*H1863,"")</f>
        <v/>
      </c>
      <c r="J1863" s="19"/>
    </row>
    <row r="1864" spans="1:10" ht="21">
      <c r="A1864" s="14">
        <v>1859</v>
      </c>
      <c r="C1864" s="16"/>
      <c r="D1864" s="14" t="str">
        <f>IF(Sales[[#This Row],[Product ID]]="","",Sales[[#This Row],[Date]]&amp;Sales[[#This Row],[Invoice no]])</f>
        <v/>
      </c>
      <c r="E18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4" s="19" t="str">
        <f>IF(_xlfn.XLOOKUP(Sales[[#This Row],[Product Name]],Inventory[Product Name],Inventory[Sale Price],"")=0,"",_xlfn.XLOOKUP(Sales[[#This Row],[Product Name]],Inventory[Product Name],Inventory[Sale Price]))</f>
        <v/>
      </c>
      <c r="I1864" s="19" t="str">
        <f>IFERROR(G1864*H1864,"")</f>
        <v/>
      </c>
      <c r="J1864" s="19"/>
    </row>
    <row r="1865" spans="1:10" ht="21">
      <c r="A1865" s="14">
        <v>1860</v>
      </c>
      <c r="C1865" s="16"/>
      <c r="D1865" s="14" t="str">
        <f>IF(Sales[[#This Row],[Product ID]]="","",Sales[[#This Row],[Date]]&amp;Sales[[#This Row],[Invoice no]])</f>
        <v/>
      </c>
      <c r="E18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5" s="19" t="str">
        <f>IF(_xlfn.XLOOKUP(Sales[[#This Row],[Product Name]],Inventory[Product Name],Inventory[Sale Price],"")=0,"",_xlfn.XLOOKUP(Sales[[#This Row],[Product Name]],Inventory[Product Name],Inventory[Sale Price]))</f>
        <v/>
      </c>
      <c r="I1865" s="19" t="str">
        <f>IFERROR(G1865*H1865,"")</f>
        <v/>
      </c>
      <c r="J1865" s="19"/>
    </row>
    <row r="1866" spans="1:10" ht="21">
      <c r="A1866" s="14">
        <v>1861</v>
      </c>
      <c r="C1866" s="16"/>
      <c r="D1866" s="14" t="str">
        <f>IF(Sales[[#This Row],[Product ID]]="","",Sales[[#This Row],[Date]]&amp;Sales[[#This Row],[Invoice no]])</f>
        <v/>
      </c>
      <c r="E18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6" s="19" t="str">
        <f>IF(_xlfn.XLOOKUP(Sales[[#This Row],[Product Name]],Inventory[Product Name],Inventory[Sale Price],"")=0,"",_xlfn.XLOOKUP(Sales[[#This Row],[Product Name]],Inventory[Product Name],Inventory[Sale Price]))</f>
        <v/>
      </c>
      <c r="I1866" s="19" t="str">
        <f>IFERROR(G1866*H1866,"")</f>
        <v/>
      </c>
      <c r="J1866" s="19"/>
    </row>
    <row r="1867" spans="1:10" ht="21">
      <c r="A1867" s="14">
        <v>1862</v>
      </c>
      <c r="C1867" s="16"/>
      <c r="D1867" s="14" t="str">
        <f>IF(Sales[[#This Row],[Product ID]]="","",Sales[[#This Row],[Date]]&amp;Sales[[#This Row],[Invoice no]])</f>
        <v/>
      </c>
      <c r="E18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7" s="19" t="str">
        <f>IF(_xlfn.XLOOKUP(Sales[[#This Row],[Product Name]],Inventory[Product Name],Inventory[Sale Price],"")=0,"",_xlfn.XLOOKUP(Sales[[#This Row],[Product Name]],Inventory[Product Name],Inventory[Sale Price]))</f>
        <v/>
      </c>
      <c r="I1867" s="19" t="str">
        <f>IFERROR(G1867*H1867,"")</f>
        <v/>
      </c>
      <c r="J1867" s="19"/>
    </row>
    <row r="1868" spans="1:10" ht="21">
      <c r="A1868" s="14">
        <v>1863</v>
      </c>
      <c r="C1868" s="16"/>
      <c r="D1868" s="14" t="str">
        <f>IF(Sales[[#This Row],[Product ID]]="","",Sales[[#This Row],[Date]]&amp;Sales[[#This Row],[Invoice no]])</f>
        <v/>
      </c>
      <c r="E18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8" s="19" t="str">
        <f>IF(_xlfn.XLOOKUP(Sales[[#This Row],[Product Name]],Inventory[Product Name],Inventory[Sale Price],"")=0,"",_xlfn.XLOOKUP(Sales[[#This Row],[Product Name]],Inventory[Product Name],Inventory[Sale Price]))</f>
        <v/>
      </c>
      <c r="I1868" s="19" t="str">
        <f>IFERROR(G1868*H1868,"")</f>
        <v/>
      </c>
      <c r="J1868" s="19"/>
    </row>
    <row r="1869" spans="1:10" ht="21">
      <c r="A1869" s="14">
        <v>1864</v>
      </c>
      <c r="C1869" s="16"/>
      <c r="D1869" s="14" t="str">
        <f>IF(Sales[[#This Row],[Product ID]]="","",Sales[[#This Row],[Date]]&amp;Sales[[#This Row],[Invoice no]])</f>
        <v/>
      </c>
      <c r="E18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69" s="19" t="str">
        <f>IF(_xlfn.XLOOKUP(Sales[[#This Row],[Product Name]],Inventory[Product Name],Inventory[Sale Price],"")=0,"",_xlfn.XLOOKUP(Sales[[#This Row],[Product Name]],Inventory[Product Name],Inventory[Sale Price]))</f>
        <v/>
      </c>
      <c r="I1869" s="19" t="str">
        <f>IFERROR(G1869*H1869,"")</f>
        <v/>
      </c>
      <c r="J1869" s="19"/>
    </row>
    <row r="1870" spans="1:10" ht="21">
      <c r="A1870" s="14">
        <v>1865</v>
      </c>
      <c r="C1870" s="16"/>
      <c r="D1870" s="14" t="str">
        <f>IF(Sales[[#This Row],[Product ID]]="","",Sales[[#This Row],[Date]]&amp;Sales[[#This Row],[Invoice no]])</f>
        <v/>
      </c>
      <c r="E18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0" s="19" t="str">
        <f>IF(_xlfn.XLOOKUP(Sales[[#This Row],[Product Name]],Inventory[Product Name],Inventory[Sale Price],"")=0,"",_xlfn.XLOOKUP(Sales[[#This Row],[Product Name]],Inventory[Product Name],Inventory[Sale Price]))</f>
        <v/>
      </c>
      <c r="I1870" s="19" t="str">
        <f>IFERROR(G1870*H1870,"")</f>
        <v/>
      </c>
      <c r="J1870" s="19"/>
    </row>
    <row r="1871" spans="1:10" ht="21">
      <c r="A1871" s="14">
        <v>1866</v>
      </c>
      <c r="C1871" s="16"/>
      <c r="D1871" s="14" t="str">
        <f>IF(Sales[[#This Row],[Product ID]]="","",Sales[[#This Row],[Date]]&amp;Sales[[#This Row],[Invoice no]])</f>
        <v/>
      </c>
      <c r="E18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1" s="19" t="str">
        <f>IF(_xlfn.XLOOKUP(Sales[[#This Row],[Product Name]],Inventory[Product Name],Inventory[Sale Price],"")=0,"",_xlfn.XLOOKUP(Sales[[#This Row],[Product Name]],Inventory[Product Name],Inventory[Sale Price]))</f>
        <v/>
      </c>
      <c r="I1871" s="19" t="str">
        <f>IFERROR(G1871*H1871,"")</f>
        <v/>
      </c>
      <c r="J1871" s="19"/>
    </row>
    <row r="1872" spans="1:10" ht="21">
      <c r="A1872" s="14">
        <v>1867</v>
      </c>
      <c r="C1872" s="16"/>
      <c r="D1872" s="14" t="str">
        <f>IF(Sales[[#This Row],[Product ID]]="","",Sales[[#This Row],[Date]]&amp;Sales[[#This Row],[Invoice no]])</f>
        <v/>
      </c>
      <c r="E18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2" s="19" t="str">
        <f>IF(_xlfn.XLOOKUP(Sales[[#This Row],[Product Name]],Inventory[Product Name],Inventory[Sale Price],"")=0,"",_xlfn.XLOOKUP(Sales[[#This Row],[Product Name]],Inventory[Product Name],Inventory[Sale Price]))</f>
        <v/>
      </c>
      <c r="I1872" s="19" t="str">
        <f>IFERROR(G1872*H1872,"")</f>
        <v/>
      </c>
      <c r="J1872" s="19"/>
    </row>
    <row r="1873" spans="1:10" ht="21">
      <c r="A1873" s="14">
        <v>1868</v>
      </c>
      <c r="C1873" s="16"/>
      <c r="D1873" s="14" t="str">
        <f>IF(Sales[[#This Row],[Product ID]]="","",Sales[[#This Row],[Date]]&amp;Sales[[#This Row],[Invoice no]])</f>
        <v/>
      </c>
      <c r="E18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3" s="19" t="str">
        <f>IF(_xlfn.XLOOKUP(Sales[[#This Row],[Product Name]],Inventory[Product Name],Inventory[Sale Price],"")=0,"",_xlfn.XLOOKUP(Sales[[#This Row],[Product Name]],Inventory[Product Name],Inventory[Sale Price]))</f>
        <v/>
      </c>
      <c r="I1873" s="19" t="str">
        <f>IFERROR(G1873*H1873,"")</f>
        <v/>
      </c>
      <c r="J1873" s="19"/>
    </row>
    <row r="1874" spans="1:10" ht="21">
      <c r="A1874" s="14">
        <v>1869</v>
      </c>
      <c r="C1874" s="16"/>
      <c r="D1874" s="14" t="str">
        <f>IF(Sales[[#This Row],[Product ID]]="","",Sales[[#This Row],[Date]]&amp;Sales[[#This Row],[Invoice no]])</f>
        <v/>
      </c>
      <c r="E18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4" s="19" t="str">
        <f>IF(_xlfn.XLOOKUP(Sales[[#This Row],[Product Name]],Inventory[Product Name],Inventory[Sale Price],"")=0,"",_xlfn.XLOOKUP(Sales[[#This Row],[Product Name]],Inventory[Product Name],Inventory[Sale Price]))</f>
        <v/>
      </c>
      <c r="I1874" s="19" t="str">
        <f>IFERROR(G1874*H1874,"")</f>
        <v/>
      </c>
      <c r="J1874" s="19"/>
    </row>
    <row r="1875" spans="1:10" ht="21">
      <c r="A1875" s="14">
        <v>1870</v>
      </c>
      <c r="C1875" s="16"/>
      <c r="D1875" s="14" t="str">
        <f>IF(Sales[[#This Row],[Product ID]]="","",Sales[[#This Row],[Date]]&amp;Sales[[#This Row],[Invoice no]])</f>
        <v/>
      </c>
      <c r="E18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5" s="19" t="str">
        <f>IF(_xlfn.XLOOKUP(Sales[[#This Row],[Product Name]],Inventory[Product Name],Inventory[Sale Price],"")=0,"",_xlfn.XLOOKUP(Sales[[#This Row],[Product Name]],Inventory[Product Name],Inventory[Sale Price]))</f>
        <v/>
      </c>
      <c r="I1875" s="19" t="str">
        <f>IFERROR(G1875*H1875,"")</f>
        <v/>
      </c>
      <c r="J1875" s="19"/>
    </row>
    <row r="1876" spans="1:10" ht="21">
      <c r="A1876" s="14">
        <v>1871</v>
      </c>
      <c r="C1876" s="16"/>
      <c r="D1876" s="14" t="str">
        <f>IF(Sales[[#This Row],[Product ID]]="","",Sales[[#This Row],[Date]]&amp;Sales[[#This Row],[Invoice no]])</f>
        <v/>
      </c>
      <c r="E18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6" s="19" t="str">
        <f>IF(_xlfn.XLOOKUP(Sales[[#This Row],[Product Name]],Inventory[Product Name],Inventory[Sale Price],"")=0,"",_xlfn.XLOOKUP(Sales[[#This Row],[Product Name]],Inventory[Product Name],Inventory[Sale Price]))</f>
        <v/>
      </c>
      <c r="I1876" s="19" t="str">
        <f>IFERROR(G1876*H1876,"")</f>
        <v/>
      </c>
      <c r="J1876" s="19"/>
    </row>
    <row r="1877" spans="1:10" ht="21">
      <c r="A1877" s="14">
        <v>1872</v>
      </c>
      <c r="C1877" s="16"/>
      <c r="D1877" s="14" t="str">
        <f>IF(Sales[[#This Row],[Product ID]]="","",Sales[[#This Row],[Date]]&amp;Sales[[#This Row],[Invoice no]])</f>
        <v/>
      </c>
      <c r="E18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7" s="19" t="str">
        <f>IF(_xlfn.XLOOKUP(Sales[[#This Row],[Product Name]],Inventory[Product Name],Inventory[Sale Price],"")=0,"",_xlfn.XLOOKUP(Sales[[#This Row],[Product Name]],Inventory[Product Name],Inventory[Sale Price]))</f>
        <v/>
      </c>
      <c r="I1877" s="19" t="str">
        <f>IFERROR(G1877*H1877,"")</f>
        <v/>
      </c>
      <c r="J1877" s="19"/>
    </row>
    <row r="1878" spans="1:10" ht="21">
      <c r="A1878" s="14">
        <v>1873</v>
      </c>
      <c r="C1878" s="16"/>
      <c r="D1878" s="14" t="str">
        <f>IF(Sales[[#This Row],[Product ID]]="","",Sales[[#This Row],[Date]]&amp;Sales[[#This Row],[Invoice no]])</f>
        <v/>
      </c>
      <c r="E18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8" s="19" t="str">
        <f>IF(_xlfn.XLOOKUP(Sales[[#This Row],[Product Name]],Inventory[Product Name],Inventory[Sale Price],"")=0,"",_xlfn.XLOOKUP(Sales[[#This Row],[Product Name]],Inventory[Product Name],Inventory[Sale Price]))</f>
        <v/>
      </c>
      <c r="I1878" s="19" t="str">
        <f>IFERROR(G1878*H1878,"")</f>
        <v/>
      </c>
      <c r="J1878" s="19"/>
    </row>
    <row r="1879" spans="1:10" ht="21">
      <c r="A1879" s="14">
        <v>1874</v>
      </c>
      <c r="C1879" s="16"/>
      <c r="D1879" s="14" t="str">
        <f>IF(Sales[[#This Row],[Product ID]]="","",Sales[[#This Row],[Date]]&amp;Sales[[#This Row],[Invoice no]])</f>
        <v/>
      </c>
      <c r="E18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79" s="19" t="str">
        <f>IF(_xlfn.XLOOKUP(Sales[[#This Row],[Product Name]],Inventory[Product Name],Inventory[Sale Price],"")=0,"",_xlfn.XLOOKUP(Sales[[#This Row],[Product Name]],Inventory[Product Name],Inventory[Sale Price]))</f>
        <v/>
      </c>
      <c r="I1879" s="19" t="str">
        <f>IFERROR(G1879*H1879,"")</f>
        <v/>
      </c>
      <c r="J1879" s="19"/>
    </row>
    <row r="1880" spans="1:10" ht="21">
      <c r="A1880" s="14">
        <v>1875</v>
      </c>
      <c r="C1880" s="16"/>
      <c r="D1880" s="14" t="str">
        <f>IF(Sales[[#This Row],[Product ID]]="","",Sales[[#This Row],[Date]]&amp;Sales[[#This Row],[Invoice no]])</f>
        <v/>
      </c>
      <c r="E18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0" s="19" t="str">
        <f>IF(_xlfn.XLOOKUP(Sales[[#This Row],[Product Name]],Inventory[Product Name],Inventory[Sale Price],"")=0,"",_xlfn.XLOOKUP(Sales[[#This Row],[Product Name]],Inventory[Product Name],Inventory[Sale Price]))</f>
        <v/>
      </c>
      <c r="I1880" s="19" t="str">
        <f>IFERROR(G1880*H1880,"")</f>
        <v/>
      </c>
      <c r="J1880" s="19"/>
    </row>
    <row r="1881" spans="1:10" ht="21">
      <c r="A1881" s="14">
        <v>1876</v>
      </c>
      <c r="C1881" s="16"/>
      <c r="D1881" s="14" t="str">
        <f>IF(Sales[[#This Row],[Product ID]]="","",Sales[[#This Row],[Date]]&amp;Sales[[#This Row],[Invoice no]])</f>
        <v/>
      </c>
      <c r="E18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1" s="19" t="str">
        <f>IF(_xlfn.XLOOKUP(Sales[[#This Row],[Product Name]],Inventory[Product Name],Inventory[Sale Price],"")=0,"",_xlfn.XLOOKUP(Sales[[#This Row],[Product Name]],Inventory[Product Name],Inventory[Sale Price]))</f>
        <v/>
      </c>
      <c r="I1881" s="19" t="str">
        <f>IFERROR(G1881*H1881,"")</f>
        <v/>
      </c>
      <c r="J1881" s="19"/>
    </row>
    <row r="1882" spans="1:10" ht="21">
      <c r="A1882" s="14">
        <v>1877</v>
      </c>
      <c r="C1882" s="16"/>
      <c r="D1882" s="14" t="str">
        <f>IF(Sales[[#This Row],[Product ID]]="","",Sales[[#This Row],[Date]]&amp;Sales[[#This Row],[Invoice no]])</f>
        <v/>
      </c>
      <c r="E18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2" s="19" t="str">
        <f>IF(_xlfn.XLOOKUP(Sales[[#This Row],[Product Name]],Inventory[Product Name],Inventory[Sale Price],"")=0,"",_xlfn.XLOOKUP(Sales[[#This Row],[Product Name]],Inventory[Product Name],Inventory[Sale Price]))</f>
        <v/>
      </c>
      <c r="I1882" s="19" t="str">
        <f>IFERROR(G1882*H1882,"")</f>
        <v/>
      </c>
      <c r="J1882" s="19"/>
    </row>
    <row r="1883" spans="1:10" ht="21">
      <c r="A1883" s="14">
        <v>1878</v>
      </c>
      <c r="C1883" s="16"/>
      <c r="D1883" s="14" t="str">
        <f>IF(Sales[[#This Row],[Product ID]]="","",Sales[[#This Row],[Date]]&amp;Sales[[#This Row],[Invoice no]])</f>
        <v/>
      </c>
      <c r="E18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3" s="19" t="str">
        <f>IF(_xlfn.XLOOKUP(Sales[[#This Row],[Product Name]],Inventory[Product Name],Inventory[Sale Price],"")=0,"",_xlfn.XLOOKUP(Sales[[#This Row],[Product Name]],Inventory[Product Name],Inventory[Sale Price]))</f>
        <v/>
      </c>
      <c r="I1883" s="19" t="str">
        <f>IFERROR(G1883*H1883,"")</f>
        <v/>
      </c>
      <c r="J1883" s="19"/>
    </row>
    <row r="1884" spans="1:10" ht="21">
      <c r="A1884" s="14">
        <v>1879</v>
      </c>
      <c r="C1884" s="16"/>
      <c r="D1884" s="14" t="str">
        <f>IF(Sales[[#This Row],[Product ID]]="","",Sales[[#This Row],[Date]]&amp;Sales[[#This Row],[Invoice no]])</f>
        <v/>
      </c>
      <c r="E18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4" s="19" t="str">
        <f>IF(_xlfn.XLOOKUP(Sales[[#This Row],[Product Name]],Inventory[Product Name],Inventory[Sale Price],"")=0,"",_xlfn.XLOOKUP(Sales[[#This Row],[Product Name]],Inventory[Product Name],Inventory[Sale Price]))</f>
        <v/>
      </c>
      <c r="I1884" s="19" t="str">
        <f>IFERROR(G1884*H1884,"")</f>
        <v/>
      </c>
      <c r="J1884" s="19"/>
    </row>
    <row r="1885" spans="1:10" ht="21">
      <c r="A1885" s="14">
        <v>1880</v>
      </c>
      <c r="C1885" s="16"/>
      <c r="D1885" s="14" t="str">
        <f>IF(Sales[[#This Row],[Product ID]]="","",Sales[[#This Row],[Date]]&amp;Sales[[#This Row],[Invoice no]])</f>
        <v/>
      </c>
      <c r="E18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5" s="19" t="str">
        <f>IF(_xlfn.XLOOKUP(Sales[[#This Row],[Product Name]],Inventory[Product Name],Inventory[Sale Price],"")=0,"",_xlfn.XLOOKUP(Sales[[#This Row],[Product Name]],Inventory[Product Name],Inventory[Sale Price]))</f>
        <v/>
      </c>
      <c r="I1885" s="19" t="str">
        <f>IFERROR(G1885*H1885,"")</f>
        <v/>
      </c>
      <c r="J1885" s="19"/>
    </row>
    <row r="1886" spans="1:10" ht="21">
      <c r="A1886" s="14">
        <v>1881</v>
      </c>
      <c r="C1886" s="16"/>
      <c r="D1886" s="14" t="str">
        <f>IF(Sales[[#This Row],[Product ID]]="","",Sales[[#This Row],[Date]]&amp;Sales[[#This Row],[Invoice no]])</f>
        <v/>
      </c>
      <c r="E18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6" s="19" t="str">
        <f>IF(_xlfn.XLOOKUP(Sales[[#This Row],[Product Name]],Inventory[Product Name],Inventory[Sale Price],"")=0,"",_xlfn.XLOOKUP(Sales[[#This Row],[Product Name]],Inventory[Product Name],Inventory[Sale Price]))</f>
        <v/>
      </c>
      <c r="I1886" s="19" t="str">
        <f>IFERROR(G1886*H1886,"")</f>
        <v/>
      </c>
      <c r="J1886" s="19"/>
    </row>
    <row r="1887" spans="1:10" ht="21">
      <c r="A1887" s="14">
        <v>1882</v>
      </c>
      <c r="C1887" s="16"/>
      <c r="D1887" s="14" t="str">
        <f>IF(Sales[[#This Row],[Product ID]]="","",Sales[[#This Row],[Date]]&amp;Sales[[#This Row],[Invoice no]])</f>
        <v/>
      </c>
      <c r="E18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7" s="19" t="str">
        <f>IF(_xlfn.XLOOKUP(Sales[[#This Row],[Product Name]],Inventory[Product Name],Inventory[Sale Price],"")=0,"",_xlfn.XLOOKUP(Sales[[#This Row],[Product Name]],Inventory[Product Name],Inventory[Sale Price]))</f>
        <v/>
      </c>
      <c r="I1887" s="19" t="str">
        <f>IFERROR(G1887*H1887,"")</f>
        <v/>
      </c>
      <c r="J1887" s="19"/>
    </row>
    <row r="1888" spans="1:10" ht="21">
      <c r="A1888" s="14">
        <v>1883</v>
      </c>
      <c r="C1888" s="16"/>
      <c r="D1888" s="14" t="str">
        <f>IF(Sales[[#This Row],[Product ID]]="","",Sales[[#This Row],[Date]]&amp;Sales[[#This Row],[Invoice no]])</f>
        <v/>
      </c>
      <c r="E18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8" s="19" t="str">
        <f>IF(_xlfn.XLOOKUP(Sales[[#This Row],[Product Name]],Inventory[Product Name],Inventory[Sale Price],"")=0,"",_xlfn.XLOOKUP(Sales[[#This Row],[Product Name]],Inventory[Product Name],Inventory[Sale Price]))</f>
        <v/>
      </c>
      <c r="I1888" s="19" t="str">
        <f>IFERROR(G1888*H1888,"")</f>
        <v/>
      </c>
      <c r="J1888" s="19"/>
    </row>
    <row r="1889" spans="1:10" ht="21">
      <c r="A1889" s="14">
        <v>1884</v>
      </c>
      <c r="C1889" s="16"/>
      <c r="D1889" s="14" t="str">
        <f>IF(Sales[[#This Row],[Product ID]]="","",Sales[[#This Row],[Date]]&amp;Sales[[#This Row],[Invoice no]])</f>
        <v/>
      </c>
      <c r="E18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89" s="19" t="str">
        <f>IF(_xlfn.XLOOKUP(Sales[[#This Row],[Product Name]],Inventory[Product Name],Inventory[Sale Price],"")=0,"",_xlfn.XLOOKUP(Sales[[#This Row],[Product Name]],Inventory[Product Name],Inventory[Sale Price]))</f>
        <v/>
      </c>
      <c r="I1889" s="19" t="str">
        <f>IFERROR(G1889*H1889,"")</f>
        <v/>
      </c>
      <c r="J1889" s="19"/>
    </row>
    <row r="1890" spans="1:10" ht="21">
      <c r="A1890" s="14">
        <v>1885</v>
      </c>
      <c r="C1890" s="16"/>
      <c r="D1890" s="14" t="str">
        <f>IF(Sales[[#This Row],[Product ID]]="","",Sales[[#This Row],[Date]]&amp;Sales[[#This Row],[Invoice no]])</f>
        <v/>
      </c>
      <c r="E18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0" s="19" t="str">
        <f>IF(_xlfn.XLOOKUP(Sales[[#This Row],[Product Name]],Inventory[Product Name],Inventory[Sale Price],"")=0,"",_xlfn.XLOOKUP(Sales[[#This Row],[Product Name]],Inventory[Product Name],Inventory[Sale Price]))</f>
        <v/>
      </c>
      <c r="I1890" s="19" t="str">
        <f>IFERROR(G1890*H1890,"")</f>
        <v/>
      </c>
      <c r="J1890" s="19"/>
    </row>
    <row r="1891" spans="1:10" ht="21">
      <c r="A1891" s="14">
        <v>1886</v>
      </c>
      <c r="C1891" s="16"/>
      <c r="D1891" s="14" t="str">
        <f>IF(Sales[[#This Row],[Product ID]]="","",Sales[[#This Row],[Date]]&amp;Sales[[#This Row],[Invoice no]])</f>
        <v/>
      </c>
      <c r="E18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1" s="19" t="str">
        <f>IF(_xlfn.XLOOKUP(Sales[[#This Row],[Product Name]],Inventory[Product Name],Inventory[Sale Price],"")=0,"",_xlfn.XLOOKUP(Sales[[#This Row],[Product Name]],Inventory[Product Name],Inventory[Sale Price]))</f>
        <v/>
      </c>
      <c r="I1891" s="19" t="str">
        <f>IFERROR(G1891*H1891,"")</f>
        <v/>
      </c>
      <c r="J1891" s="19"/>
    </row>
    <row r="1892" spans="1:10" ht="21">
      <c r="A1892" s="14">
        <v>1887</v>
      </c>
      <c r="C1892" s="16"/>
      <c r="D1892" s="14" t="str">
        <f>IF(Sales[[#This Row],[Product ID]]="","",Sales[[#This Row],[Date]]&amp;Sales[[#This Row],[Invoice no]])</f>
        <v/>
      </c>
      <c r="E18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2" s="19" t="str">
        <f>IF(_xlfn.XLOOKUP(Sales[[#This Row],[Product Name]],Inventory[Product Name],Inventory[Sale Price],"")=0,"",_xlfn.XLOOKUP(Sales[[#This Row],[Product Name]],Inventory[Product Name],Inventory[Sale Price]))</f>
        <v/>
      </c>
      <c r="I1892" s="19" t="str">
        <f>IFERROR(G1892*H1892,"")</f>
        <v/>
      </c>
      <c r="J1892" s="19"/>
    </row>
    <row r="1893" spans="1:10" ht="21">
      <c r="A1893" s="14">
        <v>1888</v>
      </c>
      <c r="C1893" s="16"/>
      <c r="D1893" s="14" t="str">
        <f>IF(Sales[[#This Row],[Product ID]]="","",Sales[[#This Row],[Date]]&amp;Sales[[#This Row],[Invoice no]])</f>
        <v/>
      </c>
      <c r="E18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3" s="19" t="str">
        <f>IF(_xlfn.XLOOKUP(Sales[[#This Row],[Product Name]],Inventory[Product Name],Inventory[Sale Price],"")=0,"",_xlfn.XLOOKUP(Sales[[#This Row],[Product Name]],Inventory[Product Name],Inventory[Sale Price]))</f>
        <v/>
      </c>
      <c r="I1893" s="19" t="str">
        <f>IFERROR(G1893*H1893,"")</f>
        <v/>
      </c>
      <c r="J1893" s="19"/>
    </row>
    <row r="1894" spans="1:10" ht="21">
      <c r="A1894" s="14">
        <v>1889</v>
      </c>
      <c r="C1894" s="16"/>
      <c r="D1894" s="14" t="str">
        <f>IF(Sales[[#This Row],[Product ID]]="","",Sales[[#This Row],[Date]]&amp;Sales[[#This Row],[Invoice no]])</f>
        <v/>
      </c>
      <c r="E18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4" s="19" t="str">
        <f>IF(_xlfn.XLOOKUP(Sales[[#This Row],[Product Name]],Inventory[Product Name],Inventory[Sale Price],"")=0,"",_xlfn.XLOOKUP(Sales[[#This Row],[Product Name]],Inventory[Product Name],Inventory[Sale Price]))</f>
        <v/>
      </c>
      <c r="I1894" s="19" t="str">
        <f>IFERROR(G1894*H1894,"")</f>
        <v/>
      </c>
      <c r="J1894" s="19"/>
    </row>
    <row r="1895" spans="1:10" ht="21">
      <c r="A1895" s="14">
        <v>1890</v>
      </c>
      <c r="C1895" s="16"/>
      <c r="D1895" s="14" t="str">
        <f>IF(Sales[[#This Row],[Product ID]]="","",Sales[[#This Row],[Date]]&amp;Sales[[#This Row],[Invoice no]])</f>
        <v/>
      </c>
      <c r="E18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5" s="19" t="str">
        <f>IF(_xlfn.XLOOKUP(Sales[[#This Row],[Product Name]],Inventory[Product Name],Inventory[Sale Price],"")=0,"",_xlfn.XLOOKUP(Sales[[#This Row],[Product Name]],Inventory[Product Name],Inventory[Sale Price]))</f>
        <v/>
      </c>
      <c r="I1895" s="19" t="str">
        <f>IFERROR(G1895*H1895,"")</f>
        <v/>
      </c>
      <c r="J1895" s="19"/>
    </row>
    <row r="1896" spans="1:10" ht="21">
      <c r="A1896" s="14">
        <v>1891</v>
      </c>
      <c r="C1896" s="16"/>
      <c r="D1896" s="14" t="str">
        <f>IF(Sales[[#This Row],[Product ID]]="","",Sales[[#This Row],[Date]]&amp;Sales[[#This Row],[Invoice no]])</f>
        <v/>
      </c>
      <c r="E18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6" s="19" t="str">
        <f>IF(_xlfn.XLOOKUP(Sales[[#This Row],[Product Name]],Inventory[Product Name],Inventory[Sale Price],"")=0,"",_xlfn.XLOOKUP(Sales[[#This Row],[Product Name]],Inventory[Product Name],Inventory[Sale Price]))</f>
        <v/>
      </c>
      <c r="I1896" s="19" t="str">
        <f>IFERROR(G1896*H1896,"")</f>
        <v/>
      </c>
      <c r="J1896" s="19"/>
    </row>
    <row r="1897" spans="1:10" ht="21">
      <c r="A1897" s="14">
        <v>1892</v>
      </c>
      <c r="C1897" s="16"/>
      <c r="D1897" s="14" t="str">
        <f>IF(Sales[[#This Row],[Product ID]]="","",Sales[[#This Row],[Date]]&amp;Sales[[#This Row],[Invoice no]])</f>
        <v/>
      </c>
      <c r="E18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7" s="19" t="str">
        <f>IF(_xlfn.XLOOKUP(Sales[[#This Row],[Product Name]],Inventory[Product Name],Inventory[Sale Price],"")=0,"",_xlfn.XLOOKUP(Sales[[#This Row],[Product Name]],Inventory[Product Name],Inventory[Sale Price]))</f>
        <v/>
      </c>
      <c r="I1897" s="19" t="str">
        <f>IFERROR(G1897*H1897,"")</f>
        <v/>
      </c>
      <c r="J1897" s="19"/>
    </row>
    <row r="1898" spans="1:10" ht="21">
      <c r="A1898" s="14">
        <v>1893</v>
      </c>
      <c r="C1898" s="16"/>
      <c r="D1898" s="14" t="str">
        <f>IF(Sales[[#This Row],[Product ID]]="","",Sales[[#This Row],[Date]]&amp;Sales[[#This Row],[Invoice no]])</f>
        <v/>
      </c>
      <c r="E18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8" s="19" t="str">
        <f>IF(_xlfn.XLOOKUP(Sales[[#This Row],[Product Name]],Inventory[Product Name],Inventory[Sale Price],"")=0,"",_xlfn.XLOOKUP(Sales[[#This Row],[Product Name]],Inventory[Product Name],Inventory[Sale Price]))</f>
        <v/>
      </c>
      <c r="I1898" s="19" t="str">
        <f>IFERROR(G1898*H1898,"")</f>
        <v/>
      </c>
      <c r="J1898" s="19"/>
    </row>
    <row r="1899" spans="1:10" ht="21">
      <c r="A1899" s="14">
        <v>1894</v>
      </c>
      <c r="C1899" s="16"/>
      <c r="D1899" s="14" t="str">
        <f>IF(Sales[[#This Row],[Product ID]]="","",Sales[[#This Row],[Date]]&amp;Sales[[#This Row],[Invoice no]])</f>
        <v/>
      </c>
      <c r="E18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899" s="19" t="str">
        <f>IF(_xlfn.XLOOKUP(Sales[[#This Row],[Product Name]],Inventory[Product Name],Inventory[Sale Price],"")=0,"",_xlfn.XLOOKUP(Sales[[#This Row],[Product Name]],Inventory[Product Name],Inventory[Sale Price]))</f>
        <v/>
      </c>
      <c r="I1899" s="19" t="str">
        <f>IFERROR(G1899*H1899,"")</f>
        <v/>
      </c>
      <c r="J1899" s="19"/>
    </row>
    <row r="1900" spans="1:10" ht="21">
      <c r="A1900" s="14">
        <v>1895</v>
      </c>
      <c r="C1900" s="16"/>
      <c r="D1900" s="14" t="str">
        <f>IF(Sales[[#This Row],[Product ID]]="","",Sales[[#This Row],[Date]]&amp;Sales[[#This Row],[Invoice no]])</f>
        <v/>
      </c>
      <c r="E19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0" s="19" t="str">
        <f>IF(_xlfn.XLOOKUP(Sales[[#This Row],[Product Name]],Inventory[Product Name],Inventory[Sale Price],"")=0,"",_xlfn.XLOOKUP(Sales[[#This Row],[Product Name]],Inventory[Product Name],Inventory[Sale Price]))</f>
        <v/>
      </c>
      <c r="I1900" s="19" t="str">
        <f>IFERROR(G1900*H1900,"")</f>
        <v/>
      </c>
      <c r="J1900" s="19"/>
    </row>
    <row r="1901" spans="1:10" ht="21">
      <c r="A1901" s="14">
        <v>1896</v>
      </c>
      <c r="C1901" s="16"/>
      <c r="D1901" s="14" t="str">
        <f>IF(Sales[[#This Row],[Product ID]]="","",Sales[[#This Row],[Date]]&amp;Sales[[#This Row],[Invoice no]])</f>
        <v/>
      </c>
      <c r="E19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1" s="19" t="str">
        <f>IF(_xlfn.XLOOKUP(Sales[[#This Row],[Product Name]],Inventory[Product Name],Inventory[Sale Price],"")=0,"",_xlfn.XLOOKUP(Sales[[#This Row],[Product Name]],Inventory[Product Name],Inventory[Sale Price]))</f>
        <v/>
      </c>
      <c r="I1901" s="19" t="str">
        <f>IFERROR(G1901*H1901,"")</f>
        <v/>
      </c>
      <c r="J1901" s="19"/>
    </row>
    <row r="1902" spans="1:10" ht="21">
      <c r="A1902" s="14">
        <v>1897</v>
      </c>
      <c r="C1902" s="16"/>
      <c r="D1902" s="14" t="str">
        <f>IF(Sales[[#This Row],[Product ID]]="","",Sales[[#This Row],[Date]]&amp;Sales[[#This Row],[Invoice no]])</f>
        <v/>
      </c>
      <c r="E19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2" s="19" t="str">
        <f>IF(_xlfn.XLOOKUP(Sales[[#This Row],[Product Name]],Inventory[Product Name],Inventory[Sale Price],"")=0,"",_xlfn.XLOOKUP(Sales[[#This Row],[Product Name]],Inventory[Product Name],Inventory[Sale Price]))</f>
        <v/>
      </c>
      <c r="I1902" s="19" t="str">
        <f>IFERROR(G1902*H1902,"")</f>
        <v/>
      </c>
      <c r="J1902" s="19"/>
    </row>
    <row r="1903" spans="1:10" ht="21">
      <c r="A1903" s="14">
        <v>1898</v>
      </c>
      <c r="C1903" s="16"/>
      <c r="D1903" s="14" t="str">
        <f>IF(Sales[[#This Row],[Product ID]]="","",Sales[[#This Row],[Date]]&amp;Sales[[#This Row],[Invoice no]])</f>
        <v/>
      </c>
      <c r="E19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3" s="19" t="str">
        <f>IF(_xlfn.XLOOKUP(Sales[[#This Row],[Product Name]],Inventory[Product Name],Inventory[Sale Price],"")=0,"",_xlfn.XLOOKUP(Sales[[#This Row],[Product Name]],Inventory[Product Name],Inventory[Sale Price]))</f>
        <v/>
      </c>
      <c r="I1903" s="19" t="str">
        <f>IFERROR(G1903*H1903,"")</f>
        <v/>
      </c>
      <c r="J1903" s="19"/>
    </row>
    <row r="1904" spans="1:10" ht="21">
      <c r="A1904" s="14">
        <v>1899</v>
      </c>
      <c r="C1904" s="16"/>
      <c r="D1904" s="14" t="str">
        <f>IF(Sales[[#This Row],[Product ID]]="","",Sales[[#This Row],[Date]]&amp;Sales[[#This Row],[Invoice no]])</f>
        <v/>
      </c>
      <c r="E19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4" s="19" t="str">
        <f>IF(_xlfn.XLOOKUP(Sales[[#This Row],[Product Name]],Inventory[Product Name],Inventory[Sale Price],"")=0,"",_xlfn.XLOOKUP(Sales[[#This Row],[Product Name]],Inventory[Product Name],Inventory[Sale Price]))</f>
        <v/>
      </c>
      <c r="I1904" s="19" t="str">
        <f>IFERROR(G1904*H1904,"")</f>
        <v/>
      </c>
      <c r="J1904" s="19"/>
    </row>
    <row r="1905" spans="1:10" ht="21">
      <c r="A1905" s="14">
        <v>1900</v>
      </c>
      <c r="C1905" s="16"/>
      <c r="D1905" s="14" t="str">
        <f>IF(Sales[[#This Row],[Product ID]]="","",Sales[[#This Row],[Date]]&amp;Sales[[#This Row],[Invoice no]])</f>
        <v/>
      </c>
      <c r="E190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5" s="19" t="str">
        <f>IF(_xlfn.XLOOKUP(Sales[[#This Row],[Product Name]],Inventory[Product Name],Inventory[Sale Price],"")=0,"",_xlfn.XLOOKUP(Sales[[#This Row],[Product Name]],Inventory[Product Name],Inventory[Sale Price]))</f>
        <v/>
      </c>
      <c r="I1905" s="19" t="str">
        <f>IFERROR(G1905*H1905,"")</f>
        <v/>
      </c>
      <c r="J1905" s="19"/>
    </row>
    <row r="1906" spans="1:10" ht="21">
      <c r="A1906" s="14">
        <v>1901</v>
      </c>
      <c r="C1906" s="16"/>
      <c r="D1906" s="14" t="str">
        <f>IF(Sales[[#This Row],[Product ID]]="","",Sales[[#This Row],[Date]]&amp;Sales[[#This Row],[Invoice no]])</f>
        <v/>
      </c>
      <c r="E190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6" s="19" t="str">
        <f>IF(_xlfn.XLOOKUP(Sales[[#This Row],[Product Name]],Inventory[Product Name],Inventory[Sale Price],"")=0,"",_xlfn.XLOOKUP(Sales[[#This Row],[Product Name]],Inventory[Product Name],Inventory[Sale Price]))</f>
        <v/>
      </c>
      <c r="I1906" s="19" t="str">
        <f>IFERROR(G1906*H1906,"")</f>
        <v/>
      </c>
      <c r="J1906" s="19"/>
    </row>
    <row r="1907" spans="1:10" ht="21">
      <c r="A1907" s="14">
        <v>1902</v>
      </c>
      <c r="C1907" s="16"/>
      <c r="D1907" s="14" t="str">
        <f>IF(Sales[[#This Row],[Product ID]]="","",Sales[[#This Row],[Date]]&amp;Sales[[#This Row],[Invoice no]])</f>
        <v/>
      </c>
      <c r="E190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7" s="19" t="str">
        <f>IF(_xlfn.XLOOKUP(Sales[[#This Row],[Product Name]],Inventory[Product Name],Inventory[Sale Price],"")=0,"",_xlfn.XLOOKUP(Sales[[#This Row],[Product Name]],Inventory[Product Name],Inventory[Sale Price]))</f>
        <v/>
      </c>
      <c r="I1907" s="19" t="str">
        <f>IFERROR(G1907*H1907,"")</f>
        <v/>
      </c>
      <c r="J1907" s="19"/>
    </row>
    <row r="1908" spans="1:10" ht="21">
      <c r="A1908" s="14">
        <v>1903</v>
      </c>
      <c r="C1908" s="16"/>
      <c r="D1908" s="14" t="str">
        <f>IF(Sales[[#This Row],[Product ID]]="","",Sales[[#This Row],[Date]]&amp;Sales[[#This Row],[Invoice no]])</f>
        <v/>
      </c>
      <c r="E190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8" s="19" t="str">
        <f>IF(_xlfn.XLOOKUP(Sales[[#This Row],[Product Name]],Inventory[Product Name],Inventory[Sale Price],"")=0,"",_xlfn.XLOOKUP(Sales[[#This Row],[Product Name]],Inventory[Product Name],Inventory[Sale Price]))</f>
        <v/>
      </c>
      <c r="I1908" s="19" t="str">
        <f>IFERROR(G1908*H1908,"")</f>
        <v/>
      </c>
      <c r="J1908" s="19"/>
    </row>
    <row r="1909" spans="1:10" ht="21">
      <c r="A1909" s="14">
        <v>1904</v>
      </c>
      <c r="C1909" s="16"/>
      <c r="D1909" s="14" t="str">
        <f>IF(Sales[[#This Row],[Product ID]]="","",Sales[[#This Row],[Date]]&amp;Sales[[#This Row],[Invoice no]])</f>
        <v/>
      </c>
      <c r="E190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09" s="19" t="str">
        <f>IF(_xlfn.XLOOKUP(Sales[[#This Row],[Product Name]],Inventory[Product Name],Inventory[Sale Price],"")=0,"",_xlfn.XLOOKUP(Sales[[#This Row],[Product Name]],Inventory[Product Name],Inventory[Sale Price]))</f>
        <v/>
      </c>
      <c r="I1909" s="19" t="str">
        <f>IFERROR(G1909*H1909,"")</f>
        <v/>
      </c>
      <c r="J1909" s="19"/>
    </row>
    <row r="1910" spans="1:10" ht="21">
      <c r="A1910" s="14">
        <v>1905</v>
      </c>
      <c r="C1910" s="16"/>
      <c r="D1910" s="14" t="str">
        <f>IF(Sales[[#This Row],[Product ID]]="","",Sales[[#This Row],[Date]]&amp;Sales[[#This Row],[Invoice no]])</f>
        <v/>
      </c>
      <c r="E191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0" s="19" t="str">
        <f>IF(_xlfn.XLOOKUP(Sales[[#This Row],[Product Name]],Inventory[Product Name],Inventory[Sale Price],"")=0,"",_xlfn.XLOOKUP(Sales[[#This Row],[Product Name]],Inventory[Product Name],Inventory[Sale Price]))</f>
        <v/>
      </c>
      <c r="I1910" s="19" t="str">
        <f>IFERROR(G1910*H1910,"")</f>
        <v/>
      </c>
      <c r="J1910" s="19"/>
    </row>
    <row r="1911" spans="1:10" ht="21">
      <c r="A1911" s="14">
        <v>1906</v>
      </c>
      <c r="C1911" s="16"/>
      <c r="D1911" s="14" t="str">
        <f>IF(Sales[[#This Row],[Product ID]]="","",Sales[[#This Row],[Date]]&amp;Sales[[#This Row],[Invoice no]])</f>
        <v/>
      </c>
      <c r="E191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1" s="19" t="str">
        <f>IF(_xlfn.XLOOKUP(Sales[[#This Row],[Product Name]],Inventory[Product Name],Inventory[Sale Price],"")=0,"",_xlfn.XLOOKUP(Sales[[#This Row],[Product Name]],Inventory[Product Name],Inventory[Sale Price]))</f>
        <v/>
      </c>
      <c r="I1911" s="19" t="str">
        <f>IFERROR(G1911*H1911,"")</f>
        <v/>
      </c>
      <c r="J1911" s="19"/>
    </row>
    <row r="1912" spans="1:10" ht="21">
      <c r="A1912" s="14">
        <v>1907</v>
      </c>
      <c r="C1912" s="16"/>
      <c r="D1912" s="14" t="str">
        <f>IF(Sales[[#This Row],[Product ID]]="","",Sales[[#This Row],[Date]]&amp;Sales[[#This Row],[Invoice no]])</f>
        <v/>
      </c>
      <c r="E191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2" s="19" t="str">
        <f>IF(_xlfn.XLOOKUP(Sales[[#This Row],[Product Name]],Inventory[Product Name],Inventory[Sale Price],"")=0,"",_xlfn.XLOOKUP(Sales[[#This Row],[Product Name]],Inventory[Product Name],Inventory[Sale Price]))</f>
        <v/>
      </c>
      <c r="I1912" s="19" t="str">
        <f>IFERROR(G1912*H1912,"")</f>
        <v/>
      </c>
      <c r="J1912" s="19"/>
    </row>
    <row r="1913" spans="1:10" ht="21">
      <c r="A1913" s="14">
        <v>1908</v>
      </c>
      <c r="C1913" s="16"/>
      <c r="D1913" s="14" t="str">
        <f>IF(Sales[[#This Row],[Product ID]]="","",Sales[[#This Row],[Date]]&amp;Sales[[#This Row],[Invoice no]])</f>
        <v/>
      </c>
      <c r="E191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3" s="19" t="str">
        <f>IF(_xlfn.XLOOKUP(Sales[[#This Row],[Product Name]],Inventory[Product Name],Inventory[Sale Price],"")=0,"",_xlfn.XLOOKUP(Sales[[#This Row],[Product Name]],Inventory[Product Name],Inventory[Sale Price]))</f>
        <v/>
      </c>
      <c r="I1913" s="19" t="str">
        <f>IFERROR(G1913*H1913,"")</f>
        <v/>
      </c>
      <c r="J1913" s="19"/>
    </row>
    <row r="1914" spans="1:10" ht="21">
      <c r="A1914" s="14">
        <v>1909</v>
      </c>
      <c r="C1914" s="16"/>
      <c r="D1914" s="14" t="str">
        <f>IF(Sales[[#This Row],[Product ID]]="","",Sales[[#This Row],[Date]]&amp;Sales[[#This Row],[Invoice no]])</f>
        <v/>
      </c>
      <c r="E191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4" s="19" t="str">
        <f>IF(_xlfn.XLOOKUP(Sales[[#This Row],[Product Name]],Inventory[Product Name],Inventory[Sale Price],"")=0,"",_xlfn.XLOOKUP(Sales[[#This Row],[Product Name]],Inventory[Product Name],Inventory[Sale Price]))</f>
        <v/>
      </c>
      <c r="I1914" s="19" t="str">
        <f>IFERROR(G1914*H1914,"")</f>
        <v/>
      </c>
      <c r="J1914" s="19"/>
    </row>
    <row r="1915" spans="1:10" ht="21">
      <c r="A1915" s="14">
        <v>1910</v>
      </c>
      <c r="C1915" s="16"/>
      <c r="D1915" s="14" t="str">
        <f>IF(Sales[[#This Row],[Product ID]]="","",Sales[[#This Row],[Date]]&amp;Sales[[#This Row],[Invoice no]])</f>
        <v/>
      </c>
      <c r="E191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5" s="19" t="str">
        <f>IF(_xlfn.XLOOKUP(Sales[[#This Row],[Product Name]],Inventory[Product Name],Inventory[Sale Price],"")=0,"",_xlfn.XLOOKUP(Sales[[#This Row],[Product Name]],Inventory[Product Name],Inventory[Sale Price]))</f>
        <v/>
      </c>
      <c r="I1915" s="19" t="str">
        <f>IFERROR(G1915*H1915,"")</f>
        <v/>
      </c>
      <c r="J1915" s="19"/>
    </row>
    <row r="1916" spans="1:10" ht="21">
      <c r="A1916" s="14">
        <v>1911</v>
      </c>
      <c r="C1916" s="16"/>
      <c r="D1916" s="14" t="str">
        <f>IF(Sales[[#This Row],[Product ID]]="","",Sales[[#This Row],[Date]]&amp;Sales[[#This Row],[Invoice no]])</f>
        <v/>
      </c>
      <c r="E191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6" s="19" t="str">
        <f>IF(_xlfn.XLOOKUP(Sales[[#This Row],[Product Name]],Inventory[Product Name],Inventory[Sale Price],"")=0,"",_xlfn.XLOOKUP(Sales[[#This Row],[Product Name]],Inventory[Product Name],Inventory[Sale Price]))</f>
        <v/>
      </c>
      <c r="I1916" s="19" t="str">
        <f>IFERROR(G1916*H1916,"")</f>
        <v/>
      </c>
      <c r="J1916" s="19"/>
    </row>
    <row r="1917" spans="1:10" ht="21">
      <c r="A1917" s="14">
        <v>1912</v>
      </c>
      <c r="C1917" s="16"/>
      <c r="D1917" s="14" t="str">
        <f>IF(Sales[[#This Row],[Product ID]]="","",Sales[[#This Row],[Date]]&amp;Sales[[#This Row],[Invoice no]])</f>
        <v/>
      </c>
      <c r="E191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7" s="19" t="str">
        <f>IF(_xlfn.XLOOKUP(Sales[[#This Row],[Product Name]],Inventory[Product Name],Inventory[Sale Price],"")=0,"",_xlfn.XLOOKUP(Sales[[#This Row],[Product Name]],Inventory[Product Name],Inventory[Sale Price]))</f>
        <v/>
      </c>
      <c r="I1917" s="19" t="str">
        <f>IFERROR(G1917*H1917,"")</f>
        <v/>
      </c>
      <c r="J1917" s="19"/>
    </row>
    <row r="1918" spans="1:10" ht="21">
      <c r="A1918" s="14">
        <v>1913</v>
      </c>
      <c r="C1918" s="16"/>
      <c r="D1918" s="14" t="str">
        <f>IF(Sales[[#This Row],[Product ID]]="","",Sales[[#This Row],[Date]]&amp;Sales[[#This Row],[Invoice no]])</f>
        <v/>
      </c>
      <c r="E191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8" s="19" t="str">
        <f>IF(_xlfn.XLOOKUP(Sales[[#This Row],[Product Name]],Inventory[Product Name],Inventory[Sale Price],"")=0,"",_xlfn.XLOOKUP(Sales[[#This Row],[Product Name]],Inventory[Product Name],Inventory[Sale Price]))</f>
        <v/>
      </c>
      <c r="I1918" s="19" t="str">
        <f>IFERROR(G1918*H1918,"")</f>
        <v/>
      </c>
      <c r="J1918" s="19"/>
    </row>
    <row r="1919" spans="1:10" ht="21">
      <c r="A1919" s="14">
        <v>1914</v>
      </c>
      <c r="C1919" s="16"/>
      <c r="D1919" s="14" t="str">
        <f>IF(Sales[[#This Row],[Product ID]]="","",Sales[[#This Row],[Date]]&amp;Sales[[#This Row],[Invoice no]])</f>
        <v/>
      </c>
      <c r="E191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19" s="19" t="str">
        <f>IF(_xlfn.XLOOKUP(Sales[[#This Row],[Product Name]],Inventory[Product Name],Inventory[Sale Price],"")=0,"",_xlfn.XLOOKUP(Sales[[#This Row],[Product Name]],Inventory[Product Name],Inventory[Sale Price]))</f>
        <v/>
      </c>
      <c r="I1919" s="19" t="str">
        <f>IFERROR(G1919*H1919,"")</f>
        <v/>
      </c>
      <c r="J1919" s="19"/>
    </row>
    <row r="1920" spans="1:10" ht="21">
      <c r="A1920" s="14">
        <v>1915</v>
      </c>
      <c r="C1920" s="16"/>
      <c r="D1920" s="14" t="str">
        <f>IF(Sales[[#This Row],[Product ID]]="","",Sales[[#This Row],[Date]]&amp;Sales[[#This Row],[Invoice no]])</f>
        <v/>
      </c>
      <c r="E192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0" s="19" t="str">
        <f>IF(_xlfn.XLOOKUP(Sales[[#This Row],[Product Name]],Inventory[Product Name],Inventory[Sale Price],"")=0,"",_xlfn.XLOOKUP(Sales[[#This Row],[Product Name]],Inventory[Product Name],Inventory[Sale Price]))</f>
        <v/>
      </c>
      <c r="I1920" s="19" t="str">
        <f>IFERROR(G1920*H1920,"")</f>
        <v/>
      </c>
      <c r="J1920" s="19"/>
    </row>
    <row r="1921" spans="1:10" ht="21">
      <c r="A1921" s="14">
        <v>1916</v>
      </c>
      <c r="C1921" s="16"/>
      <c r="D1921" s="14" t="str">
        <f>IF(Sales[[#This Row],[Product ID]]="","",Sales[[#This Row],[Date]]&amp;Sales[[#This Row],[Invoice no]])</f>
        <v/>
      </c>
      <c r="E192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1" s="19" t="str">
        <f>IF(_xlfn.XLOOKUP(Sales[[#This Row],[Product Name]],Inventory[Product Name],Inventory[Sale Price],"")=0,"",_xlfn.XLOOKUP(Sales[[#This Row],[Product Name]],Inventory[Product Name],Inventory[Sale Price]))</f>
        <v/>
      </c>
      <c r="I1921" s="19" t="str">
        <f>IFERROR(G1921*H1921,"")</f>
        <v/>
      </c>
      <c r="J1921" s="19"/>
    </row>
    <row r="1922" spans="1:10" ht="21">
      <c r="A1922" s="14">
        <v>1917</v>
      </c>
      <c r="C1922" s="16"/>
      <c r="D1922" s="14" t="str">
        <f>IF(Sales[[#This Row],[Product ID]]="","",Sales[[#This Row],[Date]]&amp;Sales[[#This Row],[Invoice no]])</f>
        <v/>
      </c>
      <c r="E192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2" s="19" t="str">
        <f>IF(_xlfn.XLOOKUP(Sales[[#This Row],[Product Name]],Inventory[Product Name],Inventory[Sale Price],"")=0,"",_xlfn.XLOOKUP(Sales[[#This Row],[Product Name]],Inventory[Product Name],Inventory[Sale Price]))</f>
        <v/>
      </c>
      <c r="I1922" s="19" t="str">
        <f>IFERROR(G1922*H1922,"")</f>
        <v/>
      </c>
      <c r="J1922" s="19"/>
    </row>
    <row r="1923" spans="1:10" ht="21">
      <c r="A1923" s="14">
        <v>1918</v>
      </c>
      <c r="C1923" s="16"/>
      <c r="D1923" s="14" t="str">
        <f>IF(Sales[[#This Row],[Product ID]]="","",Sales[[#This Row],[Date]]&amp;Sales[[#This Row],[Invoice no]])</f>
        <v/>
      </c>
      <c r="E192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3" s="19" t="str">
        <f>IF(_xlfn.XLOOKUP(Sales[[#This Row],[Product Name]],Inventory[Product Name],Inventory[Sale Price],"")=0,"",_xlfn.XLOOKUP(Sales[[#This Row],[Product Name]],Inventory[Product Name],Inventory[Sale Price]))</f>
        <v/>
      </c>
      <c r="I1923" s="19" t="str">
        <f>IFERROR(G1923*H1923,"")</f>
        <v/>
      </c>
      <c r="J1923" s="19"/>
    </row>
    <row r="1924" spans="1:10" ht="21">
      <c r="A1924" s="14">
        <v>1919</v>
      </c>
      <c r="C1924" s="16"/>
      <c r="D1924" s="14" t="str">
        <f>IF(Sales[[#This Row],[Product ID]]="","",Sales[[#This Row],[Date]]&amp;Sales[[#This Row],[Invoice no]])</f>
        <v/>
      </c>
      <c r="E192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4" s="19" t="str">
        <f>IF(_xlfn.XLOOKUP(Sales[[#This Row],[Product Name]],Inventory[Product Name],Inventory[Sale Price],"")=0,"",_xlfn.XLOOKUP(Sales[[#This Row],[Product Name]],Inventory[Product Name],Inventory[Sale Price]))</f>
        <v/>
      </c>
      <c r="I1924" s="19" t="str">
        <f>IFERROR(G1924*H1924,"")</f>
        <v/>
      </c>
      <c r="J1924" s="19"/>
    </row>
    <row r="1925" spans="1:10" ht="21">
      <c r="A1925" s="14">
        <v>1920</v>
      </c>
      <c r="C1925" s="16"/>
      <c r="D1925" s="14" t="str">
        <f>IF(Sales[[#This Row],[Product ID]]="","",Sales[[#This Row],[Date]]&amp;Sales[[#This Row],[Invoice no]])</f>
        <v/>
      </c>
      <c r="E192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5" s="19" t="str">
        <f>IF(_xlfn.XLOOKUP(Sales[[#This Row],[Product Name]],Inventory[Product Name],Inventory[Sale Price],"")=0,"",_xlfn.XLOOKUP(Sales[[#This Row],[Product Name]],Inventory[Product Name],Inventory[Sale Price]))</f>
        <v/>
      </c>
      <c r="I1925" s="19" t="str">
        <f>IFERROR(G1925*H1925,"")</f>
        <v/>
      </c>
      <c r="J1925" s="19"/>
    </row>
    <row r="1926" spans="1:10" ht="21">
      <c r="A1926" s="14">
        <v>1921</v>
      </c>
      <c r="C1926" s="16"/>
      <c r="D1926" s="14" t="str">
        <f>IF(Sales[[#This Row],[Product ID]]="","",Sales[[#This Row],[Date]]&amp;Sales[[#This Row],[Invoice no]])</f>
        <v/>
      </c>
      <c r="E192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6" s="19" t="str">
        <f>IF(_xlfn.XLOOKUP(Sales[[#This Row],[Product Name]],Inventory[Product Name],Inventory[Sale Price],"")=0,"",_xlfn.XLOOKUP(Sales[[#This Row],[Product Name]],Inventory[Product Name],Inventory[Sale Price]))</f>
        <v/>
      </c>
      <c r="I1926" s="19" t="str">
        <f>IFERROR(G1926*H1926,"")</f>
        <v/>
      </c>
      <c r="J1926" s="19"/>
    </row>
    <row r="1927" spans="1:10" ht="21">
      <c r="A1927" s="14">
        <v>1922</v>
      </c>
      <c r="C1927" s="16"/>
      <c r="D1927" s="14" t="str">
        <f>IF(Sales[[#This Row],[Product ID]]="","",Sales[[#This Row],[Date]]&amp;Sales[[#This Row],[Invoice no]])</f>
        <v/>
      </c>
      <c r="E192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7" s="19" t="str">
        <f>IF(_xlfn.XLOOKUP(Sales[[#This Row],[Product Name]],Inventory[Product Name],Inventory[Sale Price],"")=0,"",_xlfn.XLOOKUP(Sales[[#This Row],[Product Name]],Inventory[Product Name],Inventory[Sale Price]))</f>
        <v/>
      </c>
      <c r="I1927" s="19" t="str">
        <f>IFERROR(G1927*H1927,"")</f>
        <v/>
      </c>
      <c r="J1927" s="19"/>
    </row>
    <row r="1928" spans="1:10" ht="21">
      <c r="A1928" s="14">
        <v>1923</v>
      </c>
      <c r="C1928" s="16"/>
      <c r="D1928" s="14" t="str">
        <f>IF(Sales[[#This Row],[Product ID]]="","",Sales[[#This Row],[Date]]&amp;Sales[[#This Row],[Invoice no]])</f>
        <v/>
      </c>
      <c r="E192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8" s="19" t="str">
        <f>IF(_xlfn.XLOOKUP(Sales[[#This Row],[Product Name]],Inventory[Product Name],Inventory[Sale Price],"")=0,"",_xlfn.XLOOKUP(Sales[[#This Row],[Product Name]],Inventory[Product Name],Inventory[Sale Price]))</f>
        <v/>
      </c>
      <c r="I1928" s="19" t="str">
        <f>IFERROR(G1928*H1928,"")</f>
        <v/>
      </c>
      <c r="J1928" s="19"/>
    </row>
    <row r="1929" spans="1:10" ht="21">
      <c r="A1929" s="14">
        <v>1924</v>
      </c>
      <c r="C1929" s="16"/>
      <c r="D1929" s="14" t="str">
        <f>IF(Sales[[#This Row],[Product ID]]="","",Sales[[#This Row],[Date]]&amp;Sales[[#This Row],[Invoice no]])</f>
        <v/>
      </c>
      <c r="E192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29" s="19" t="str">
        <f>IF(_xlfn.XLOOKUP(Sales[[#This Row],[Product Name]],Inventory[Product Name],Inventory[Sale Price],"")=0,"",_xlfn.XLOOKUP(Sales[[#This Row],[Product Name]],Inventory[Product Name],Inventory[Sale Price]))</f>
        <v/>
      </c>
      <c r="I1929" s="19" t="str">
        <f>IFERROR(G1929*H1929,"")</f>
        <v/>
      </c>
      <c r="J1929" s="19"/>
    </row>
    <row r="1930" spans="1:10" ht="21">
      <c r="A1930" s="14">
        <v>1925</v>
      </c>
      <c r="C1930" s="16"/>
      <c r="D1930" s="14" t="str">
        <f>IF(Sales[[#This Row],[Product ID]]="","",Sales[[#This Row],[Date]]&amp;Sales[[#This Row],[Invoice no]])</f>
        <v/>
      </c>
      <c r="E193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0" s="19" t="str">
        <f>IF(_xlfn.XLOOKUP(Sales[[#This Row],[Product Name]],Inventory[Product Name],Inventory[Sale Price],"")=0,"",_xlfn.XLOOKUP(Sales[[#This Row],[Product Name]],Inventory[Product Name],Inventory[Sale Price]))</f>
        <v/>
      </c>
      <c r="I1930" s="19" t="str">
        <f>IFERROR(G1930*H1930,"")</f>
        <v/>
      </c>
      <c r="J1930" s="19"/>
    </row>
    <row r="1931" spans="1:10" ht="21">
      <c r="A1931" s="14">
        <v>1926</v>
      </c>
      <c r="C1931" s="16"/>
      <c r="D1931" s="14" t="str">
        <f>IF(Sales[[#This Row],[Product ID]]="","",Sales[[#This Row],[Date]]&amp;Sales[[#This Row],[Invoice no]])</f>
        <v/>
      </c>
      <c r="E193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1" s="19" t="str">
        <f>IF(_xlfn.XLOOKUP(Sales[[#This Row],[Product Name]],Inventory[Product Name],Inventory[Sale Price],"")=0,"",_xlfn.XLOOKUP(Sales[[#This Row],[Product Name]],Inventory[Product Name],Inventory[Sale Price]))</f>
        <v/>
      </c>
      <c r="I1931" s="19" t="str">
        <f>IFERROR(G1931*H1931,"")</f>
        <v/>
      </c>
      <c r="J1931" s="19"/>
    </row>
    <row r="1932" spans="1:10" ht="21">
      <c r="A1932" s="14">
        <v>1927</v>
      </c>
      <c r="C1932" s="16"/>
      <c r="D1932" s="14" t="str">
        <f>IF(Sales[[#This Row],[Product ID]]="","",Sales[[#This Row],[Date]]&amp;Sales[[#This Row],[Invoice no]])</f>
        <v/>
      </c>
      <c r="E193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2" s="19" t="str">
        <f>IF(_xlfn.XLOOKUP(Sales[[#This Row],[Product Name]],Inventory[Product Name],Inventory[Sale Price],"")=0,"",_xlfn.XLOOKUP(Sales[[#This Row],[Product Name]],Inventory[Product Name],Inventory[Sale Price]))</f>
        <v/>
      </c>
      <c r="I1932" s="19" t="str">
        <f>IFERROR(G1932*H1932,"")</f>
        <v/>
      </c>
      <c r="J1932" s="19"/>
    </row>
    <row r="1933" spans="1:10" ht="21">
      <c r="A1933" s="14">
        <v>1928</v>
      </c>
      <c r="C1933" s="16"/>
      <c r="D1933" s="14" t="str">
        <f>IF(Sales[[#This Row],[Product ID]]="","",Sales[[#This Row],[Date]]&amp;Sales[[#This Row],[Invoice no]])</f>
        <v/>
      </c>
      <c r="E193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3" s="19" t="str">
        <f>IF(_xlfn.XLOOKUP(Sales[[#This Row],[Product Name]],Inventory[Product Name],Inventory[Sale Price],"")=0,"",_xlfn.XLOOKUP(Sales[[#This Row],[Product Name]],Inventory[Product Name],Inventory[Sale Price]))</f>
        <v/>
      </c>
      <c r="I1933" s="19" t="str">
        <f>IFERROR(G1933*H1933,"")</f>
        <v/>
      </c>
      <c r="J1933" s="19"/>
    </row>
    <row r="1934" spans="1:10" ht="21">
      <c r="A1934" s="14">
        <v>1929</v>
      </c>
      <c r="C1934" s="16"/>
      <c r="D1934" s="14" t="str">
        <f>IF(Sales[[#This Row],[Product ID]]="","",Sales[[#This Row],[Date]]&amp;Sales[[#This Row],[Invoice no]])</f>
        <v/>
      </c>
      <c r="E193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4" s="19" t="str">
        <f>IF(_xlfn.XLOOKUP(Sales[[#This Row],[Product Name]],Inventory[Product Name],Inventory[Sale Price],"")=0,"",_xlfn.XLOOKUP(Sales[[#This Row],[Product Name]],Inventory[Product Name],Inventory[Sale Price]))</f>
        <v/>
      </c>
      <c r="I1934" s="19" t="str">
        <f>IFERROR(G1934*H1934,"")</f>
        <v/>
      </c>
      <c r="J1934" s="19"/>
    </row>
    <row r="1935" spans="1:10" ht="21">
      <c r="A1935" s="14">
        <v>1930</v>
      </c>
      <c r="C1935" s="16"/>
      <c r="D1935" s="14" t="str">
        <f>IF(Sales[[#This Row],[Product ID]]="","",Sales[[#This Row],[Date]]&amp;Sales[[#This Row],[Invoice no]])</f>
        <v/>
      </c>
      <c r="E193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5" s="19" t="str">
        <f>IF(_xlfn.XLOOKUP(Sales[[#This Row],[Product Name]],Inventory[Product Name],Inventory[Sale Price],"")=0,"",_xlfn.XLOOKUP(Sales[[#This Row],[Product Name]],Inventory[Product Name],Inventory[Sale Price]))</f>
        <v/>
      </c>
      <c r="I1935" s="19" t="str">
        <f>IFERROR(G1935*H1935,"")</f>
        <v/>
      </c>
      <c r="J1935" s="19"/>
    </row>
    <row r="1936" spans="1:10" ht="21">
      <c r="A1936" s="14">
        <v>1931</v>
      </c>
      <c r="C1936" s="16"/>
      <c r="D1936" s="14" t="str">
        <f>IF(Sales[[#This Row],[Product ID]]="","",Sales[[#This Row],[Date]]&amp;Sales[[#This Row],[Invoice no]])</f>
        <v/>
      </c>
      <c r="E193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6" s="19" t="str">
        <f>IF(_xlfn.XLOOKUP(Sales[[#This Row],[Product Name]],Inventory[Product Name],Inventory[Sale Price],"")=0,"",_xlfn.XLOOKUP(Sales[[#This Row],[Product Name]],Inventory[Product Name],Inventory[Sale Price]))</f>
        <v/>
      </c>
      <c r="I1936" s="19" t="str">
        <f>IFERROR(G1936*H1936,"")</f>
        <v/>
      </c>
      <c r="J1936" s="19"/>
    </row>
    <row r="1937" spans="1:10" ht="21">
      <c r="A1937" s="14">
        <v>1932</v>
      </c>
      <c r="C1937" s="16"/>
      <c r="D1937" s="14" t="str">
        <f>IF(Sales[[#This Row],[Product ID]]="","",Sales[[#This Row],[Date]]&amp;Sales[[#This Row],[Invoice no]])</f>
        <v/>
      </c>
      <c r="E193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7" s="19" t="str">
        <f>IF(_xlfn.XLOOKUP(Sales[[#This Row],[Product Name]],Inventory[Product Name],Inventory[Sale Price],"")=0,"",_xlfn.XLOOKUP(Sales[[#This Row],[Product Name]],Inventory[Product Name],Inventory[Sale Price]))</f>
        <v/>
      </c>
      <c r="I1937" s="19" t="str">
        <f>IFERROR(G1937*H1937,"")</f>
        <v/>
      </c>
      <c r="J1937" s="19"/>
    </row>
    <row r="1938" spans="1:10" ht="21">
      <c r="A1938" s="14">
        <v>1933</v>
      </c>
      <c r="C1938" s="16"/>
      <c r="D1938" s="14" t="str">
        <f>IF(Sales[[#This Row],[Product ID]]="","",Sales[[#This Row],[Date]]&amp;Sales[[#This Row],[Invoice no]])</f>
        <v/>
      </c>
      <c r="E193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8" s="19" t="str">
        <f>IF(_xlfn.XLOOKUP(Sales[[#This Row],[Product Name]],Inventory[Product Name],Inventory[Sale Price],"")=0,"",_xlfn.XLOOKUP(Sales[[#This Row],[Product Name]],Inventory[Product Name],Inventory[Sale Price]))</f>
        <v/>
      </c>
      <c r="I1938" s="19" t="str">
        <f>IFERROR(G1938*H1938,"")</f>
        <v/>
      </c>
      <c r="J1938" s="19"/>
    </row>
    <row r="1939" spans="1:10" ht="21">
      <c r="A1939" s="14">
        <v>1934</v>
      </c>
      <c r="C1939" s="16"/>
      <c r="D1939" s="14" t="str">
        <f>IF(Sales[[#This Row],[Product ID]]="","",Sales[[#This Row],[Date]]&amp;Sales[[#This Row],[Invoice no]])</f>
        <v/>
      </c>
      <c r="E193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39" s="19" t="str">
        <f>IF(_xlfn.XLOOKUP(Sales[[#This Row],[Product Name]],Inventory[Product Name],Inventory[Sale Price],"")=0,"",_xlfn.XLOOKUP(Sales[[#This Row],[Product Name]],Inventory[Product Name],Inventory[Sale Price]))</f>
        <v/>
      </c>
      <c r="I1939" s="19" t="str">
        <f>IFERROR(G1939*H1939,"")</f>
        <v/>
      </c>
      <c r="J1939" s="19"/>
    </row>
    <row r="1940" spans="1:10" ht="21">
      <c r="A1940" s="14">
        <v>1935</v>
      </c>
      <c r="C1940" s="16"/>
      <c r="D1940" s="14" t="str">
        <f>IF(Sales[[#This Row],[Product ID]]="","",Sales[[#This Row],[Date]]&amp;Sales[[#This Row],[Invoice no]])</f>
        <v/>
      </c>
      <c r="E194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0" s="19" t="str">
        <f>IF(_xlfn.XLOOKUP(Sales[[#This Row],[Product Name]],Inventory[Product Name],Inventory[Sale Price],"")=0,"",_xlfn.XLOOKUP(Sales[[#This Row],[Product Name]],Inventory[Product Name],Inventory[Sale Price]))</f>
        <v/>
      </c>
      <c r="I1940" s="19" t="str">
        <f>IFERROR(G1940*H1940,"")</f>
        <v/>
      </c>
      <c r="J1940" s="19"/>
    </row>
    <row r="1941" spans="1:10" ht="21">
      <c r="A1941" s="14">
        <v>1936</v>
      </c>
      <c r="C1941" s="16"/>
      <c r="D1941" s="14" t="str">
        <f>IF(Sales[[#This Row],[Product ID]]="","",Sales[[#This Row],[Date]]&amp;Sales[[#This Row],[Invoice no]])</f>
        <v/>
      </c>
      <c r="E194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1" s="19" t="str">
        <f>IF(_xlfn.XLOOKUP(Sales[[#This Row],[Product Name]],Inventory[Product Name],Inventory[Sale Price],"")=0,"",_xlfn.XLOOKUP(Sales[[#This Row],[Product Name]],Inventory[Product Name],Inventory[Sale Price]))</f>
        <v/>
      </c>
      <c r="I1941" s="19" t="str">
        <f>IFERROR(G1941*H1941,"")</f>
        <v/>
      </c>
      <c r="J1941" s="19"/>
    </row>
    <row r="1942" spans="1:10" ht="21">
      <c r="A1942" s="14">
        <v>1937</v>
      </c>
      <c r="C1942" s="16"/>
      <c r="D1942" s="14" t="str">
        <f>IF(Sales[[#This Row],[Product ID]]="","",Sales[[#This Row],[Date]]&amp;Sales[[#This Row],[Invoice no]])</f>
        <v/>
      </c>
      <c r="E194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2" s="19" t="str">
        <f>IF(_xlfn.XLOOKUP(Sales[[#This Row],[Product Name]],Inventory[Product Name],Inventory[Sale Price],"")=0,"",_xlfn.XLOOKUP(Sales[[#This Row],[Product Name]],Inventory[Product Name],Inventory[Sale Price]))</f>
        <v/>
      </c>
      <c r="I1942" s="19" t="str">
        <f>IFERROR(G1942*H1942,"")</f>
        <v/>
      </c>
      <c r="J1942" s="19"/>
    </row>
    <row r="1943" spans="1:10" ht="21">
      <c r="A1943" s="14">
        <v>1938</v>
      </c>
      <c r="C1943" s="16"/>
      <c r="D1943" s="14" t="str">
        <f>IF(Sales[[#This Row],[Product ID]]="","",Sales[[#This Row],[Date]]&amp;Sales[[#This Row],[Invoice no]])</f>
        <v/>
      </c>
      <c r="E194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3" s="19" t="str">
        <f>IF(_xlfn.XLOOKUP(Sales[[#This Row],[Product Name]],Inventory[Product Name],Inventory[Sale Price],"")=0,"",_xlfn.XLOOKUP(Sales[[#This Row],[Product Name]],Inventory[Product Name],Inventory[Sale Price]))</f>
        <v/>
      </c>
      <c r="I1943" s="19" t="str">
        <f>IFERROR(G1943*H1943,"")</f>
        <v/>
      </c>
      <c r="J1943" s="19"/>
    </row>
    <row r="1944" spans="1:10" ht="21">
      <c r="A1944" s="14">
        <v>1939</v>
      </c>
      <c r="C1944" s="16"/>
      <c r="D1944" s="14" t="str">
        <f>IF(Sales[[#This Row],[Product ID]]="","",Sales[[#This Row],[Date]]&amp;Sales[[#This Row],[Invoice no]])</f>
        <v/>
      </c>
      <c r="E194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4" s="19" t="str">
        <f>IF(_xlfn.XLOOKUP(Sales[[#This Row],[Product Name]],Inventory[Product Name],Inventory[Sale Price],"")=0,"",_xlfn.XLOOKUP(Sales[[#This Row],[Product Name]],Inventory[Product Name],Inventory[Sale Price]))</f>
        <v/>
      </c>
      <c r="I1944" s="19" t="str">
        <f>IFERROR(G1944*H1944,"")</f>
        <v/>
      </c>
      <c r="J1944" s="19"/>
    </row>
    <row r="1945" spans="1:10" ht="21">
      <c r="A1945" s="14">
        <v>1940</v>
      </c>
      <c r="C1945" s="16"/>
      <c r="D1945" s="14" t="str">
        <f>IF(Sales[[#This Row],[Product ID]]="","",Sales[[#This Row],[Date]]&amp;Sales[[#This Row],[Invoice no]])</f>
        <v/>
      </c>
      <c r="E194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5" s="19" t="str">
        <f>IF(_xlfn.XLOOKUP(Sales[[#This Row],[Product Name]],Inventory[Product Name],Inventory[Sale Price],"")=0,"",_xlfn.XLOOKUP(Sales[[#This Row],[Product Name]],Inventory[Product Name],Inventory[Sale Price]))</f>
        <v/>
      </c>
      <c r="I1945" s="19" t="str">
        <f>IFERROR(G1945*H1945,"")</f>
        <v/>
      </c>
      <c r="J1945" s="19"/>
    </row>
    <row r="1946" spans="1:10" ht="21">
      <c r="A1946" s="14">
        <v>1941</v>
      </c>
      <c r="C1946" s="16"/>
      <c r="D1946" s="14" t="str">
        <f>IF(Sales[[#This Row],[Product ID]]="","",Sales[[#This Row],[Date]]&amp;Sales[[#This Row],[Invoice no]])</f>
        <v/>
      </c>
      <c r="E194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6" s="19" t="str">
        <f>IF(_xlfn.XLOOKUP(Sales[[#This Row],[Product Name]],Inventory[Product Name],Inventory[Sale Price],"")=0,"",_xlfn.XLOOKUP(Sales[[#This Row],[Product Name]],Inventory[Product Name],Inventory[Sale Price]))</f>
        <v/>
      </c>
      <c r="I1946" s="19" t="str">
        <f>IFERROR(G1946*H1946,"")</f>
        <v/>
      </c>
      <c r="J1946" s="19"/>
    </row>
    <row r="1947" spans="1:10" ht="21">
      <c r="A1947" s="14">
        <v>1942</v>
      </c>
      <c r="C1947" s="16"/>
      <c r="D1947" s="14" t="str">
        <f>IF(Sales[[#This Row],[Product ID]]="","",Sales[[#This Row],[Date]]&amp;Sales[[#This Row],[Invoice no]])</f>
        <v/>
      </c>
      <c r="E194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7" s="19" t="str">
        <f>IF(_xlfn.XLOOKUP(Sales[[#This Row],[Product Name]],Inventory[Product Name],Inventory[Sale Price],"")=0,"",_xlfn.XLOOKUP(Sales[[#This Row],[Product Name]],Inventory[Product Name],Inventory[Sale Price]))</f>
        <v/>
      </c>
      <c r="I1947" s="19" t="str">
        <f>IFERROR(G1947*H1947,"")</f>
        <v/>
      </c>
      <c r="J1947" s="19"/>
    </row>
    <row r="1948" spans="1:10" ht="21">
      <c r="A1948" s="14">
        <v>1943</v>
      </c>
      <c r="C1948" s="16"/>
      <c r="D1948" s="14" t="str">
        <f>IF(Sales[[#This Row],[Product ID]]="","",Sales[[#This Row],[Date]]&amp;Sales[[#This Row],[Invoice no]])</f>
        <v/>
      </c>
      <c r="E194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8" s="19" t="str">
        <f>IF(_xlfn.XLOOKUP(Sales[[#This Row],[Product Name]],Inventory[Product Name],Inventory[Sale Price],"")=0,"",_xlfn.XLOOKUP(Sales[[#This Row],[Product Name]],Inventory[Product Name],Inventory[Sale Price]))</f>
        <v/>
      </c>
      <c r="I1948" s="19" t="str">
        <f>IFERROR(G1948*H1948,"")</f>
        <v/>
      </c>
      <c r="J1948" s="19"/>
    </row>
    <row r="1949" spans="1:10" ht="21">
      <c r="A1949" s="14">
        <v>1944</v>
      </c>
      <c r="C1949" s="16"/>
      <c r="D1949" s="14" t="str">
        <f>IF(Sales[[#This Row],[Product ID]]="","",Sales[[#This Row],[Date]]&amp;Sales[[#This Row],[Invoice no]])</f>
        <v/>
      </c>
      <c r="E194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49" s="19" t="str">
        <f>IF(_xlfn.XLOOKUP(Sales[[#This Row],[Product Name]],Inventory[Product Name],Inventory[Sale Price],"")=0,"",_xlfn.XLOOKUP(Sales[[#This Row],[Product Name]],Inventory[Product Name],Inventory[Sale Price]))</f>
        <v/>
      </c>
      <c r="I1949" s="19" t="str">
        <f>IFERROR(G1949*H1949,"")</f>
        <v/>
      </c>
      <c r="J1949" s="19"/>
    </row>
    <row r="1950" spans="1:10" ht="21">
      <c r="A1950" s="14">
        <v>1945</v>
      </c>
      <c r="C1950" s="16"/>
      <c r="D1950" s="14" t="str">
        <f>IF(Sales[[#This Row],[Product ID]]="","",Sales[[#This Row],[Date]]&amp;Sales[[#This Row],[Invoice no]])</f>
        <v/>
      </c>
      <c r="E195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0" s="19" t="str">
        <f>IF(_xlfn.XLOOKUP(Sales[[#This Row],[Product Name]],Inventory[Product Name],Inventory[Sale Price],"")=0,"",_xlfn.XLOOKUP(Sales[[#This Row],[Product Name]],Inventory[Product Name],Inventory[Sale Price]))</f>
        <v/>
      </c>
      <c r="I1950" s="19" t="str">
        <f>IFERROR(G1950*H1950,"")</f>
        <v/>
      </c>
      <c r="J1950" s="19"/>
    </row>
    <row r="1951" spans="1:10" ht="21">
      <c r="A1951" s="14">
        <v>1946</v>
      </c>
      <c r="C1951" s="16"/>
      <c r="D1951" s="14" t="str">
        <f>IF(Sales[[#This Row],[Product ID]]="","",Sales[[#This Row],[Date]]&amp;Sales[[#This Row],[Invoice no]])</f>
        <v/>
      </c>
      <c r="E195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1" s="19" t="str">
        <f>IF(_xlfn.XLOOKUP(Sales[[#This Row],[Product Name]],Inventory[Product Name],Inventory[Sale Price],"")=0,"",_xlfn.XLOOKUP(Sales[[#This Row],[Product Name]],Inventory[Product Name],Inventory[Sale Price]))</f>
        <v/>
      </c>
      <c r="I1951" s="19" t="str">
        <f>IFERROR(G1951*H1951,"")</f>
        <v/>
      </c>
      <c r="J1951" s="19"/>
    </row>
    <row r="1952" spans="1:10" ht="21">
      <c r="A1952" s="14">
        <v>1947</v>
      </c>
      <c r="C1952" s="16"/>
      <c r="D1952" s="14" t="str">
        <f>IF(Sales[[#This Row],[Product ID]]="","",Sales[[#This Row],[Date]]&amp;Sales[[#This Row],[Invoice no]])</f>
        <v/>
      </c>
      <c r="E195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2" s="19" t="str">
        <f>IF(_xlfn.XLOOKUP(Sales[[#This Row],[Product Name]],Inventory[Product Name],Inventory[Sale Price],"")=0,"",_xlfn.XLOOKUP(Sales[[#This Row],[Product Name]],Inventory[Product Name],Inventory[Sale Price]))</f>
        <v/>
      </c>
      <c r="I1952" s="19" t="str">
        <f>IFERROR(G1952*H1952,"")</f>
        <v/>
      </c>
      <c r="J1952" s="19"/>
    </row>
    <row r="1953" spans="1:10" ht="21">
      <c r="A1953" s="14">
        <v>1948</v>
      </c>
      <c r="C1953" s="16"/>
      <c r="D1953" s="14" t="str">
        <f>IF(Sales[[#This Row],[Product ID]]="","",Sales[[#This Row],[Date]]&amp;Sales[[#This Row],[Invoice no]])</f>
        <v/>
      </c>
      <c r="E195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3" s="19" t="str">
        <f>IF(_xlfn.XLOOKUP(Sales[[#This Row],[Product Name]],Inventory[Product Name],Inventory[Sale Price],"")=0,"",_xlfn.XLOOKUP(Sales[[#This Row],[Product Name]],Inventory[Product Name],Inventory[Sale Price]))</f>
        <v/>
      </c>
      <c r="I1953" s="19" t="str">
        <f>IFERROR(G1953*H1953,"")</f>
        <v/>
      </c>
      <c r="J1953" s="19"/>
    </row>
    <row r="1954" spans="1:10" ht="21">
      <c r="A1954" s="14">
        <v>1949</v>
      </c>
      <c r="C1954" s="16"/>
      <c r="D1954" s="14" t="str">
        <f>IF(Sales[[#This Row],[Product ID]]="","",Sales[[#This Row],[Date]]&amp;Sales[[#This Row],[Invoice no]])</f>
        <v/>
      </c>
      <c r="E195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4" s="19" t="str">
        <f>IF(_xlfn.XLOOKUP(Sales[[#This Row],[Product Name]],Inventory[Product Name],Inventory[Sale Price],"")=0,"",_xlfn.XLOOKUP(Sales[[#This Row],[Product Name]],Inventory[Product Name],Inventory[Sale Price]))</f>
        <v/>
      </c>
      <c r="I1954" s="19" t="str">
        <f>IFERROR(G1954*H1954,"")</f>
        <v/>
      </c>
      <c r="J1954" s="19"/>
    </row>
    <row r="1955" spans="1:10" ht="21">
      <c r="A1955" s="14">
        <v>1950</v>
      </c>
      <c r="C1955" s="16"/>
      <c r="D1955" s="14" t="str">
        <f>IF(Sales[[#This Row],[Product ID]]="","",Sales[[#This Row],[Date]]&amp;Sales[[#This Row],[Invoice no]])</f>
        <v/>
      </c>
      <c r="E195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5" s="19" t="str">
        <f>IF(_xlfn.XLOOKUP(Sales[[#This Row],[Product Name]],Inventory[Product Name],Inventory[Sale Price],"")=0,"",_xlfn.XLOOKUP(Sales[[#This Row],[Product Name]],Inventory[Product Name],Inventory[Sale Price]))</f>
        <v/>
      </c>
      <c r="I1955" s="19" t="str">
        <f>IFERROR(G1955*H1955,"")</f>
        <v/>
      </c>
      <c r="J1955" s="19"/>
    </row>
    <row r="1956" spans="1:10" ht="21">
      <c r="A1956" s="14">
        <v>1951</v>
      </c>
      <c r="C1956" s="16"/>
      <c r="D1956" s="14" t="str">
        <f>IF(Sales[[#This Row],[Product ID]]="","",Sales[[#This Row],[Date]]&amp;Sales[[#This Row],[Invoice no]])</f>
        <v/>
      </c>
      <c r="E195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6" s="19" t="str">
        <f>IF(_xlfn.XLOOKUP(Sales[[#This Row],[Product Name]],Inventory[Product Name],Inventory[Sale Price],"")=0,"",_xlfn.XLOOKUP(Sales[[#This Row],[Product Name]],Inventory[Product Name],Inventory[Sale Price]))</f>
        <v/>
      </c>
      <c r="I1956" s="19" t="str">
        <f>IFERROR(G1956*H1956,"")</f>
        <v/>
      </c>
      <c r="J1956" s="19"/>
    </row>
    <row r="1957" spans="1:10" ht="21">
      <c r="A1957" s="14">
        <v>1952</v>
      </c>
      <c r="C1957" s="16"/>
      <c r="D1957" s="14" t="str">
        <f>IF(Sales[[#This Row],[Product ID]]="","",Sales[[#This Row],[Date]]&amp;Sales[[#This Row],[Invoice no]])</f>
        <v/>
      </c>
      <c r="E195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7" s="19" t="str">
        <f>IF(_xlfn.XLOOKUP(Sales[[#This Row],[Product Name]],Inventory[Product Name],Inventory[Sale Price],"")=0,"",_xlfn.XLOOKUP(Sales[[#This Row],[Product Name]],Inventory[Product Name],Inventory[Sale Price]))</f>
        <v/>
      </c>
      <c r="I1957" s="19" t="str">
        <f>IFERROR(G1957*H1957,"")</f>
        <v/>
      </c>
      <c r="J1957" s="19"/>
    </row>
    <row r="1958" spans="1:10" ht="21">
      <c r="A1958" s="14">
        <v>1953</v>
      </c>
      <c r="C1958" s="16"/>
      <c r="D1958" s="14" t="str">
        <f>IF(Sales[[#This Row],[Product ID]]="","",Sales[[#This Row],[Date]]&amp;Sales[[#This Row],[Invoice no]])</f>
        <v/>
      </c>
      <c r="E195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8" s="19" t="str">
        <f>IF(_xlfn.XLOOKUP(Sales[[#This Row],[Product Name]],Inventory[Product Name],Inventory[Sale Price],"")=0,"",_xlfn.XLOOKUP(Sales[[#This Row],[Product Name]],Inventory[Product Name],Inventory[Sale Price]))</f>
        <v/>
      </c>
      <c r="I1958" s="19" t="str">
        <f>IFERROR(G1958*H1958,"")</f>
        <v/>
      </c>
      <c r="J1958" s="19"/>
    </row>
    <row r="1959" spans="1:10" ht="21">
      <c r="A1959" s="14">
        <v>1954</v>
      </c>
      <c r="C1959" s="16"/>
      <c r="D1959" s="14" t="str">
        <f>IF(Sales[[#This Row],[Product ID]]="","",Sales[[#This Row],[Date]]&amp;Sales[[#This Row],[Invoice no]])</f>
        <v/>
      </c>
      <c r="E195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59" s="19" t="str">
        <f>IF(_xlfn.XLOOKUP(Sales[[#This Row],[Product Name]],Inventory[Product Name],Inventory[Sale Price],"")=0,"",_xlfn.XLOOKUP(Sales[[#This Row],[Product Name]],Inventory[Product Name],Inventory[Sale Price]))</f>
        <v/>
      </c>
      <c r="I1959" s="19" t="str">
        <f>IFERROR(G1959*H1959,"")</f>
        <v/>
      </c>
      <c r="J1959" s="19"/>
    </row>
    <row r="1960" spans="1:10" ht="21">
      <c r="A1960" s="14">
        <v>1955</v>
      </c>
      <c r="C1960" s="16"/>
      <c r="D1960" s="14" t="str">
        <f>IF(Sales[[#This Row],[Product ID]]="","",Sales[[#This Row],[Date]]&amp;Sales[[#This Row],[Invoice no]])</f>
        <v/>
      </c>
      <c r="E196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0" s="19" t="str">
        <f>IF(_xlfn.XLOOKUP(Sales[[#This Row],[Product Name]],Inventory[Product Name],Inventory[Sale Price],"")=0,"",_xlfn.XLOOKUP(Sales[[#This Row],[Product Name]],Inventory[Product Name],Inventory[Sale Price]))</f>
        <v/>
      </c>
      <c r="I1960" s="19" t="str">
        <f>IFERROR(G1960*H1960,"")</f>
        <v/>
      </c>
      <c r="J1960" s="19"/>
    </row>
    <row r="1961" spans="1:10" ht="21">
      <c r="A1961" s="14">
        <v>1956</v>
      </c>
      <c r="C1961" s="16"/>
      <c r="D1961" s="14" t="str">
        <f>IF(Sales[[#This Row],[Product ID]]="","",Sales[[#This Row],[Date]]&amp;Sales[[#This Row],[Invoice no]])</f>
        <v/>
      </c>
      <c r="E196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1" s="19" t="str">
        <f>IF(_xlfn.XLOOKUP(Sales[[#This Row],[Product Name]],Inventory[Product Name],Inventory[Sale Price],"")=0,"",_xlfn.XLOOKUP(Sales[[#This Row],[Product Name]],Inventory[Product Name],Inventory[Sale Price]))</f>
        <v/>
      </c>
      <c r="I1961" s="19" t="str">
        <f>IFERROR(G1961*H1961,"")</f>
        <v/>
      </c>
      <c r="J1961" s="19"/>
    </row>
    <row r="1962" spans="1:10" ht="21">
      <c r="A1962" s="14">
        <v>1957</v>
      </c>
      <c r="C1962" s="16"/>
      <c r="D1962" s="14" t="str">
        <f>IF(Sales[[#This Row],[Product ID]]="","",Sales[[#This Row],[Date]]&amp;Sales[[#This Row],[Invoice no]])</f>
        <v/>
      </c>
      <c r="E196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2" s="19" t="str">
        <f>IF(_xlfn.XLOOKUP(Sales[[#This Row],[Product Name]],Inventory[Product Name],Inventory[Sale Price],"")=0,"",_xlfn.XLOOKUP(Sales[[#This Row],[Product Name]],Inventory[Product Name],Inventory[Sale Price]))</f>
        <v/>
      </c>
      <c r="I1962" s="19" t="str">
        <f>IFERROR(G1962*H1962,"")</f>
        <v/>
      </c>
      <c r="J1962" s="19"/>
    </row>
    <row r="1963" spans="1:10" ht="21">
      <c r="A1963" s="14">
        <v>1958</v>
      </c>
      <c r="C1963" s="16"/>
      <c r="D1963" s="14" t="str">
        <f>IF(Sales[[#This Row],[Product ID]]="","",Sales[[#This Row],[Date]]&amp;Sales[[#This Row],[Invoice no]])</f>
        <v/>
      </c>
      <c r="E196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3" s="19" t="str">
        <f>IF(_xlfn.XLOOKUP(Sales[[#This Row],[Product Name]],Inventory[Product Name],Inventory[Sale Price],"")=0,"",_xlfn.XLOOKUP(Sales[[#This Row],[Product Name]],Inventory[Product Name],Inventory[Sale Price]))</f>
        <v/>
      </c>
      <c r="I1963" s="19" t="str">
        <f>IFERROR(G1963*H1963,"")</f>
        <v/>
      </c>
      <c r="J1963" s="19"/>
    </row>
    <row r="1964" spans="1:10" ht="21">
      <c r="A1964" s="14">
        <v>1959</v>
      </c>
      <c r="C1964" s="16"/>
      <c r="D1964" s="14" t="str">
        <f>IF(Sales[[#This Row],[Product ID]]="","",Sales[[#This Row],[Date]]&amp;Sales[[#This Row],[Invoice no]])</f>
        <v/>
      </c>
      <c r="E196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4" s="19" t="str">
        <f>IF(_xlfn.XLOOKUP(Sales[[#This Row],[Product Name]],Inventory[Product Name],Inventory[Sale Price],"")=0,"",_xlfn.XLOOKUP(Sales[[#This Row],[Product Name]],Inventory[Product Name],Inventory[Sale Price]))</f>
        <v/>
      </c>
      <c r="I1964" s="19" t="str">
        <f>IFERROR(G1964*H1964,"")</f>
        <v/>
      </c>
      <c r="J1964" s="19"/>
    </row>
    <row r="1965" spans="1:10" ht="21">
      <c r="A1965" s="14">
        <v>1960</v>
      </c>
      <c r="C1965" s="16"/>
      <c r="D1965" s="14" t="str">
        <f>IF(Sales[[#This Row],[Product ID]]="","",Sales[[#This Row],[Date]]&amp;Sales[[#This Row],[Invoice no]])</f>
        <v/>
      </c>
      <c r="E196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5" s="19" t="str">
        <f>IF(_xlfn.XLOOKUP(Sales[[#This Row],[Product Name]],Inventory[Product Name],Inventory[Sale Price],"")=0,"",_xlfn.XLOOKUP(Sales[[#This Row],[Product Name]],Inventory[Product Name],Inventory[Sale Price]))</f>
        <v/>
      </c>
      <c r="I1965" s="19" t="str">
        <f>IFERROR(G1965*H1965,"")</f>
        <v/>
      </c>
      <c r="J1965" s="19"/>
    </row>
    <row r="1966" spans="1:10" ht="21">
      <c r="A1966" s="14">
        <v>1961</v>
      </c>
      <c r="C1966" s="16"/>
      <c r="D1966" s="14" t="str">
        <f>IF(Sales[[#This Row],[Product ID]]="","",Sales[[#This Row],[Date]]&amp;Sales[[#This Row],[Invoice no]])</f>
        <v/>
      </c>
      <c r="E196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6" s="19" t="str">
        <f>IF(_xlfn.XLOOKUP(Sales[[#This Row],[Product Name]],Inventory[Product Name],Inventory[Sale Price],"")=0,"",_xlfn.XLOOKUP(Sales[[#This Row],[Product Name]],Inventory[Product Name],Inventory[Sale Price]))</f>
        <v/>
      </c>
      <c r="I1966" s="19" t="str">
        <f>IFERROR(G1966*H1966,"")</f>
        <v/>
      </c>
      <c r="J1966" s="19"/>
    </row>
    <row r="1967" spans="1:10" ht="21">
      <c r="A1967" s="14">
        <v>1962</v>
      </c>
      <c r="C1967" s="16"/>
      <c r="D1967" s="14" t="str">
        <f>IF(Sales[[#This Row],[Product ID]]="","",Sales[[#This Row],[Date]]&amp;Sales[[#This Row],[Invoice no]])</f>
        <v/>
      </c>
      <c r="E196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7" s="19" t="str">
        <f>IF(_xlfn.XLOOKUP(Sales[[#This Row],[Product Name]],Inventory[Product Name],Inventory[Sale Price],"")=0,"",_xlfn.XLOOKUP(Sales[[#This Row],[Product Name]],Inventory[Product Name],Inventory[Sale Price]))</f>
        <v/>
      </c>
      <c r="I1967" s="19" t="str">
        <f>IFERROR(G1967*H1967,"")</f>
        <v/>
      </c>
      <c r="J1967" s="19"/>
    </row>
    <row r="1968" spans="1:10" ht="21">
      <c r="A1968" s="14">
        <v>1963</v>
      </c>
      <c r="C1968" s="16"/>
      <c r="D1968" s="14" t="str">
        <f>IF(Sales[[#This Row],[Product ID]]="","",Sales[[#This Row],[Date]]&amp;Sales[[#This Row],[Invoice no]])</f>
        <v/>
      </c>
      <c r="E196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8" s="19" t="str">
        <f>IF(_xlfn.XLOOKUP(Sales[[#This Row],[Product Name]],Inventory[Product Name],Inventory[Sale Price],"")=0,"",_xlfn.XLOOKUP(Sales[[#This Row],[Product Name]],Inventory[Product Name],Inventory[Sale Price]))</f>
        <v/>
      </c>
      <c r="I1968" s="19" t="str">
        <f>IFERROR(G1968*H1968,"")</f>
        <v/>
      </c>
      <c r="J1968" s="19"/>
    </row>
    <row r="1969" spans="1:10" ht="21">
      <c r="A1969" s="14">
        <v>1964</v>
      </c>
      <c r="C1969" s="16"/>
      <c r="D1969" s="14" t="str">
        <f>IF(Sales[[#This Row],[Product ID]]="","",Sales[[#This Row],[Date]]&amp;Sales[[#This Row],[Invoice no]])</f>
        <v/>
      </c>
      <c r="E196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69" s="19" t="str">
        <f>IF(_xlfn.XLOOKUP(Sales[[#This Row],[Product Name]],Inventory[Product Name],Inventory[Sale Price],"")=0,"",_xlfn.XLOOKUP(Sales[[#This Row],[Product Name]],Inventory[Product Name],Inventory[Sale Price]))</f>
        <v/>
      </c>
      <c r="I1969" s="19" t="str">
        <f>IFERROR(G1969*H1969,"")</f>
        <v/>
      </c>
      <c r="J1969" s="19"/>
    </row>
    <row r="1970" spans="1:10" ht="21">
      <c r="A1970" s="14">
        <v>1965</v>
      </c>
      <c r="C1970" s="16"/>
      <c r="D1970" s="14" t="str">
        <f>IF(Sales[[#This Row],[Product ID]]="","",Sales[[#This Row],[Date]]&amp;Sales[[#This Row],[Invoice no]])</f>
        <v/>
      </c>
      <c r="E197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0" s="19" t="str">
        <f>IF(_xlfn.XLOOKUP(Sales[[#This Row],[Product Name]],Inventory[Product Name],Inventory[Sale Price],"")=0,"",_xlfn.XLOOKUP(Sales[[#This Row],[Product Name]],Inventory[Product Name],Inventory[Sale Price]))</f>
        <v/>
      </c>
      <c r="I1970" s="19" t="str">
        <f>IFERROR(G1970*H1970,"")</f>
        <v/>
      </c>
      <c r="J1970" s="19"/>
    </row>
    <row r="1971" spans="1:10" ht="21">
      <c r="A1971" s="14">
        <v>1966</v>
      </c>
      <c r="C1971" s="16"/>
      <c r="D1971" s="14" t="str">
        <f>IF(Sales[[#This Row],[Product ID]]="","",Sales[[#This Row],[Date]]&amp;Sales[[#This Row],[Invoice no]])</f>
        <v/>
      </c>
      <c r="E197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1" s="19" t="str">
        <f>IF(_xlfn.XLOOKUP(Sales[[#This Row],[Product Name]],Inventory[Product Name],Inventory[Sale Price],"")=0,"",_xlfn.XLOOKUP(Sales[[#This Row],[Product Name]],Inventory[Product Name],Inventory[Sale Price]))</f>
        <v/>
      </c>
      <c r="I1971" s="19" t="str">
        <f>IFERROR(G1971*H1971,"")</f>
        <v/>
      </c>
      <c r="J1971" s="19"/>
    </row>
    <row r="1972" spans="1:10" ht="21">
      <c r="A1972" s="14">
        <v>1967</v>
      </c>
      <c r="C1972" s="16"/>
      <c r="D1972" s="14" t="str">
        <f>IF(Sales[[#This Row],[Product ID]]="","",Sales[[#This Row],[Date]]&amp;Sales[[#This Row],[Invoice no]])</f>
        <v/>
      </c>
      <c r="E197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2" s="19" t="str">
        <f>IF(_xlfn.XLOOKUP(Sales[[#This Row],[Product Name]],Inventory[Product Name],Inventory[Sale Price],"")=0,"",_xlfn.XLOOKUP(Sales[[#This Row],[Product Name]],Inventory[Product Name],Inventory[Sale Price]))</f>
        <v/>
      </c>
      <c r="I1972" s="19" t="str">
        <f>IFERROR(G1972*H1972,"")</f>
        <v/>
      </c>
      <c r="J1972" s="19"/>
    </row>
    <row r="1973" spans="1:10" ht="21">
      <c r="A1973" s="14">
        <v>1968</v>
      </c>
      <c r="C1973" s="16"/>
      <c r="D1973" s="14" t="str">
        <f>IF(Sales[[#This Row],[Product ID]]="","",Sales[[#This Row],[Date]]&amp;Sales[[#This Row],[Invoice no]])</f>
        <v/>
      </c>
      <c r="E197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3" s="19" t="str">
        <f>IF(_xlfn.XLOOKUP(Sales[[#This Row],[Product Name]],Inventory[Product Name],Inventory[Sale Price],"")=0,"",_xlfn.XLOOKUP(Sales[[#This Row],[Product Name]],Inventory[Product Name],Inventory[Sale Price]))</f>
        <v/>
      </c>
      <c r="I1973" s="19" t="str">
        <f>IFERROR(G1973*H1973,"")</f>
        <v/>
      </c>
      <c r="J1973" s="19"/>
    </row>
    <row r="1974" spans="1:10" ht="21">
      <c r="A1974" s="14">
        <v>1969</v>
      </c>
      <c r="C1974" s="16"/>
      <c r="D1974" s="14" t="str">
        <f>IF(Sales[[#This Row],[Product ID]]="","",Sales[[#This Row],[Date]]&amp;Sales[[#This Row],[Invoice no]])</f>
        <v/>
      </c>
      <c r="E197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4" s="19" t="str">
        <f>IF(_xlfn.XLOOKUP(Sales[[#This Row],[Product Name]],Inventory[Product Name],Inventory[Sale Price],"")=0,"",_xlfn.XLOOKUP(Sales[[#This Row],[Product Name]],Inventory[Product Name],Inventory[Sale Price]))</f>
        <v/>
      </c>
      <c r="I1974" s="19" t="str">
        <f>IFERROR(G1974*H1974,"")</f>
        <v/>
      </c>
      <c r="J1974" s="19"/>
    </row>
    <row r="1975" spans="1:10" ht="21">
      <c r="A1975" s="14">
        <v>1970</v>
      </c>
      <c r="C1975" s="16"/>
      <c r="D1975" s="14" t="str">
        <f>IF(Sales[[#This Row],[Product ID]]="","",Sales[[#This Row],[Date]]&amp;Sales[[#This Row],[Invoice no]])</f>
        <v/>
      </c>
      <c r="E197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5" s="19" t="str">
        <f>IF(_xlfn.XLOOKUP(Sales[[#This Row],[Product Name]],Inventory[Product Name],Inventory[Sale Price],"")=0,"",_xlfn.XLOOKUP(Sales[[#This Row],[Product Name]],Inventory[Product Name],Inventory[Sale Price]))</f>
        <v/>
      </c>
      <c r="I1975" s="19" t="str">
        <f>IFERROR(G1975*H1975,"")</f>
        <v/>
      </c>
      <c r="J1975" s="19"/>
    </row>
    <row r="1976" spans="1:10" ht="21">
      <c r="A1976" s="14">
        <v>1971</v>
      </c>
      <c r="C1976" s="16"/>
      <c r="D1976" s="14" t="str">
        <f>IF(Sales[[#This Row],[Product ID]]="","",Sales[[#This Row],[Date]]&amp;Sales[[#This Row],[Invoice no]])</f>
        <v/>
      </c>
      <c r="E197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6" s="19" t="str">
        <f>IF(_xlfn.XLOOKUP(Sales[[#This Row],[Product Name]],Inventory[Product Name],Inventory[Sale Price],"")=0,"",_xlfn.XLOOKUP(Sales[[#This Row],[Product Name]],Inventory[Product Name],Inventory[Sale Price]))</f>
        <v/>
      </c>
      <c r="I1976" s="19" t="str">
        <f>IFERROR(G1976*H1976,"")</f>
        <v/>
      </c>
      <c r="J1976" s="19"/>
    </row>
    <row r="1977" spans="1:10" ht="21">
      <c r="A1977" s="14">
        <v>1972</v>
      </c>
      <c r="C1977" s="16"/>
      <c r="D1977" s="14" t="str">
        <f>IF(Sales[[#This Row],[Product ID]]="","",Sales[[#This Row],[Date]]&amp;Sales[[#This Row],[Invoice no]])</f>
        <v/>
      </c>
      <c r="E197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7" s="19" t="str">
        <f>IF(_xlfn.XLOOKUP(Sales[[#This Row],[Product Name]],Inventory[Product Name],Inventory[Sale Price],"")=0,"",_xlfn.XLOOKUP(Sales[[#This Row],[Product Name]],Inventory[Product Name],Inventory[Sale Price]))</f>
        <v/>
      </c>
      <c r="I1977" s="19" t="str">
        <f>IFERROR(G1977*H1977,"")</f>
        <v/>
      </c>
      <c r="J1977" s="19"/>
    </row>
    <row r="1978" spans="1:10" ht="21">
      <c r="A1978" s="14">
        <v>1973</v>
      </c>
      <c r="C1978" s="16"/>
      <c r="D1978" s="14" t="str">
        <f>IF(Sales[[#This Row],[Product ID]]="","",Sales[[#This Row],[Date]]&amp;Sales[[#This Row],[Invoice no]])</f>
        <v/>
      </c>
      <c r="E197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8" s="19" t="str">
        <f>IF(_xlfn.XLOOKUP(Sales[[#This Row],[Product Name]],Inventory[Product Name],Inventory[Sale Price],"")=0,"",_xlfn.XLOOKUP(Sales[[#This Row],[Product Name]],Inventory[Product Name],Inventory[Sale Price]))</f>
        <v/>
      </c>
      <c r="I1978" s="19" t="str">
        <f>IFERROR(G1978*H1978,"")</f>
        <v/>
      </c>
      <c r="J1978" s="19"/>
    </row>
    <row r="1979" spans="1:10" ht="21">
      <c r="A1979" s="14">
        <v>1974</v>
      </c>
      <c r="C1979" s="16"/>
      <c r="D1979" s="14" t="str">
        <f>IF(Sales[[#This Row],[Product ID]]="","",Sales[[#This Row],[Date]]&amp;Sales[[#This Row],[Invoice no]])</f>
        <v/>
      </c>
      <c r="E197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79" s="19" t="str">
        <f>IF(_xlfn.XLOOKUP(Sales[[#This Row],[Product Name]],Inventory[Product Name],Inventory[Sale Price],"")=0,"",_xlfn.XLOOKUP(Sales[[#This Row],[Product Name]],Inventory[Product Name],Inventory[Sale Price]))</f>
        <v/>
      </c>
      <c r="I1979" s="19" t="str">
        <f>IFERROR(G1979*H1979,"")</f>
        <v/>
      </c>
      <c r="J1979" s="19"/>
    </row>
    <row r="1980" spans="1:10" ht="21">
      <c r="A1980" s="14">
        <v>1975</v>
      </c>
      <c r="C1980" s="16"/>
      <c r="D1980" s="14" t="str">
        <f>IF(Sales[[#This Row],[Product ID]]="","",Sales[[#This Row],[Date]]&amp;Sales[[#This Row],[Invoice no]])</f>
        <v/>
      </c>
      <c r="E198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0" s="19" t="str">
        <f>IF(_xlfn.XLOOKUP(Sales[[#This Row],[Product Name]],Inventory[Product Name],Inventory[Sale Price],"")=0,"",_xlfn.XLOOKUP(Sales[[#This Row],[Product Name]],Inventory[Product Name],Inventory[Sale Price]))</f>
        <v/>
      </c>
      <c r="I1980" s="19" t="str">
        <f>IFERROR(G1980*H1980,"")</f>
        <v/>
      </c>
      <c r="J1980" s="19"/>
    </row>
    <row r="1981" spans="1:10" ht="21">
      <c r="A1981" s="14">
        <v>1976</v>
      </c>
      <c r="C1981" s="16"/>
      <c r="D1981" s="14" t="str">
        <f>IF(Sales[[#This Row],[Product ID]]="","",Sales[[#This Row],[Date]]&amp;Sales[[#This Row],[Invoice no]])</f>
        <v/>
      </c>
      <c r="E198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1" s="19" t="str">
        <f>IF(_xlfn.XLOOKUP(Sales[[#This Row],[Product Name]],Inventory[Product Name],Inventory[Sale Price],"")=0,"",_xlfn.XLOOKUP(Sales[[#This Row],[Product Name]],Inventory[Product Name],Inventory[Sale Price]))</f>
        <v/>
      </c>
      <c r="I1981" s="19" t="str">
        <f>IFERROR(G1981*H1981,"")</f>
        <v/>
      </c>
      <c r="J1981" s="19"/>
    </row>
    <row r="1982" spans="1:10" ht="21">
      <c r="A1982" s="14">
        <v>1977</v>
      </c>
      <c r="C1982" s="16"/>
      <c r="D1982" s="14" t="str">
        <f>IF(Sales[[#This Row],[Product ID]]="","",Sales[[#This Row],[Date]]&amp;Sales[[#This Row],[Invoice no]])</f>
        <v/>
      </c>
      <c r="E198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2" s="19" t="str">
        <f>IF(_xlfn.XLOOKUP(Sales[[#This Row],[Product Name]],Inventory[Product Name],Inventory[Sale Price],"")=0,"",_xlfn.XLOOKUP(Sales[[#This Row],[Product Name]],Inventory[Product Name],Inventory[Sale Price]))</f>
        <v/>
      </c>
      <c r="I1982" s="19" t="str">
        <f>IFERROR(G1982*H1982,"")</f>
        <v/>
      </c>
      <c r="J1982" s="19"/>
    </row>
    <row r="1983" spans="1:10" ht="21">
      <c r="A1983" s="14">
        <v>1978</v>
      </c>
      <c r="C1983" s="16"/>
      <c r="D1983" s="14" t="str">
        <f>IF(Sales[[#This Row],[Product ID]]="","",Sales[[#This Row],[Date]]&amp;Sales[[#This Row],[Invoice no]])</f>
        <v/>
      </c>
      <c r="E198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3" s="19" t="str">
        <f>IF(_xlfn.XLOOKUP(Sales[[#This Row],[Product Name]],Inventory[Product Name],Inventory[Sale Price],"")=0,"",_xlfn.XLOOKUP(Sales[[#This Row],[Product Name]],Inventory[Product Name],Inventory[Sale Price]))</f>
        <v/>
      </c>
      <c r="I1983" s="19" t="str">
        <f>IFERROR(G1983*H1983,"")</f>
        <v/>
      </c>
      <c r="J1983" s="19"/>
    </row>
    <row r="1984" spans="1:10" ht="21">
      <c r="A1984" s="14">
        <v>1979</v>
      </c>
      <c r="C1984" s="16"/>
      <c r="D1984" s="14" t="str">
        <f>IF(Sales[[#This Row],[Product ID]]="","",Sales[[#This Row],[Date]]&amp;Sales[[#This Row],[Invoice no]])</f>
        <v/>
      </c>
      <c r="E198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4" s="19" t="str">
        <f>IF(_xlfn.XLOOKUP(Sales[[#This Row],[Product Name]],Inventory[Product Name],Inventory[Sale Price],"")=0,"",_xlfn.XLOOKUP(Sales[[#This Row],[Product Name]],Inventory[Product Name],Inventory[Sale Price]))</f>
        <v/>
      </c>
      <c r="I1984" s="19" t="str">
        <f>IFERROR(G1984*H1984,"")</f>
        <v/>
      </c>
      <c r="J1984" s="19"/>
    </row>
    <row r="1985" spans="1:10" ht="21">
      <c r="A1985" s="14">
        <v>1980</v>
      </c>
      <c r="C1985" s="16"/>
      <c r="D1985" s="14" t="str">
        <f>IF(Sales[[#This Row],[Product ID]]="","",Sales[[#This Row],[Date]]&amp;Sales[[#This Row],[Invoice no]])</f>
        <v/>
      </c>
      <c r="E198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5" s="19" t="str">
        <f>IF(_xlfn.XLOOKUP(Sales[[#This Row],[Product Name]],Inventory[Product Name],Inventory[Sale Price],"")=0,"",_xlfn.XLOOKUP(Sales[[#This Row],[Product Name]],Inventory[Product Name],Inventory[Sale Price]))</f>
        <v/>
      </c>
      <c r="I1985" s="19" t="str">
        <f>IFERROR(G1985*H1985,"")</f>
        <v/>
      </c>
      <c r="J1985" s="19"/>
    </row>
    <row r="1986" spans="1:10" ht="21">
      <c r="A1986" s="14">
        <v>1981</v>
      </c>
      <c r="C1986" s="16"/>
      <c r="D1986" s="14" t="str">
        <f>IF(Sales[[#This Row],[Product ID]]="","",Sales[[#This Row],[Date]]&amp;Sales[[#This Row],[Invoice no]])</f>
        <v/>
      </c>
      <c r="E198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6" s="19" t="str">
        <f>IF(_xlfn.XLOOKUP(Sales[[#This Row],[Product Name]],Inventory[Product Name],Inventory[Sale Price],"")=0,"",_xlfn.XLOOKUP(Sales[[#This Row],[Product Name]],Inventory[Product Name],Inventory[Sale Price]))</f>
        <v/>
      </c>
      <c r="I1986" s="19" t="str">
        <f>IFERROR(G1986*H1986,"")</f>
        <v/>
      </c>
      <c r="J1986" s="19"/>
    </row>
    <row r="1987" spans="1:10" ht="21">
      <c r="A1987" s="14">
        <v>1982</v>
      </c>
      <c r="C1987" s="16"/>
      <c r="D1987" s="14" t="str">
        <f>IF(Sales[[#This Row],[Product ID]]="","",Sales[[#This Row],[Date]]&amp;Sales[[#This Row],[Invoice no]])</f>
        <v/>
      </c>
      <c r="E198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7" s="19" t="str">
        <f>IF(_xlfn.XLOOKUP(Sales[[#This Row],[Product Name]],Inventory[Product Name],Inventory[Sale Price],"")=0,"",_xlfn.XLOOKUP(Sales[[#This Row],[Product Name]],Inventory[Product Name],Inventory[Sale Price]))</f>
        <v/>
      </c>
      <c r="I1987" s="19" t="str">
        <f>IFERROR(G1987*H1987,"")</f>
        <v/>
      </c>
      <c r="J1987" s="19"/>
    </row>
    <row r="1988" spans="1:10" ht="21">
      <c r="A1988" s="14">
        <v>1983</v>
      </c>
      <c r="C1988" s="16"/>
      <c r="D1988" s="14" t="str">
        <f>IF(Sales[[#This Row],[Product ID]]="","",Sales[[#This Row],[Date]]&amp;Sales[[#This Row],[Invoice no]])</f>
        <v/>
      </c>
      <c r="E198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8" s="19" t="str">
        <f>IF(_xlfn.XLOOKUP(Sales[[#This Row],[Product Name]],Inventory[Product Name],Inventory[Sale Price],"")=0,"",_xlfn.XLOOKUP(Sales[[#This Row],[Product Name]],Inventory[Product Name],Inventory[Sale Price]))</f>
        <v/>
      </c>
      <c r="I1988" s="19" t="str">
        <f>IFERROR(G1988*H1988,"")</f>
        <v/>
      </c>
      <c r="J1988" s="19"/>
    </row>
    <row r="1989" spans="1:10" ht="21">
      <c r="A1989" s="14">
        <v>1984</v>
      </c>
      <c r="C1989" s="16"/>
      <c r="D1989" s="14" t="str">
        <f>IF(Sales[[#This Row],[Product ID]]="","",Sales[[#This Row],[Date]]&amp;Sales[[#This Row],[Invoice no]])</f>
        <v/>
      </c>
      <c r="E198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89" s="19" t="str">
        <f>IF(_xlfn.XLOOKUP(Sales[[#This Row],[Product Name]],Inventory[Product Name],Inventory[Sale Price],"")=0,"",_xlfn.XLOOKUP(Sales[[#This Row],[Product Name]],Inventory[Product Name],Inventory[Sale Price]))</f>
        <v/>
      </c>
      <c r="I1989" s="19" t="str">
        <f>IFERROR(G1989*H1989,"")</f>
        <v/>
      </c>
      <c r="J1989" s="19"/>
    </row>
    <row r="1990" spans="1:10" ht="21">
      <c r="A1990" s="14">
        <v>1985</v>
      </c>
      <c r="C1990" s="16"/>
      <c r="D1990" s="14" t="str">
        <f>IF(Sales[[#This Row],[Product ID]]="","",Sales[[#This Row],[Date]]&amp;Sales[[#This Row],[Invoice no]])</f>
        <v/>
      </c>
      <c r="E1990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0" s="19" t="str">
        <f>IF(_xlfn.XLOOKUP(Sales[[#This Row],[Product Name]],Inventory[Product Name],Inventory[Sale Price],"")=0,"",_xlfn.XLOOKUP(Sales[[#This Row],[Product Name]],Inventory[Product Name],Inventory[Sale Price]))</f>
        <v/>
      </c>
      <c r="I1990" s="19" t="str">
        <f>IFERROR(G1990*H1990,"")</f>
        <v/>
      </c>
      <c r="J1990" s="19"/>
    </row>
    <row r="1991" spans="1:10" ht="21">
      <c r="A1991" s="14">
        <v>1986</v>
      </c>
      <c r="C1991" s="16"/>
      <c r="D1991" s="14" t="str">
        <f>IF(Sales[[#This Row],[Product ID]]="","",Sales[[#This Row],[Date]]&amp;Sales[[#This Row],[Invoice no]])</f>
        <v/>
      </c>
      <c r="E1991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1" s="19" t="str">
        <f>IF(_xlfn.XLOOKUP(Sales[[#This Row],[Product Name]],Inventory[Product Name],Inventory[Sale Price],"")=0,"",_xlfn.XLOOKUP(Sales[[#This Row],[Product Name]],Inventory[Product Name],Inventory[Sale Price]))</f>
        <v/>
      </c>
      <c r="I1991" s="19" t="str">
        <f>IFERROR(G1991*H1991,"")</f>
        <v/>
      </c>
      <c r="J1991" s="19"/>
    </row>
    <row r="1992" spans="1:10" ht="21">
      <c r="A1992" s="14">
        <v>1987</v>
      </c>
      <c r="C1992" s="16"/>
      <c r="D1992" s="14" t="str">
        <f>IF(Sales[[#This Row],[Product ID]]="","",Sales[[#This Row],[Date]]&amp;Sales[[#This Row],[Invoice no]])</f>
        <v/>
      </c>
      <c r="E1992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2" s="19" t="str">
        <f>IF(_xlfn.XLOOKUP(Sales[[#This Row],[Product Name]],Inventory[Product Name],Inventory[Sale Price],"")=0,"",_xlfn.XLOOKUP(Sales[[#This Row],[Product Name]],Inventory[Product Name],Inventory[Sale Price]))</f>
        <v/>
      </c>
      <c r="I1992" s="19" t="str">
        <f>IFERROR(G1992*H1992,"")</f>
        <v/>
      </c>
      <c r="J1992" s="19"/>
    </row>
    <row r="1993" spans="1:10" ht="21">
      <c r="A1993" s="14">
        <v>1988</v>
      </c>
      <c r="C1993" s="16"/>
      <c r="D1993" s="14" t="str">
        <f>IF(Sales[[#This Row],[Product ID]]="","",Sales[[#This Row],[Date]]&amp;Sales[[#This Row],[Invoice no]])</f>
        <v/>
      </c>
      <c r="E1993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3" s="19" t="str">
        <f>IF(_xlfn.XLOOKUP(Sales[[#This Row],[Product Name]],Inventory[Product Name],Inventory[Sale Price],"")=0,"",_xlfn.XLOOKUP(Sales[[#This Row],[Product Name]],Inventory[Product Name],Inventory[Sale Price]))</f>
        <v/>
      </c>
      <c r="I1993" s="19" t="str">
        <f>IFERROR(G1993*H1993,"")</f>
        <v/>
      </c>
      <c r="J1993" s="19"/>
    </row>
    <row r="1994" spans="1:10" ht="21">
      <c r="A1994" s="14">
        <v>1989</v>
      </c>
      <c r="C1994" s="16"/>
      <c r="D1994" s="14" t="str">
        <f>IF(Sales[[#This Row],[Product ID]]="","",Sales[[#This Row],[Date]]&amp;Sales[[#This Row],[Invoice no]])</f>
        <v/>
      </c>
      <c r="E1994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4" s="19" t="str">
        <f>IF(_xlfn.XLOOKUP(Sales[[#This Row],[Product Name]],Inventory[Product Name],Inventory[Sale Price],"")=0,"",_xlfn.XLOOKUP(Sales[[#This Row],[Product Name]],Inventory[Product Name],Inventory[Sale Price]))</f>
        <v/>
      </c>
      <c r="I1994" s="19" t="str">
        <f>IFERROR(G1994*H1994,"")</f>
        <v/>
      </c>
      <c r="J1994" s="19"/>
    </row>
    <row r="1995" spans="1:10" ht="21">
      <c r="A1995" s="14">
        <v>1990</v>
      </c>
      <c r="C1995" s="16"/>
      <c r="D1995" s="14" t="str">
        <f>IF(Sales[[#This Row],[Product ID]]="","",Sales[[#This Row],[Date]]&amp;Sales[[#This Row],[Invoice no]])</f>
        <v/>
      </c>
      <c r="E1995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5" s="19" t="str">
        <f>IF(_xlfn.XLOOKUP(Sales[[#This Row],[Product Name]],Inventory[Product Name],Inventory[Sale Price],"")=0,"",_xlfn.XLOOKUP(Sales[[#This Row],[Product Name]],Inventory[Product Name],Inventory[Sale Price]))</f>
        <v/>
      </c>
      <c r="I1995" s="19" t="str">
        <f>IFERROR(G1995*H1995,"")</f>
        <v/>
      </c>
      <c r="J1995" s="19"/>
    </row>
    <row r="1996" spans="1:10" ht="21">
      <c r="A1996" s="14">
        <v>1991</v>
      </c>
      <c r="C1996" s="16"/>
      <c r="D1996" s="14" t="str">
        <f>IF(Sales[[#This Row],[Product ID]]="","",Sales[[#This Row],[Date]]&amp;Sales[[#This Row],[Invoice no]])</f>
        <v/>
      </c>
      <c r="E1996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6" s="19" t="str">
        <f>IF(_xlfn.XLOOKUP(Sales[[#This Row],[Product Name]],Inventory[Product Name],Inventory[Sale Price],"")=0,"",_xlfn.XLOOKUP(Sales[[#This Row],[Product Name]],Inventory[Product Name],Inventory[Sale Price]))</f>
        <v/>
      </c>
      <c r="I1996" s="19" t="str">
        <f>IFERROR(G1996*H1996,"")</f>
        <v/>
      </c>
      <c r="J1996" s="19"/>
    </row>
    <row r="1997" spans="1:10" ht="21">
      <c r="A1997" s="14">
        <v>1992</v>
      </c>
      <c r="C1997" s="16"/>
      <c r="D1997" s="14" t="str">
        <f>IF(Sales[[#This Row],[Product ID]]="","",Sales[[#This Row],[Date]]&amp;Sales[[#This Row],[Invoice no]])</f>
        <v/>
      </c>
      <c r="E1997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7" s="19" t="str">
        <f>IF(_xlfn.XLOOKUP(Sales[[#This Row],[Product Name]],Inventory[Product Name],Inventory[Sale Price],"")=0,"",_xlfn.XLOOKUP(Sales[[#This Row],[Product Name]],Inventory[Product Name],Inventory[Sale Price]))</f>
        <v/>
      </c>
      <c r="I1997" s="19" t="str">
        <f>IFERROR(G1997*H1997,"")</f>
        <v/>
      </c>
      <c r="J1997" s="19"/>
    </row>
    <row r="1998" spans="1:10" ht="21">
      <c r="A1998" s="14">
        <v>1993</v>
      </c>
      <c r="C1998" s="16"/>
      <c r="D1998" s="14" t="str">
        <f>IF(Sales[[#This Row],[Product ID]]="","",Sales[[#This Row],[Date]]&amp;Sales[[#This Row],[Invoice no]])</f>
        <v/>
      </c>
      <c r="E1998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8" s="19" t="str">
        <f>IF(_xlfn.XLOOKUP(Sales[[#This Row],[Product Name]],Inventory[Product Name],Inventory[Sale Price],"")=0,"",_xlfn.XLOOKUP(Sales[[#This Row],[Product Name]],Inventory[Product Name],Inventory[Sale Price]))</f>
        <v/>
      </c>
      <c r="I1998" s="19" t="str">
        <f>IFERROR(G1998*H1998,"")</f>
        <v/>
      </c>
      <c r="J1998" s="19"/>
    </row>
    <row r="1999" spans="1:10" ht="21">
      <c r="A1999" s="14">
        <v>1994</v>
      </c>
      <c r="C1999" s="16"/>
      <c r="D1999" s="14" t="str">
        <f>IF(Sales[[#This Row],[Product ID]]="","",Sales[[#This Row],[Date]]&amp;Sales[[#This Row],[Invoice no]])</f>
        <v/>
      </c>
      <c r="E1999" s="17" t="str">
        <f>IF(_xlfn.XLOOKUP(Sales[[#This Row],[Product Name]],Inventory[Product Name],Inventory[Product ID],"-")="","",_xlfn.XLOOKUP(Sales[[#This Row],[Product Name]],Inventory[Product Name],Inventory[Product ID],"-"))</f>
        <v/>
      </c>
      <c r="H1999" s="19" t="str">
        <f>IF(_xlfn.XLOOKUP(Sales[[#This Row],[Product Name]],Inventory[Product Name],Inventory[Sale Price],"")=0,"",_xlfn.XLOOKUP(Sales[[#This Row],[Product Name]],Inventory[Product Name],Inventory[Sale Price]))</f>
        <v/>
      </c>
      <c r="I1999" s="19" t="str">
        <f>IFERROR(G1999*H1999,"")</f>
        <v/>
      </c>
      <c r="J1999" s="19"/>
    </row>
    <row r="2000" spans="1:10" ht="21">
      <c r="A2000" s="14">
        <v>1995</v>
      </c>
      <c r="C2000" s="16"/>
      <c r="D2000" s="14" t="str">
        <f>IF(Sales[[#This Row],[Product ID]]="","",Sales[[#This Row],[Date]]&amp;Sales[[#This Row],[Invoice no]])</f>
        <v/>
      </c>
      <c r="E2000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00" s="19" t="str">
        <f>IF(_xlfn.XLOOKUP(Sales[[#This Row],[Product Name]],Inventory[Product Name],Inventory[Sale Price],"")=0,"",_xlfn.XLOOKUP(Sales[[#This Row],[Product Name]],Inventory[Product Name],Inventory[Sale Price]))</f>
        <v/>
      </c>
      <c r="I2000" s="19" t="str">
        <f>IFERROR(G2000*H2000,"")</f>
        <v/>
      </c>
      <c r="J2000" s="19"/>
    </row>
    <row r="2001" spans="1:10" ht="21">
      <c r="A2001" s="14">
        <v>1996</v>
      </c>
      <c r="C2001" s="16"/>
      <c r="D2001" s="14" t="str">
        <f>IF(Sales[[#This Row],[Product ID]]="","",Sales[[#This Row],[Date]]&amp;Sales[[#This Row],[Invoice no]])</f>
        <v/>
      </c>
      <c r="E2001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01" s="19" t="str">
        <f>IF(_xlfn.XLOOKUP(Sales[[#This Row],[Product Name]],Inventory[Product Name],Inventory[Sale Price],"")=0,"",_xlfn.XLOOKUP(Sales[[#This Row],[Product Name]],Inventory[Product Name],Inventory[Sale Price]))</f>
        <v/>
      </c>
      <c r="I2001" s="19" t="str">
        <f>IFERROR(G2001*H2001,"")</f>
        <v/>
      </c>
      <c r="J2001" s="19"/>
    </row>
    <row r="2002" spans="1:10" ht="21">
      <c r="A2002" s="14">
        <v>1997</v>
      </c>
      <c r="C2002" s="16"/>
      <c r="D2002" s="14" t="str">
        <f>IF(Sales[[#This Row],[Product ID]]="","",Sales[[#This Row],[Date]]&amp;Sales[[#This Row],[Invoice no]])</f>
        <v/>
      </c>
      <c r="E2002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02" s="19" t="str">
        <f>IF(_xlfn.XLOOKUP(Sales[[#This Row],[Product Name]],Inventory[Product Name],Inventory[Sale Price],"")=0,"",_xlfn.XLOOKUP(Sales[[#This Row],[Product Name]],Inventory[Product Name],Inventory[Sale Price]))</f>
        <v/>
      </c>
      <c r="I2002" s="19" t="str">
        <f>IFERROR(G2002*H2002,"")</f>
        <v/>
      </c>
      <c r="J2002" s="19"/>
    </row>
    <row r="2003" spans="1:10" ht="21">
      <c r="A2003" s="14">
        <v>1998</v>
      </c>
      <c r="C2003" s="16"/>
      <c r="D2003" s="14" t="str">
        <f>IF(Sales[[#This Row],[Product ID]]="","",Sales[[#This Row],[Date]]&amp;Sales[[#This Row],[Invoice no]])</f>
        <v/>
      </c>
      <c r="E2003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03" s="19" t="str">
        <f>IF(_xlfn.XLOOKUP(Sales[[#This Row],[Product Name]],Inventory[Product Name],Inventory[Sale Price],"")=0,"",_xlfn.XLOOKUP(Sales[[#This Row],[Product Name]],Inventory[Product Name],Inventory[Sale Price]))</f>
        <v/>
      </c>
      <c r="I2003" s="19" t="str">
        <f>IFERROR(G2003*H2003,"")</f>
        <v/>
      </c>
      <c r="J2003" s="19"/>
    </row>
    <row r="2004" spans="1:10" ht="21">
      <c r="A2004" s="14">
        <v>1999</v>
      </c>
      <c r="C2004" s="16"/>
      <c r="D2004" s="14" t="str">
        <f>IF(Sales[[#This Row],[Product ID]]="","",Sales[[#This Row],[Date]]&amp;Sales[[#This Row],[Invoice no]])</f>
        <v/>
      </c>
      <c r="E2004" s="17" t="str">
        <f>IF(_xlfn.XLOOKUP(Sales[[#This Row],[Product Name]],Inventory[Product Name],Inventory[Product ID],"-")="","",_xlfn.XLOOKUP(Sales[[#This Row],[Product Name]],Inventory[Product Name],Inventory[Product ID],"-"))</f>
        <v/>
      </c>
      <c r="H2004" s="19" t="str">
        <f>IF(_xlfn.XLOOKUP(Sales[[#This Row],[Product Name]],Inventory[Product Name],Inventory[Sale Price],"")=0,"",_xlfn.XLOOKUP(Sales[[#This Row],[Product Name]],Inventory[Product Name],Inventory[Sale Price]))</f>
        <v/>
      </c>
      <c r="I2004" s="19" t="str">
        <f>IFERROR(G2004*H2004,"")</f>
        <v/>
      </c>
      <c r="J2004" s="19"/>
    </row>
  </sheetData>
  <mergeCells count="10">
    <mergeCell ref="A2:A3"/>
    <mergeCell ref="H2:H3"/>
    <mergeCell ref="I2:I3"/>
    <mergeCell ref="J2:J3"/>
    <mergeCell ref="F2:F3"/>
    <mergeCell ref="B2:B3"/>
    <mergeCell ref="C2:C3"/>
    <mergeCell ref="D2:D3"/>
    <mergeCell ref="G2:G3"/>
    <mergeCell ref="E2:E3"/>
  </mergeCells>
  <dataValidations count="1">
    <dataValidation allowBlank="1" showInputMessage="1" showErrorMessage="1" sqref="C6:C2004" xr:uid="{97D1EE4E-A6C9-4127-9169-6444614A16DB}"/>
  </dataValidations>
  <printOptions headings="1"/>
  <pageMargins left="0.98425196850393704" right="0.98425196850393704" top="0.98425196850393704" bottom="0.98425196850393704" header="0.51181102362204722" footer="0.51181102362204722"/>
  <pageSetup scale="1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565DF8-2C49-4393-9F51-7A1359FF2CA0}">
          <x14:formula1>
            <xm:f>Inventory!$B$8:$B$1006</xm:f>
          </x14:formula1>
          <xm:sqref>F6:F2004</xm:sqref>
        </x14:dataValidation>
        <x14:dataValidation type="list" allowBlank="1" showInputMessage="1" showErrorMessage="1" xr:uid="{DABCE1AA-2EB4-4B9C-B48A-FD64B913A7B7}">
          <x14:formula1>
            <xm:f>Directory!$B$3:$B$9</xm:f>
          </x14:formula1>
          <xm:sqref>K6:K2004</xm:sqref>
        </x14:dataValidation>
        <x14:dataValidation type="list" allowBlank="1" showInputMessage="1" showErrorMessage="1" xr:uid="{4A852E22-BDE8-4076-9048-54673A6C9ED4}">
          <x14:formula1>
            <xm:f>Directory!$C$3:$C$9</xm:f>
          </x14:formula1>
          <xm:sqref>B6:B2004</xm:sqref>
        </x14:dataValidation>
        <x14:dataValidation type="list" allowBlank="1" showInputMessage="1" showErrorMessage="1" xr:uid="{3A034689-9C39-4BBF-8639-6BF3E8337091}">
          <x14:formula1>
            <xm:f>Directory!$D$3:$D$9</xm:f>
          </x14:formula1>
          <xm:sqref>L6:L2004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sqref="A1:E4"/>
    </sheetView>
  </sheetViews>
  <sheetFormatPr defaultRowHeight="14.45"/>
  <cols>
    <col min="1" max="5" width="18" customWidth="1"/>
  </cols>
  <sheetData>
    <row r="1" spans="1: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>
      <c r="A2" t="s">
        <v>115</v>
      </c>
      <c r="B2" t="s">
        <v>81</v>
      </c>
    </row>
    <row r="3" spans="1:5">
      <c r="A3" t="s">
        <v>116</v>
      </c>
      <c r="B3" t="s">
        <v>82</v>
      </c>
    </row>
    <row r="4" spans="1:5">
      <c r="A4" t="s">
        <v>117</v>
      </c>
      <c r="B4" t="s">
        <v>83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5" sqref="B5"/>
    </sheetView>
  </sheetViews>
  <sheetFormatPr defaultRowHeight="14.45"/>
  <cols>
    <col min="1" max="1" width="32.140625" bestFit="1" customWidth="1"/>
    <col min="2" max="2" width="18" customWidth="1"/>
  </cols>
  <sheetData>
    <row r="1" spans="1:2" ht="18.600000000000001">
      <c r="A1" s="2" t="s">
        <v>118</v>
      </c>
    </row>
    <row r="3" spans="1:2">
      <c r="A3" t="s">
        <v>119</v>
      </c>
      <c r="B3">
        <f>SUM(Inventory!N:N)</f>
        <v>1089500</v>
      </c>
    </row>
    <row r="4" spans="1:2">
      <c r="A4" t="s">
        <v>120</v>
      </c>
      <c r="B4">
        <f>SUM(Sales!I:I)</f>
        <v>931700</v>
      </c>
    </row>
    <row r="5" spans="1:2">
      <c r="A5" t="s">
        <v>121</v>
      </c>
      <c r="B5">
        <f>SUM(Purchases!H:H)</f>
        <v>135600</v>
      </c>
    </row>
    <row r="6" spans="1:2">
      <c r="A6" t="s">
        <v>122</v>
      </c>
      <c r="B6">
        <f ca="1">COUNTIF(Inventory!F:F,"EXPIRED")</f>
        <v>4</v>
      </c>
    </row>
    <row r="7" spans="1:2">
      <c r="A7" t="s">
        <v>123</v>
      </c>
      <c r="B7">
        <f>COUNTIF(Inventory!P:P,"RESTOCK")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AD88-1EEE-4B04-9732-7FE35E7EBDD9}">
  <dimension ref="A2:D9"/>
  <sheetViews>
    <sheetView topLeftCell="A3" zoomScale="236" zoomScaleNormal="236" workbookViewId="0">
      <selection activeCell="A3" sqref="A3:C9"/>
    </sheetView>
  </sheetViews>
  <sheetFormatPr defaultRowHeight="14.45"/>
  <cols>
    <col min="1" max="1" width="10" customWidth="1"/>
    <col min="2" max="2" width="13" bestFit="1" customWidth="1"/>
    <col min="3" max="3" width="12" bestFit="1" customWidth="1"/>
    <col min="4" max="4" width="14.28515625" bestFit="1" customWidth="1"/>
  </cols>
  <sheetData>
    <row r="2" spans="1:4">
      <c r="A2" t="s">
        <v>15</v>
      </c>
      <c r="B2" t="s">
        <v>101</v>
      </c>
      <c r="C2" t="s">
        <v>95</v>
      </c>
      <c r="D2" t="s">
        <v>102</v>
      </c>
    </row>
    <row r="3" spans="1:4">
      <c r="A3" t="s">
        <v>124</v>
      </c>
      <c r="B3" t="s">
        <v>125</v>
      </c>
      <c r="C3" t="s">
        <v>103</v>
      </c>
      <c r="D3" t="s">
        <v>104</v>
      </c>
    </row>
    <row r="4" spans="1:4">
      <c r="A4" t="s">
        <v>126</v>
      </c>
      <c r="B4" t="s">
        <v>105</v>
      </c>
      <c r="C4" t="s">
        <v>109</v>
      </c>
      <c r="D4" t="s">
        <v>106</v>
      </c>
    </row>
    <row r="5" spans="1:4">
      <c r="A5" t="s">
        <v>127</v>
      </c>
      <c r="D5" t="s">
        <v>108</v>
      </c>
    </row>
    <row r="6" spans="1:4">
      <c r="A6" t="s">
        <v>24</v>
      </c>
    </row>
    <row r="7" spans="1:4">
      <c r="A7" t="s">
        <v>128</v>
      </c>
    </row>
    <row r="8" spans="1:4">
      <c r="A8" t="s">
        <v>129</v>
      </c>
    </row>
    <row r="9" spans="1:4">
      <c r="A9" t="s">
        <v>130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DC25-8B7A-43A1-AF9A-445610370AA0}">
  <dimension ref="A3:B11"/>
  <sheetViews>
    <sheetView workbookViewId="0">
      <selection activeCell="B4" sqref="B4"/>
    </sheetView>
  </sheetViews>
  <sheetFormatPr defaultRowHeight="15"/>
  <cols>
    <col min="1" max="1" width="19.42578125" bestFit="1" customWidth="1"/>
    <col min="2" max="2" width="15.140625" bestFit="1" customWidth="1"/>
  </cols>
  <sheetData>
    <row r="3" spans="1:2">
      <c r="A3" s="23" t="s">
        <v>7</v>
      </c>
      <c r="B3" t="s">
        <v>131</v>
      </c>
    </row>
    <row r="4" spans="1:2">
      <c r="A4" t="s">
        <v>23</v>
      </c>
      <c r="B4" s="24">
        <v>130</v>
      </c>
    </row>
    <row r="5" spans="1:2">
      <c r="A5" t="s">
        <v>29</v>
      </c>
      <c r="B5" s="24">
        <v>24</v>
      </c>
    </row>
    <row r="6" spans="1:2">
      <c r="A6" t="s">
        <v>35</v>
      </c>
      <c r="B6" s="24">
        <v>66</v>
      </c>
    </row>
    <row r="7" spans="1:2">
      <c r="A7" t="s">
        <v>32</v>
      </c>
      <c r="B7" s="24">
        <v>15</v>
      </c>
    </row>
    <row r="8" spans="1:2">
      <c r="A8" t="s">
        <v>55</v>
      </c>
      <c r="B8" s="24">
        <v>50</v>
      </c>
    </row>
    <row r="9" spans="1:2">
      <c r="A9" t="s">
        <v>42</v>
      </c>
      <c r="B9" s="24">
        <v>88</v>
      </c>
    </row>
    <row r="10" spans="1:2">
      <c r="A10" t="s">
        <v>132</v>
      </c>
      <c r="B10" s="24">
        <v>0</v>
      </c>
    </row>
    <row r="11" spans="1:2">
      <c r="A11" t="s">
        <v>133</v>
      </c>
      <c r="B11" s="24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2026-06-19T08:43:57Z</dcterms:created>
  <dcterms:modified xsi:type="dcterms:W3CDTF">2026-06-30T20:15:38Z</dcterms:modified>
  <cp:category/>
  <cp:contentStatus/>
</cp:coreProperties>
</file>